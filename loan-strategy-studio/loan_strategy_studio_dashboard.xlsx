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b330d2112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73d9a0d3074a3e"/>
    <x:sheet xmlns:r="http://schemas.openxmlformats.org/officeDocument/2006/relationships" name="Amortization Engine" sheetId="2" r:id="R409a5d5dd5c04090"/>
    <x:sheet xmlns:r="http://schemas.openxmlformats.org/officeDocument/2006/relationships" name="Close Strategy Engine" sheetId="3" r:id="Rf451812fc652466a"/>
    <x:sheet xmlns:r="http://schemas.openxmlformats.org/officeDocument/2006/relationships" name="Notes" sheetId="4" r:id="Rd8db04dd7a6b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dd-mmm-yyyy"/>
    <x:numFmt numFmtId="202" formatCode="₹#,##0.00"/>
    <x:numFmt numFmtId="203" formatCode="0.0000%"/>
    <x:numFmt numFmtId="204" formatCode="#,##0"/>
  </x:numFmts>
  <x:fonts count="11">
    <x:font>
      <x:sz val="11"/>
      <x:name val="Carlito"/>
    </x:font>
    <x:font>
      <x:sz val="11"/>
      <x:color rgb="FFFFFF"/>
      <x:name val="Carlito"/>
    </x:font>
    <x:font>
      <x:b/>
      <x:sz val="24"/>
      <x:color rgb="FFFFFF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  <x:font>
      <x:sz val="11"/>
      <x:color rgb="FFFFFF"/>
      <x:name val="Carlito"/>
    </x:font>
    <x:font>
      <x:b/>
      <x:sz val="24"/>
      <x:color rgb="FFFFFF"/>
      <x:name val="Aptos"/>
    </x:font>
    <x:font>
      <x:sz val="11"/>
      <x:color rgb="FFFFFF"/>
      <x:name val="Aptos"/>
    </x:font>
    <x:font>
      <x:b/>
      <x:sz val="12"/>
      <x:color rgb="FFFFFF"/>
      <x:name val="Aptos"/>
    </x:font>
    <x:font>
      <x:b/>
      <x:sz val="11"/>
      <x:color rgb="FFFFFF"/>
      <x:name val="Aptos"/>
    </x:font>
    <x:font>
      <x:sz val="11"/>
      <x:color rgb="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050506"/>
      </x:patternFill>
    </x:fill>
    <x:fill>
      <x:patternFill patternType="solid">
        <x:fgColor rgb="E50914"/>
      </x:patternFill>
    </x:fill>
    <x:fill>
      <x:patternFill patternType="solid">
        <x:fgColor rgb="B20710"/>
      </x:patternFill>
    </x:fill>
    <x:fill>
      <x:patternFill patternType="solid">
        <x:fgColor rgb="111116"/>
      </x:patternFill>
    </x:fill>
    <x:fill>
      <x:patternFill patternType="solid">
        <x:fgColor rgb="19191F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wrapText="1"/>
    </x:xf>
    <x:xf numFmtId="204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4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202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203" fontId="10" fillId="5" borderId="0" xfId="0" applyNumberFormat="1" applyFont="1" applyFill="1" applyBorder="1" applyAlignment="1">
      <x:alignment wrapText="1"/>
    </x:xf>
    <x:xf numFmtId="200" fontId="10" fillId="5" borderId="0" xfId="0" applyNumberFormat="1" applyFont="1" applyFill="1" applyBorder="1" applyAlignment="1">
      <x:alignment wrapText="1"/>
    </x:xf>
    <x:xf numFmtId="204" fontId="10" fillId="5" borderId="0" xfId="0" applyNumberFormat="1" applyFont="1" applyFill="1" applyBorder="1" applyAlignment="1">
      <x:alignment wrapText="1"/>
    </x:xf>
    <x:xf numFmtId="201" fontId="10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c32d51bf945d8" /><Relationship Type="http://schemas.openxmlformats.org/officeDocument/2006/relationships/theme" Target="/xl/theme/theme1.xml" Id="Rab8bd5886a304669" /><Relationship Type="http://schemas.openxmlformats.org/officeDocument/2006/relationships/sharedStrings" Target="/xl/sharedStrings.xml" Id="R76e39a0cfcc64be2" /><Relationship Type="http://schemas.openxmlformats.org/officeDocument/2006/relationships/worksheet" Target="/xl/worksheets/sheet1.xml" Id="R0a73d9a0d3074a3e" /><Relationship Type="http://schemas.openxmlformats.org/officeDocument/2006/relationships/worksheet" Target="/xl/worksheets/sheet2.xml" Id="R409a5d5dd5c04090" /><Relationship Type="http://schemas.openxmlformats.org/officeDocument/2006/relationships/worksheet" Target="/xl/worksheets/sheet3.xml" Id="Rf451812fc652466a" /><Relationship Type="http://schemas.openxmlformats.org/officeDocument/2006/relationships/worksheet" Target="/xl/worksheets/sheet4.xml" Id="Rd8db04dd7a6b48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490c3891df40f7" /><Relationship Type="http://schemas.openxmlformats.org/officeDocument/2006/relationships/chart" Target="/xl/drawings/charts/chart2.xml" Id="R19a17b8443ab41a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9ce4b844e494e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Close Early: Interest Saved and Cost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Extra amount</c:v>
          </c:tx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'Dashboard'!$B$26:$B$29</c:f>
              <c:numCache>
                <c:formatCode>₹#,##0.00</c:formatCode>
                <c:ptCount val="0"/>
              </c:numCache>
            </c:numRef>
          </c:val>
        </c:ser>
        <c:ser>
          <c:idx val="1"/>
          <c:order val="1"/>
          <c:tx>
            <c:v>Total extra</c:v>
          </c:tx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'Dashboard'!$C$26:$C$29</c:f>
              <c:numCache>
                <c:formatCode>₹#,##0.00</c:formatCode>
                <c:ptCount val="0"/>
              </c:numCache>
            </c:numRef>
          </c:val>
        </c:ser>
        <c:ser>
          <c:idx val="2"/>
          <c:order val="2"/>
          <c:tx>
            <c:v>Interest cost</c:v>
          </c:tx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'Dashboard'!$D$26:$D$29</c:f>
              <c:numCache>
                <c:formatCode>₹#,##0.00</c:formatCode>
                <c:ptCount val="0"/>
              </c:numCache>
            </c:numRef>
          </c:val>
        </c:ser>
        <c:ser>
          <c:idx val="3"/>
          <c:order val="3"/>
          <c:tx>
            <c:v>Interest saved</c:v>
          </c:tx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'Dashboard'!$E$26:$E$29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Payback Mix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cat>
            <c:strRef>
              <c:f>'Dashboard'!$H$26:$H$27</c:f>
              <c:strCache>
                <c:ptCount val="0"/>
              </c:strCache>
            </c:strRef>
          </c:cat>
          <c:val>
            <c:numRef>
              <c:f>'Dashboard'!$I$26:$I$27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Interest Saved by Closure Strategy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Extra amount</c:v>
          </c:tx>
          <c:cat>
            <c:strRef>
              <c:f>'Close Strategy Engine'!$A$5:$A$8</c:f>
              <c:strCache>
                <c:ptCount val="0"/>
              </c:strCache>
            </c:strRef>
          </c:cat>
          <c:val>
            <c:numRef>
              <c:f>'Close Strategy Engine'!$B$5:$B$8</c:f>
              <c:numCache>
                <c:formatCode>₹#,##0.00</c:formatCode>
                <c:ptCount val="0"/>
              </c:numCache>
            </c:numRef>
          </c:val>
        </c:ser>
        <c:ser>
          <c:idx val="1"/>
          <c:order val="1"/>
          <c:tx>
            <c:v>Total extra</c:v>
          </c:tx>
          <c:cat>
            <c:strRef>
              <c:f>'Close Strategy Engine'!$A$5:$A$8</c:f>
              <c:strCache>
                <c:ptCount val="0"/>
              </c:strCache>
            </c:strRef>
          </c:cat>
          <c:val>
            <c:numRef>
              <c:f>'Close Strategy Engine'!$C$5:$C$8</c:f>
              <c:numCache>
                <c:formatCode>₹#,##0.00</c:formatCode>
                <c:ptCount val="0"/>
              </c:numCache>
            </c:numRef>
          </c:val>
        </c:ser>
        <c:ser>
          <c:idx val="2"/>
          <c:order val="2"/>
          <c:tx>
            <c:v>Interest cost</c:v>
          </c:tx>
          <c:cat>
            <c:strRef>
              <c:f>'Close Strategy Engine'!$A$5:$A$8</c:f>
              <c:strCache>
                <c:ptCount val="0"/>
              </c:strCache>
            </c:strRef>
          </c:cat>
          <c:val>
            <c:numRef>
              <c:f>'Close Strategy Engine'!$D$5:$D$8</c:f>
              <c:numCache>
                <c:formatCode>₹#,##0.00</c:formatCode>
                <c:ptCount val="0"/>
              </c:numCache>
            </c:numRef>
          </c:val>
        </c:ser>
        <c:ser>
          <c:idx val="3"/>
          <c:order val="3"/>
          <c:tx>
            <c:v>Interest saved</c:v>
          </c:tx>
          <c:cat>
            <c:strRef>
              <c:f>'Close Strategy Engine'!$A$5:$A$8</c:f>
              <c:strCache>
                <c:ptCount val="0"/>
              </c:strCache>
            </c:strRef>
          </c:cat>
          <c:val>
            <c:numRef>
              <c:f>'Close Strategy Engine'!$E$5:$E$8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28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490c3891df40f7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a17b8443ab41a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ce4b844e494e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879652a49b4b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66ccbcd5db74c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20.709999084472656" hidden="0" customWidth="1"/>
    <x:col min="3" max="3" width="36.43000030517578" hidden="0" customWidth="1"/>
    <x:col min="4" max="4" width="16.43000030517578" hidden="0" customWidth="1"/>
    <x:col min="5" max="5" width="26.43000030517578" hidden="0" customWidth="1"/>
    <x:col min="6" max="6" width="23.56999969482422" hidden="0" customWidth="1"/>
    <x:col min="7" max="7" width="33.56999969482422" hidden="0" customWidth="1"/>
    <x:col min="8" max="8" width="16.43000030517578" hidden="0" customWidth="1"/>
    <x:col min="9" max="9" width="16.43000030517578" hidden="0" customWidth="1"/>
    <x:col min="10" max="10" width="16.43000030517578" hidden="0" customWidth="1"/>
    <x:col min="11" max="11" width="16.43000030517578" hidden="0" customWidth="1"/>
    <x:col min="12" max="12" width="16.43000030517578" hidden="0" customWidth="1"/>
    <x:col min="13" max="13" width="16.43000030517578" hidden="0" customWidth="1"/>
    <x:col min="14" max="14" width="16.43000030517578" hidden="0" customWidth="1"/>
    <x:col min="15" max="15" width="16.43000030517578" hidden="0" customWidth="1"/>
  </x:cols>
  <x:sheetData>
    <x:row r="1">
      <x:c r="A1" s="38" t="str">
        <x:v>Loan Strategy Studio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</x:row>
    <x:row r="3">
      <x:c r="A3" s="41" t="str">
        <x:v>EMI, moratorium, repayment, and early-closure strategy dashboard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</x:row>
    <x:row r="5">
      <x:c r="A5" s="30" t="str">
        <x:v>Editable Inputs</x:v>
      </x:c>
      <x:c r="B5" s="40"/>
      <x:c r="C5" s="40"/>
      <x:c r="D5" s="40"/>
      <x:c r="E5" s="30" t="str">
        <x:v>Calculated EMI Plan</x:v>
      </x:c>
      <x:c r="F5" s="40"/>
      <x:c r="G5" s="40"/>
      <x:c r="H5" s="40"/>
      <x:c r="I5" s="40"/>
      <x:c r="J5" s="40"/>
      <x:c r="K5" s="40"/>
      <x:c r="L5" s="40"/>
      <x:c r="M5" s="40"/>
      <x:c r="N5" s="40"/>
      <x:c r="O5" s="40"/>
    </x:row>
    <x:row r="6">
      <x:c r="A6" s="31" t="str">
        <x:v>Loan amount</x:v>
      </x:c>
      <x:c r="B6" s="32" t="n">
        <x:v>1850000</x:v>
      </x:c>
      <x:c r="C6" s="33" t="str">
        <x:v>Type any amount up to your practical use case</x:v>
      </x:c>
      <x:c r="D6" s="40"/>
      <x:c r="E6" s="31" t="str">
        <x:v>Monthly rate</x:v>
      </x:c>
      <x:c r="F6" s="34" t="n">
        <x:f>$B$7/12</x:f>
        <x:v>0.0075</x:v>
      </x:c>
      <x:c r="G6" s="33" t="str">
        <x:v>Interest per month</x:v>
      </x:c>
      <x:c r="H6" s="33" t="str"/>
      <x:c r="I6" s="40"/>
      <x:c r="J6" s="40"/>
      <x:c r="K6" s="40"/>
      <x:c r="L6" s="40"/>
      <x:c r="M6" s="40"/>
      <x:c r="N6" s="40"/>
      <x:c r="O6" s="40"/>
    </x:row>
    <x:row r="7">
      <x:c r="A7" s="31" t="str">
        <x:v>Annual interest rate</x:v>
      </x:c>
      <x:c r="B7" s="35" t="n">
        <x:v>0.09</x:v>
      </x:c>
      <x:c r="C7" s="33" t="str">
        <x:v>Format as %, e.g. 9.25%</x:v>
      </x:c>
      <x:c r="D7" s="40"/>
      <x:c r="E7" s="31" t="str">
        <x:v>Repayment duration</x:v>
      </x:c>
      <x:c r="F7" s="36" t="n">
        <x:f>MAX(1,$B$8*12+$B$9)</x:f>
        <x:v>180</x:v>
      </x:c>
      <x:c r="G7" s="33" t="str">
        <x:v>Months after holiday</x:v>
      </x:c>
      <x:c r="H7" s="33" t="str"/>
      <x:c r="I7" s="40"/>
      <x:c r="J7" s="40"/>
      <x:c r="K7" s="40"/>
      <x:c r="L7" s="40"/>
      <x:c r="M7" s="40"/>
      <x:c r="N7" s="40"/>
      <x:c r="O7" s="40"/>
    </x:row>
    <x:row r="8">
      <x:c r="A8" s="31" t="str">
        <x:v>Tenure years</x:v>
      </x:c>
      <x:c r="B8" s="33" t="n">
        <x:v>15</x:v>
      </x:c>
      <x:c r="C8" s="33" t="str">
        <x:v>Main repayment years</x:v>
      </x:c>
      <x:c r="D8" s="40"/>
      <x:c r="E8" s="31" t="str">
        <x:v>Holiday period</x:v>
      </x:c>
      <x:c r="F8" s="36" t="n">
        <x:f>MAX(0,$B$12*12+$B$13)</x:f>
        <x:v>36</x:v>
      </x:c>
      <x:c r="G8" s="33" t="str">
        <x:v>Months before EMI starts</x:v>
      </x:c>
      <x:c r="H8" s="33" t="str"/>
      <x:c r="I8" s="40"/>
      <x:c r="J8" s="40"/>
      <x:c r="K8" s="40"/>
      <x:c r="L8" s="40"/>
      <x:c r="M8" s="40"/>
      <x:c r="N8" s="40"/>
      <x:c r="O8" s="40"/>
    </x:row>
    <x:row r="9">
      <x:c r="A9" s="31" t="str">
        <x:v>Tenure extra months</x:v>
      </x:c>
      <x:c r="B9" s="33" t="n">
        <x:v>0</x:v>
      </x:c>
      <x:c r="C9" s="33" t="str">
        <x:v>Additional months</x:v>
      </x:c>
      <x:c r="D9" s="40"/>
      <x:c r="E9" s="31" t="str">
        <x:v>Principal after holiday</x:v>
      </x:c>
      <x:c r="F9" s="32" t="str">
        <x:f>IF(F8=0,$B$6,INDEX('Amortization Engine'!$L$2:$L$721,F8))</x:f>
      </x:c>
      <x:c r="G9" s="33" t="str">
        <x:v>Amount funded when EMI starts</x:v>
      </x:c>
      <x:c r="H9" s="33" t="str"/>
      <x:c r="I9" s="40"/>
      <x:c r="J9" s="40"/>
      <x:c r="K9" s="40"/>
      <x:c r="L9" s="40"/>
      <x:c r="M9" s="40"/>
      <x:c r="N9" s="40"/>
      <x:c r="O9" s="40"/>
    </x:row>
    <x:row r="10">
      <x:c r="A10" s="31" t="str">
        <x:v>Borrowed date</x:v>
      </x:c>
      <x:c r="B10" s="37" t="n">
        <x:v>45017</x:v>
      </x:c>
      <x:c r="C10" s="33" t="str">
        <x:v>Loan disbursal date</x:v>
      </x:c>
      <x:c r="D10" s="40"/>
      <x:c r="E10" s="31" t="str">
        <x:v>Monthly EMI</x:v>
      </x:c>
      <x:c r="F10" s="32" t="n">
        <x:f>IF(F6=0,F9/F7,MIN(F9,PMT(F6,F7,-F9)))</x:f>
        <x:v>0</x:v>
      </x:c>
      <x:c r="G10" s="33" t="str">
        <x:v>EMI from funded principal</x:v>
      </x:c>
      <x:c r="H10" s="33" t="str"/>
      <x:c r="I10" s="40"/>
      <x:c r="J10" s="40"/>
      <x:c r="K10" s="40"/>
      <x:c r="L10" s="40"/>
      <x:c r="M10" s="40"/>
      <x:c r="N10" s="40"/>
      <x:c r="O10" s="40"/>
    </x:row>
    <x:row r="11">
      <x:c r="A11" s="31" t="str">
        <x:v>Current date</x:v>
      </x:c>
      <x:c r="B11" s="37" t="n">
        <x:v>46138</x:v>
      </x:c>
      <x:c r="C11" s="33" t="str">
        <x:v>Update before repayment analysis</x:v>
      </x:c>
      <x:c r="D11" s="40"/>
      <x:c r="E11" s="31" t="str">
        <x:v>Total interest</x:v>
      </x:c>
      <x:c r="F11" s="32" t="n">
        <x:f>SUM('Amortization Engine'!$G$2:$G$721)</x:f>
        <x:v>3671325</x:v>
      </x:c>
      <x:c r="G11" s="33" t="str">
        <x:v>Holiday + repayment interest</x:v>
      </x:c>
      <x:c r="H11" s="33" t="str"/>
      <x:c r="I11" s="40"/>
      <x:c r="J11" s="40"/>
      <x:c r="K11" s="40"/>
      <x:c r="L11" s="40"/>
      <x:c r="M11" s="40"/>
      <x:c r="N11" s="40"/>
      <x:c r="O11" s="40"/>
    </x:row>
    <x:row r="12">
      <x:c r="A12" s="31" t="str">
        <x:v>Holiday years</x:v>
      </x:c>
      <x:c r="B12" s="33" t="n">
        <x:v>3</x:v>
      </x:c>
      <x:c r="C12" s="33" t="str">
        <x:v>Moratorium / repayment holiday</x:v>
      </x:c>
      <x:c r="D12" s="40"/>
      <x:c r="E12" s="31" t="str">
        <x:v>Total amount paid</x:v>
      </x:c>
      <x:c r="F12" s="32" t="n">
        <x:f>SUM('Amortization Engine'!$H$2:$H$721)</x:f>
        <x:v>0</x:v>
      </x:c>
      <x:c r="G12" s="33" t="str">
        <x:v>Principal + interest + holiday principal paid</x:v>
      </x:c>
      <x:c r="H12" s="33" t="str"/>
      <x:c r="I12" s="40"/>
      <x:c r="J12" s="40"/>
      <x:c r="K12" s="40"/>
      <x:c r="L12" s="40"/>
      <x:c r="M12" s="40"/>
      <x:c r="N12" s="40"/>
      <x:c r="O12" s="40"/>
    </x:row>
    <x:row r="13">
      <x:c r="A13" s="31" t="str">
        <x:v>Holiday extra months</x:v>
      </x:c>
      <x:c r="B13" s="33" t="n">
        <x:v>0</x:v>
      </x:c>
      <x:c r="C13" s="33" t="str">
        <x:v>Additional holiday months</x:v>
      </x:c>
      <x:c r="D13" s="40"/>
      <x:c r="E13" s="31" t="str">
        <x:v>Maturity date</x:v>
      </x:c>
      <x:c r="F13" s="37" t="n">
        <x:f>IFERROR(XLOOKUP(TRUE,'Amortization Engine'!$L$2:$L$721&lt;=0.01,'Amortization Engine'!$P$2:$P$721),EDATE($B$10,F8+F7))</x:f>
        <x:v>51622</x:v>
      </x:c>
      <x:c r="G13" s="33" t="str">
        <x:v>Calculated from schedule</x:v>
      </x:c>
      <x:c r="H13" s="33" t="str"/>
      <x:c r="I13" s="40"/>
      <x:c r="J13" s="40"/>
      <x:c r="K13" s="40"/>
      <x:c r="L13" s="40"/>
      <x:c r="M13" s="40"/>
      <x:c r="N13" s="40"/>
      <x:c r="O13" s="40"/>
    </x:row>
    <x:row r="14">
      <x:c r="A14" s="31" t="str">
        <x:v>Holiday payment mode</x:v>
      </x:c>
      <x:c r="B14" s="33" t="str">
        <x:v>Nothing</x:v>
      </x:c>
      <x:c r="C14" s="33" t="str">
        <x:v>Nothing, Interest Only, or Principal Only</x:v>
      </x:c>
      <x:c r="D14" s="40"/>
      <x:c r="E14" s="31" t="str">
        <x:v>Remaining after prepayment</x:v>
      </x:c>
      <x:c r="F14" s="32" t="n">
        <x:f>MAX(0,$B$16-$B$18)</x:f>
        <x:v>2050000</x:v>
      </x:c>
      <x:c r="G14" s="33" t="str">
        <x:v>For repayment and close strategy</x:v>
      </x:c>
      <x:c r="H14" s="33" t="str"/>
      <x:c r="I14" s="40"/>
      <x:c r="J14" s="40"/>
      <x:c r="K14" s="40"/>
      <x:c r="L14" s="40"/>
      <x:c r="M14" s="40"/>
      <x:c r="N14" s="40"/>
      <x:c r="O14" s="40"/>
    </x:row>
    <x:row r="15">
      <x:c r="A15" s="31" t="str">
        <x:v>Principal paid monthly during holiday</x:v>
      </x:c>
      <x:c r="B15" s="32" t="n">
        <x:v>0</x:v>
      </x:c>
      <x:c r="C15" s="33" t="str">
        <x:v>Used only for Principal Only mode</x:v>
      </x:c>
      <x:c r="D15" s="40"/>
      <x:c r="E15" s="31" t="str">
        <x:v>Remaining months</x:v>
      </x:c>
      <x:c r="F15" s="32" t="e">
        <x:f>MAX(1,DATEDIF($B$11,$B$17,"m"))</x:f>
      </x:c>
      <x:c r="G15" s="33" t="str">
        <x:v>From current date to manual maturity</x:v>
      </x:c>
      <x:c r="H15" s="33" t="str"/>
      <x:c r="I15" s="40"/>
      <x:c r="J15" s="40"/>
      <x:c r="K15" s="40"/>
      <x:c r="L15" s="40"/>
      <x:c r="M15" s="40"/>
      <x:c r="N15" s="40"/>
      <x:c r="O15" s="40"/>
    </x:row>
    <x:row r="16">
      <x:c r="A16" s="31" t="str">
        <x:v>Remaining principal today</x:v>
      </x:c>
      <x:c r="B16" s="32" t="n">
        <x:v>2150000</x:v>
      </x:c>
      <x:c r="C16" s="33" t="str">
        <x:v>Includes borrowed amount + holiday interest - principal paid</x:v>
      </x:c>
      <x:c r="D16" s="40"/>
      <x:c r="E16" s="31" t="str">
        <x:v>Remaining interest baseline</x:v>
      </x:c>
      <x:c r="F16" s="32" t="e">
        <x:f>'Close Strategy Engine'!$D$3</x:f>
      </x:c>
      <x:c r="G16" s="33" t="str">
        <x:v>Interest if current path continues</x:v>
      </x:c>
      <x:c r="H16" s="33" t="str"/>
      <x:c r="I16" s="40"/>
      <x:c r="J16" s="40"/>
      <x:c r="K16" s="40"/>
      <x:c r="L16" s="40"/>
      <x:c r="M16" s="40"/>
      <x:c r="N16" s="40"/>
      <x:c r="O16" s="40"/>
    </x:row>
    <x:row r="17">
      <x:c r="A17" s="31" t="str">
        <x:v>Manual repayment maturity date</x:v>
      </x:c>
      <x:c r="B17" s="37" t="n">
        <x:v>51592</x:v>
      </x:c>
      <x:c r="C17" s="33" t="str">
        <x:v>Use actual maturity after past prepayments</x:v>
      </x:c>
      <x:c r="D17" s="40"/>
      <x:c r="E17" s="31" t="str">
        <x:v>Target closure months</x:v>
      </x:c>
      <x:c r="F17" s="36" t="e">
        <x:f>MAX(1,DATEDIF($B$11,$B$18,"m"))</x:f>
      </x:c>
      <x:c r="G17" s="33" t="str">
        <x:v>Current date to desired close date</x:v>
      </x:c>
      <x:c r="H17" s="33" t="str"/>
      <x:c r="I17" s="40"/>
      <x:c r="J17" s="40"/>
      <x:c r="K17" s="40"/>
      <x:c r="L17" s="40"/>
      <x:c r="M17" s="40"/>
      <x:c r="N17" s="40"/>
      <x:c r="O17" s="40"/>
    </x:row>
    <x:row r="18">
      <x:c r="A18" s="31" t="str">
        <x:v>Prepayment now</x:v>
      </x:c>
      <x:c r="B18" s="37" t="n">
        <x:v>100000</x:v>
      </x:c>
      <x:c r="C18" s="33" t="str">
        <x:v>One-time random prepayment</x:v>
      </x:c>
      <x:c r="D18" s="40"/>
      <x:c r="E18" s="31" t="str">
        <x:v>Required EMI to hit target</x:v>
      </x:c>
      <x:c r="F18" s="32" t="e">
        <x:f>IF(F6=0,F14/F17,PMT(F6,F17,-F14))</x:f>
      </x:c>
      <x:c r="G18" s="33" t="str">
        <x:v>EMI needed without extra strategies</x:v>
      </x:c>
      <x:c r="H18" s="33" t="str"/>
      <x:c r="I18" s="40"/>
      <x:c r="J18" s="40"/>
      <x:c r="K18" s="40"/>
      <x:c r="L18" s="40"/>
      <x:c r="M18" s="40"/>
      <x:c r="N18" s="40"/>
      <x:c r="O18" s="40"/>
    </x:row>
    <x:row r="19">
      <x:c r="A19" s="31" t="str">
        <x:v>Desired closure date</x:v>
      </x:c>
      <x:c r="B19" s="32" t="n">
        <x:v>47964</x:v>
      </x:c>
      <x:c r="C19" s="33" t="str">
        <x:v>Goal date for Close Early strategies</x:v>
      </x:c>
      <x:c r="D19" s="40"/>
      <x:c r="E19" s="31" t="str">
        <x:v>Best strategy</x:v>
      </x:c>
      <x:c r="F19" s="33" t="str">
        <x:f>INDEX('Close Strategy Engine'!$A$5:$A$8,MATCH(MAX('Close Strategy Engine'!$E$5:$E$8),'Close Strategy Engine'!$E$5:$E$8,0))</x:f>
        <x:v>Monthly Start</x:v>
      </x:c>
      <x:c r="G19" s="33" t="str">
        <x:v>Highest interest saved</x:v>
      </x:c>
      <x:c r="H19" s="33" t="str"/>
      <x:c r="I19" s="40"/>
      <x:c r="J19" s="40"/>
      <x:c r="K19" s="40"/>
      <x:c r="L19" s="40"/>
      <x:c r="M19" s="40"/>
      <x:c r="N19" s="40"/>
      <x:c r="O19" s="40"/>
    </x:row>
    <x:row r="20">
      <x:c r="A20" s="31" t="str">
        <x:v>Monthly EMI</x:v>
      </x:c>
      <x:c r="B20" s="33"/>
      <x:c r="C20" s="33" t="str">
        <x:v>Calculated below; may be overwritten if your EMI is fixed</x:v>
      </x:c>
      <x:c r="D20" s="40"/>
      <x:c r="E20" s="31" t="str">
        <x:v>Best interest saved</x:v>
      </x:c>
      <x:c r="F20" s="32" t="e">
        <x:f>MAX('Close Strategy Engine'!$E$5:$E$8)</x:f>
      </x:c>
      <x:c r="G20" s="33" t="str">
        <x:v>Compared with current path</x:v>
      </x:c>
      <x:c r="H20" s="33" t="str"/>
      <x:c r="I20" s="40"/>
      <x:c r="J20" s="40"/>
      <x:c r="K20" s="40"/>
      <x:c r="L20" s="40"/>
      <x:c r="M20" s="40"/>
      <x:c r="N20" s="40"/>
      <x:c r="O20" s="40"/>
    </x:row>
    <x:row r="21">
      <x:c r="A21" s="31" t="str"/>
      <x:c r="B21" s="33" t="str"/>
      <x:c r="C21" s="33" t="str"/>
      <x:c r="D21" s="40"/>
      <x:c r="E21" s="31" t="str"/>
      <x:c r="F21" s="33" t="str"/>
      <x:c r="G21" s="33" t="str"/>
      <x:c r="H21" s="33" t="str"/>
      <x:c r="I21" s="40"/>
      <x:c r="J21" s="40"/>
      <x:c r="K21" s="40"/>
      <x:c r="L21" s="40"/>
      <x:c r="M21" s="40"/>
      <x:c r="N21" s="40"/>
      <x:c r="O21" s="40"/>
    </x:row>
    <x:row r="22">
      <x:c r="A22" s="31" t="str">
        <x:v>Notes</x:v>
      </x:c>
      <x:c r="B22" s="33" t="str">
        <x:v>Inputs in column B are editable.</x:v>
      </x:c>
      <x:c r="C22" s="33" t="str">
        <x:v>Outputs and strategy tables update from formulas</x:v>
      </x:c>
      <x:c r="D22" s="40"/>
      <x:c r="E22" s="31" t="str">
        <x:v>Status</x:v>
      </x:c>
      <x:c r="F22" s="33" t="str">
        <x:f>IF($B$18&lt;=$B$11,"Desired closure date must be after current date",IF($B$16&lt;$B$18,"Prepayment cannot exceed remaining principal","Ready"))</x:f>
        <x:v>Ready</x:v>
      </x:c>
      <x:c r="G22" s="33" t="str">
        <x:v>Formula warnings appear here</x:v>
      </x:c>
      <x:c r="H22" s="33" t="str"/>
      <x:c r="I22" s="40"/>
      <x:c r="J22" s="40"/>
      <x:c r="K22" s="40"/>
      <x:c r="L22" s="40"/>
      <x:c r="M22" s="40"/>
      <x:c r="N22" s="40"/>
      <x:c r="O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</x:row>
    <x:row r="24">
      <x:c r="A24" s="30" t="str">
        <x:v>Close Early Comparative Analysis</x:v>
      </x:c>
      <x:c r="B24" s="40" t="str"/>
      <x:c r="C24" s="40" t="str"/>
      <x:c r="D24" s="40" t="str"/>
      <x:c r="E24" s="40" t="str"/>
      <x:c r="F24" s="40" t="str"/>
      <x:c r="G24" s="40" t="str"/>
      <x:c r="H24" s="30" t="str">
        <x:v>Visual Summary</x:v>
      </x:c>
      <x:c r="I24" s="40"/>
      <x:c r="J24" s="40"/>
      <x:c r="K24" s="40"/>
      <x:c r="L24" s="40"/>
      <x:c r="M24" s="40"/>
      <x:c r="N24" s="40"/>
      <x:c r="O24" s="40"/>
    </x:row>
    <x:row r="25">
      <x:c r="A25" s="31" t="str">
        <x:v>Option</x:v>
      </x:c>
      <x:c r="B25" s="31" t="str">
        <x:v>Extra amount</x:v>
      </x:c>
      <x:c r="C25" s="31" t="str">
        <x:v>Total extra</x:v>
      </x:c>
      <x:c r="D25" s="31" t="str">
        <x:v>Interest cost</x:v>
      </x:c>
      <x:c r="E25" s="31" t="str">
        <x:v>Interest saved</x:v>
      </x:c>
      <x:c r="F25" s="31" t="str">
        <x:v>Decision</x:v>
      </x:c>
      <x:c r="G25" s="40"/>
      <x:c r="H25" s="33" t="str">
        <x:v>Principal after holiday</x:v>
      </x:c>
      <x:c r="I25" s="32" t="str">
        <x:f>F9</x:f>
      </x:c>
      <x:c r="J25" s="40"/>
      <x:c r="K25" s="40"/>
      <x:c r="L25" s="40"/>
      <x:c r="M25" s="40"/>
      <x:c r="N25" s="40"/>
      <x:c r="O25" s="40"/>
    </x:row>
    <x:row r="26">
      <x:c r="A26" s="33" t="str">
        <x:v>Monthly Start</x:v>
      </x:c>
      <x:c r="B26" s="32" t="e">
        <x:f>'Close Strategy Engine'!B5</x:f>
      </x:c>
      <x:c r="C26" s="32" t="e">
        <x:f>'Close Strategy Engine'!C5</x:f>
      </x:c>
      <x:c r="D26" s="32" t="e">
        <x:f>'Close Strategy Engine'!D5</x:f>
      </x:c>
      <x:c r="E26" s="32" t="e">
        <x:f>'Close Strategy Engine'!E5</x:f>
      </x:c>
      <x:c r="F26" s="33" t="e">
        <x:f>'Close Strategy Engine'!F5</x:f>
      </x:c>
      <x:c r="G26" s="40"/>
      <x:c r="H26" s="33" t="str">
        <x:v>Total interest</x:v>
      </x:c>
      <x:c r="I26" s="32" t="n">
        <x:f>F11</x:f>
        <x:v>3671325</x:v>
      </x:c>
      <x:c r="J26" s="40"/>
      <x:c r="K26" s="40"/>
      <x:c r="L26" s="40"/>
      <x:c r="M26" s="40"/>
      <x:c r="N26" s="40"/>
      <x:c r="O26" s="40"/>
    </x:row>
    <x:row r="27">
      <x:c r="A27" s="33" t="str">
        <x:v>Weekly Start</x:v>
      </x:c>
      <x:c r="B27" s="32" t="e">
        <x:f>'Close Strategy Engine'!B6</x:f>
      </x:c>
      <x:c r="C27" s="32" t="e">
        <x:f>'Close Strategy Engine'!C6</x:f>
      </x:c>
      <x:c r="D27" s="32" t="e">
        <x:f>'Close Strategy Engine'!D6</x:f>
      </x:c>
      <x:c r="E27" s="32" t="e">
        <x:f>'Close Strategy Engine'!E6</x:f>
      </x:c>
      <x:c r="F27" s="33" t="e">
        <x:f>'Close Strategy Engine'!F6</x:f>
      </x:c>
      <x:c r="G27" s="40"/>
      <x:c r="H27" s="33" t="str">
        <x:v>Total amount paid</x:v>
      </x:c>
      <x:c r="I27" s="32" t="n">
        <x:f>F12</x:f>
        <x:v>0</x:v>
      </x:c>
      <x:c r="J27" s="40"/>
      <x:c r="K27" s="40"/>
      <x:c r="L27" s="40"/>
      <x:c r="M27" s="40"/>
      <x:c r="N27" s="40"/>
      <x:c r="O27" s="40"/>
    </x:row>
    <x:row r="28">
      <x:c r="A28" s="33" t="str">
        <x:v>Yearly Start</x:v>
      </x:c>
      <x:c r="B28" s="32" t="e">
        <x:f>'Close Strategy Engine'!B7</x:f>
      </x:c>
      <x:c r="C28" s="32" t="e">
        <x:f>'Close Strategy Engine'!C7</x:f>
      </x:c>
      <x:c r="D28" s="32" t="e">
        <x:f>'Close Strategy Engine'!D7</x:f>
      </x:c>
      <x:c r="E28" s="32" t="e">
        <x:f>'Close Strategy Engine'!E7</x:f>
      </x:c>
      <x:c r="F28" s="33" t="e">
        <x:f>'Close Strategy Engine'!F7</x:f>
      </x:c>
      <x:c r="G28" s="40"/>
      <x:c r="H28" s="40"/>
      <x:c r="I28" s="40"/>
      <x:c r="J28" s="40"/>
      <x:c r="K28" s="40"/>
      <x:c r="L28" s="40"/>
      <x:c r="M28" s="40"/>
      <x:c r="N28" s="40"/>
      <x:c r="O28" s="40"/>
    </x:row>
    <x:row r="29">
      <x:c r="A29" s="33" t="str">
        <x:v>One-Time Now</x:v>
      </x:c>
      <x:c r="B29" s="32" t="e">
        <x:f>'Close Strategy Engine'!B8</x:f>
      </x:c>
      <x:c r="C29" s="32" t="e">
        <x:f>'Close Strategy Engine'!C8</x:f>
      </x:c>
      <x:c r="D29" s="32" t="e">
        <x:f>'Close Strategy Engine'!D8</x:f>
      </x:c>
      <x:c r="E29" s="32" t="e">
        <x:f>'Close Strategy Engine'!E8</x:f>
      </x:c>
      <x:c r="F29" s="33" t="e">
        <x:f>'Close Strategy Engine'!F8</x:f>
      </x:c>
      <x:c r="G29" s="40"/>
      <x:c r="H29" s="40"/>
      <x:c r="I29" s="40"/>
      <x:c r="J29" s="40"/>
      <x:c r="K29" s="40"/>
      <x:c r="L29" s="40"/>
      <x:c r="M29" s="40"/>
      <x:c r="N29" s="40"/>
      <x:c r="O29" s="40"/>
    </x:row>
  </x:sheetData>
  <x:mergeCells>
    <x:mergeCell ref="A1:O2"/>
    <x:mergeCell ref="A3:O3"/>
    <x:mergeCell ref="A5:C5"/>
    <x:mergeCell ref="E5:H5"/>
    <x:mergeCell ref="A24:H24"/>
    <x:mergeCell ref="H24:O24"/>
  </x:mergeCells>
  <x:dataValidations count="1">
    <x:dataValidation type="list" sqref="B14">
      <x:formula1>"Nothing,Interest Only,Principal Only"</x:formula1>
    </x:dataValidation>
  </x:dataValidations>
  <x:pageMargins left="0.7" right="0.7" top="0.75" bottom="0.75" header="0.3" footer="0.3"/>
  <x:drawing xmlns:r="http://schemas.openxmlformats.org/officeDocument/2006/relationships" r:id="R56879652a49b4ba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16.43000030517578" hidden="0" customWidth="1"/>
    <x:col min="3" max="3" width="16.43000030517578" hidden="0" customWidth="1"/>
    <x:col min="4" max="4" width="16.43000030517578" hidden="0" customWidth="1"/>
    <x:col min="5" max="5" width="16.43000030517578" hidden="0" customWidth="1"/>
    <x:col min="6" max="6" width="16.43000030517578" hidden="0" customWidth="1"/>
    <x:col min="7" max="7" width="16.43000030517578" hidden="0" customWidth="1"/>
    <x:col min="8" max="8" width="16.43000030517578" hidden="0" customWidth="1"/>
    <x:col min="9" max="9" width="16.43000030517578" hidden="0" customWidth="1"/>
    <x:col min="10" max="10" width="16.43000030517578" hidden="0" customWidth="1"/>
    <x:col min="11" max="11" width="16.43000030517578" hidden="0" customWidth="1"/>
    <x:col min="12" max="12" width="16.43000030517578" hidden="0" customWidth="1"/>
    <x:col min="13" max="13" width="16.43000030517578" hidden="0" customWidth="1"/>
    <x:col min="14" max="14" width="16.43000030517578" hidden="0" customWidth="1"/>
    <x:col min="15" max="15" width="16.43000030517578" hidden="0" customWidth="1"/>
    <x:col min="16" max="16" width="16.43000030517578" hidden="0" customWidth="1"/>
  </x:cols>
  <x:sheetData>
    <x:row r="1">
      <x:c r="A1" s="30" t="str">
        <x:v>Month</x:v>
      </x:c>
      <x:c r="B1" s="30" t="str">
        <x:v>Phase</x:v>
      </x:c>
      <x:c r="C1" s="30" t="str">
        <x:v>Start principal base</x:v>
      </x:c>
      <x:c r="D1" s="30" t="str">
        <x:v>Start accrued interest</x:v>
      </x:c>
      <x:c r="E1" s="30" t="str">
        <x:v>Start total balance</x:v>
      </x:c>
      <x:c r="F1" s="30" t="str">
        <x:v>Holiday principal paid</x:v>
      </x:c>
      <x:c r="G1" s="30" t="str">
        <x:v>Interest</x:v>
      </x:c>
      <x:c r="H1" s="30" t="str">
        <x:v>Payment</x:v>
      </x:c>
      <x:c r="I1" s="30" t="str">
        <x:v>Principal paid</x:v>
      </x:c>
      <x:c r="J1" s="30" t="str">
        <x:v>End principal base</x:v>
      </x:c>
      <x:c r="K1" s="30" t="str">
        <x:v>End accrued interest</x:v>
      </x:c>
      <x:c r="L1" s="30" t="str">
        <x:v>End total balance</x:v>
      </x:c>
      <x:c r="M1" s="30" t="str">
        <x:v>Cumulative paid</x:v>
      </x:c>
      <x:c r="N1" s="30" t="str">
        <x:v>Cumulative principal</x:v>
      </x:c>
      <x:c r="O1" s="30" t="str">
        <x:v>Cumulative interest</x:v>
      </x:c>
      <x:c r="P1" s="30" t="str">
        <x:v>Month date</x:v>
      </x:c>
    </x:row>
    <x:row r="2">
      <x:c r="A2" s="33" t="n">
        <x:v>1</x:v>
      </x:c>
      <x:c r="B2" s="33" t="str">
        <x:f>IF(A2&lt;=Dashboard!$F$8,"Holiday",IF(A2&lt;=Dashboard!$F$8+Dashboard!$F$7,"Repayment","Closed"))</x:f>
        <x:v>Holiday</x:v>
      </x:c>
      <x:c r="C2" s="32" t="n">
        <x:f>IF(A2=1,Dashboard!$B$6,IF(B2="Holiday",J1,L1))</x:f>
        <x:v>1850000</x:v>
      </x:c>
      <x:c r="D2" s="32" t="n">
        <x:f>IF(A2=1,0,IF(B2="Holiday",K1,0))</x:f>
        <x:v>0</x:v>
      </x:c>
      <x:c r="E2" s="32" t="n">
        <x:f>C2+D2</x:f>
        <x:v>1850000</x:v>
      </x:c>
      <x:c r="F2" s="32" t="n">
        <x:f>IF(B2="Holiday",IF(Dashboard!$B$14="Principal Only",MIN(Dashboard!$B$15,C2),0),0)</x:f>
        <x:v>0</x:v>
      </x:c>
      <x:c r="G2" s="32" t="n">
        <x:f>IF(B2="Closed",0,IF(B2="Holiday",IF(Dashboard!$B$14="Interest Only",C2*Dashboard!$F$6,MAX(0,(C2-F2)*Dashboard!$F$6)),E2*Dashboard!$F$6))</x:f>
        <x:v>13875</x:v>
      </x:c>
      <x:c r="H2" s="32" t="n">
        <x:f>IF(B2="Holiday",IF(Dashboard!$B$14="Interest Only",G2,F2),IF(B2="Closed",0,MIN(Dashboard!$F$10,E2+G2)))</x:f>
        <x:v>0</x:v>
      </x:c>
      <x:c r="I2" s="32" t="n">
        <x:f>IF(B2="Holiday",F2,IF(B2="Closed",0,MAX(0,H2-G2)))</x:f>
        <x:v>0</x:v>
      </x:c>
      <x:c r="J2" s="32" t="n">
        <x:f>IF(B2="Holiday",MAX(0,C2-F2),IF(B2="Closed",0,MAX(0,E2-I2)))</x:f>
        <x:v>1850000</x:v>
      </x:c>
      <x:c r="K2" s="32" t="n">
        <x:f>IF(B2="Holiday",IF(Dashboard!$B$14="Interest Only",D2,D2+G2),0)</x:f>
        <x:v>13875</x:v>
      </x:c>
      <x:c r="L2" s="32" t="n">
        <x:f>J2+K2</x:f>
        <x:v>1863875</x:v>
      </x:c>
      <x:c r="M2" s="32" t="n">
        <x:f>IF(A2=1,H2,M1+H2)</x:f>
        <x:v>0</x:v>
      </x:c>
      <x:c r="N2" s="32" t="n">
        <x:f>IF(A2=1,I2,N1+I2)</x:f>
        <x:v>0</x:v>
      </x:c>
      <x:c r="O2" s="32" t="n">
        <x:f>IF(A2=1,G2,O1+G2)</x:f>
        <x:v>13875</x:v>
      </x:c>
      <x:c r="P2" s="37" t="n">
        <x:f>EDATE(Dashboard!$B$10,A2)</x:f>
        <x:v>45047</x:v>
      </x:c>
    </x:row>
    <x:row r="3">
      <x:c r="A3" s="33" t="n">
        <x:v>2</x:v>
      </x:c>
      <x:c r="B3" s="33" t="str">
        <x:f>IF(A3&lt;=Dashboard!$F$8,"Holiday",IF(A3&lt;=Dashboard!$F$8+Dashboard!$F$7,"Repayment","Closed"))</x:f>
        <x:v>Holiday</x:v>
      </x:c>
      <x:c r="C3" s="32" t="n">
        <x:f>IF(A3=1,Dashboard!$B$6,IF(B3="Holiday",J2,L2))</x:f>
        <x:v>1850000</x:v>
      </x:c>
      <x:c r="D3" s="32" t="n">
        <x:f>IF(A3=1,0,IF(B3="Holiday",K2,0))</x:f>
        <x:v>13875</x:v>
      </x:c>
      <x:c r="E3" s="32">
        <x:f>C3+D3</x:f>
      </x:c>
      <x:c r="F3" s="32" t="n">
        <x:f>IF(B3="Holiday",IF(Dashboard!$B$14="Principal Only",MIN(Dashboard!$B$15,C3),0),0)</x:f>
        <x:v>0</x:v>
      </x:c>
      <x:c r="G3" s="32" t="n">
        <x:f>IF(B3="Closed",0,IF(B3="Holiday",IF(Dashboard!$B$14="Interest Only",C3*Dashboard!$F$6,MAX(0,(C3-F3)*Dashboard!$F$6)),E3*Dashboard!$F$6))</x:f>
        <x:v>13875</x:v>
      </x:c>
      <x:c r="H3" s="32" t="n">
        <x:f>IF(B3="Holiday",IF(Dashboard!$B$14="Interest Only",G3,F3),IF(B3="Closed",0,MIN(Dashboard!$F$10,E3+G3)))</x:f>
        <x:v>0</x:v>
      </x:c>
      <x:c r="I3" s="32" t="n">
        <x:f>IF(B3="Holiday",F3,IF(B3="Closed",0,MAX(0,H3-G3)))</x:f>
        <x:v>0</x:v>
      </x:c>
      <x:c r="J3" s="32" t="n">
        <x:f>IF(B3="Holiday",MAX(0,C3-F3),IF(B3="Closed",0,MAX(0,E3-I3)))</x:f>
        <x:v>1850000</x:v>
      </x:c>
      <x:c r="K3" s="32" t="n">
        <x:f>IF(B3="Holiday",IF(Dashboard!$B$14="Interest Only",D3,D3+G3),0)</x:f>
        <x:v>27750</x:v>
      </x:c>
      <x:c r="L3" s="32" t="n">
        <x:f>J3+K3</x:f>
        <x:v>1877750</x:v>
      </x:c>
      <x:c r="M3" s="32" t="n">
        <x:f>IF(A3=1,H3,M2+H3)</x:f>
        <x:v>0</x:v>
      </x:c>
      <x:c r="N3" s="32" t="n">
        <x:f>IF(A3=1,I3,N2+I3)</x:f>
        <x:v>0</x:v>
      </x:c>
      <x:c r="O3" s="32" t="n">
        <x:f>IF(A3=1,G3,O2+G3)</x:f>
        <x:v>27750</x:v>
      </x:c>
      <x:c r="P3" s="37" t="n">
        <x:f>EDATE(Dashboard!$B$10,A3)</x:f>
        <x:v>45078</x:v>
      </x:c>
    </x:row>
    <x:row r="4">
      <x:c r="A4" s="33" t="n">
        <x:v>3</x:v>
      </x:c>
      <x:c r="B4" s="33" t="str">
        <x:f>IF(A4&lt;=Dashboard!$F$8,"Holiday",IF(A4&lt;=Dashboard!$F$8+Dashboard!$F$7,"Repayment","Closed"))</x:f>
        <x:v>Holiday</x:v>
      </x:c>
      <x:c r="C4" s="32" t="n">
        <x:f>IF(A4=1,Dashboard!$B$6,IF(B4="Holiday",J3,L3))</x:f>
        <x:v>1850000</x:v>
      </x:c>
      <x:c r="D4" s="32" t="n">
        <x:f>IF(A4=1,0,IF(B4="Holiday",K3,0))</x:f>
        <x:v>27750</x:v>
      </x:c>
      <x:c r="E4" s="32">
        <x:f>C4+D4</x:f>
      </x:c>
      <x:c r="F4" s="32" t="n">
        <x:f>IF(B4="Holiday",IF(Dashboard!$B$14="Principal Only",MIN(Dashboard!$B$15,C4),0),0)</x:f>
        <x:v>0</x:v>
      </x:c>
      <x:c r="G4" s="32" t="n">
        <x:f>IF(B4="Closed",0,IF(B4="Holiday",IF(Dashboard!$B$14="Interest Only",C4*Dashboard!$F$6,MAX(0,(C4-F4)*Dashboard!$F$6)),E4*Dashboard!$F$6))</x:f>
        <x:v>13875</x:v>
      </x:c>
      <x:c r="H4" s="32" t="n">
        <x:f>IF(B4="Holiday",IF(Dashboard!$B$14="Interest Only",G4,F4),IF(B4="Closed",0,MIN(Dashboard!$F$10,E4+G4)))</x:f>
        <x:v>0</x:v>
      </x:c>
      <x:c r="I4" s="32" t="n">
        <x:f>IF(B4="Holiday",F4,IF(B4="Closed",0,MAX(0,H4-G4)))</x:f>
        <x:v>0</x:v>
      </x:c>
      <x:c r="J4" s="32" t="n">
        <x:f>IF(B4="Holiday",MAX(0,C4-F4),IF(B4="Closed",0,MAX(0,E4-I4)))</x:f>
        <x:v>1850000</x:v>
      </x:c>
      <x:c r="K4" s="32" t="n">
        <x:f>IF(B4="Holiday",IF(Dashboard!$B$14="Interest Only",D4,D4+G4),0)</x:f>
        <x:v>41625</x:v>
      </x:c>
      <x:c r="L4" s="32" t="n">
        <x:f>J4+K4</x:f>
        <x:v>1891625</x:v>
      </x:c>
      <x:c r="M4" s="32" t="n">
        <x:f>IF(A4=1,H4,M3+H4)</x:f>
        <x:v>0</x:v>
      </x:c>
      <x:c r="N4" s="32" t="n">
        <x:f>IF(A4=1,I4,N3+I4)</x:f>
        <x:v>0</x:v>
      </x:c>
      <x:c r="O4" s="32" t="n">
        <x:f>IF(A4=1,G4,O3+G4)</x:f>
        <x:v>41625</x:v>
      </x:c>
      <x:c r="P4" s="37" t="n">
        <x:f>EDATE(Dashboard!$B$10,A4)</x:f>
        <x:v>45108</x:v>
      </x:c>
    </x:row>
    <x:row r="5">
      <x:c r="A5" s="33" t="n">
        <x:v>4</x:v>
      </x:c>
      <x:c r="B5" s="33" t="str">
        <x:f>IF(A5&lt;=Dashboard!$F$8,"Holiday",IF(A5&lt;=Dashboard!$F$8+Dashboard!$F$7,"Repayment","Closed"))</x:f>
        <x:v>Holiday</x:v>
      </x:c>
      <x:c r="C5" s="32" t="n">
        <x:f>IF(A5=1,Dashboard!$B$6,IF(B5="Holiday",J4,L4))</x:f>
        <x:v>1850000</x:v>
      </x:c>
      <x:c r="D5" s="32" t="n">
        <x:f>IF(A5=1,0,IF(B5="Holiday",K4,0))</x:f>
        <x:v>41625</x:v>
      </x:c>
      <x:c r="E5" s="32">
        <x:f>C5+D5</x:f>
      </x:c>
      <x:c r="F5" s="32" t="n">
        <x:f>IF(B5="Holiday",IF(Dashboard!$B$14="Principal Only",MIN(Dashboard!$B$15,C5),0),0)</x:f>
        <x:v>0</x:v>
      </x:c>
      <x:c r="G5" s="32" t="n">
        <x:f>IF(B5="Closed",0,IF(B5="Holiday",IF(Dashboard!$B$14="Interest Only",C5*Dashboard!$F$6,MAX(0,(C5-F5)*Dashboard!$F$6)),E5*Dashboard!$F$6))</x:f>
        <x:v>13875</x:v>
      </x:c>
      <x:c r="H5" s="32" t="n">
        <x:f>IF(B5="Holiday",IF(Dashboard!$B$14="Interest Only",G5,F5),IF(B5="Closed",0,MIN(Dashboard!$F$10,E5+G5)))</x:f>
        <x:v>0</x:v>
      </x:c>
      <x:c r="I5" s="32" t="n">
        <x:f>IF(B5="Holiday",F5,IF(B5="Closed",0,MAX(0,H5-G5)))</x:f>
        <x:v>0</x:v>
      </x:c>
      <x:c r="J5" s="32" t="n">
        <x:f>IF(B5="Holiday",MAX(0,C5-F5),IF(B5="Closed",0,MAX(0,E5-I5)))</x:f>
        <x:v>1850000</x:v>
      </x:c>
      <x:c r="K5" s="32" t="n">
        <x:f>IF(B5="Holiday",IF(Dashboard!$B$14="Interest Only",D5,D5+G5),0)</x:f>
        <x:v>55500</x:v>
      </x:c>
      <x:c r="L5" s="32" t="n">
        <x:f>J5+K5</x:f>
        <x:v>1905500</x:v>
      </x:c>
      <x:c r="M5" s="32" t="n">
        <x:f>IF(A5=1,H5,M4+H5)</x:f>
        <x:v>0</x:v>
      </x:c>
      <x:c r="N5" s="32" t="n">
        <x:f>IF(A5=1,I5,N4+I5)</x:f>
        <x:v>0</x:v>
      </x:c>
      <x:c r="O5" s="32" t="n">
        <x:f>IF(A5=1,G5,O4+G5)</x:f>
        <x:v>55500</x:v>
      </x:c>
      <x:c r="P5" s="37" t="n">
        <x:f>EDATE(Dashboard!$B$10,A5)</x:f>
        <x:v>45139</x:v>
      </x:c>
    </x:row>
    <x:row r="6">
      <x:c r="A6" s="33" t="n">
        <x:v>5</x:v>
      </x:c>
      <x:c r="B6" s="33" t="str">
        <x:f>IF(A6&lt;=Dashboard!$F$8,"Holiday",IF(A6&lt;=Dashboard!$F$8+Dashboard!$F$7,"Repayment","Closed"))</x:f>
        <x:v>Holiday</x:v>
      </x:c>
      <x:c r="C6" s="32" t="n">
        <x:f>IF(A6=1,Dashboard!$B$6,IF(B6="Holiday",J5,L5))</x:f>
        <x:v>1850000</x:v>
      </x:c>
      <x:c r="D6" s="32" t="n">
        <x:f>IF(A6=1,0,IF(B6="Holiday",K5,0))</x:f>
        <x:v>55500</x:v>
      </x:c>
      <x:c r="E6" s="32">
        <x:f>C6+D6</x:f>
      </x:c>
      <x:c r="F6" s="32" t="n">
        <x:f>IF(B6="Holiday",IF(Dashboard!$B$14="Principal Only",MIN(Dashboard!$B$15,C6),0),0)</x:f>
        <x:v>0</x:v>
      </x:c>
      <x:c r="G6" s="32" t="n">
        <x:f>IF(B6="Closed",0,IF(B6="Holiday",IF(Dashboard!$B$14="Interest Only",C6*Dashboard!$F$6,MAX(0,(C6-F6)*Dashboard!$F$6)),E6*Dashboard!$F$6))</x:f>
        <x:v>13875</x:v>
      </x:c>
      <x:c r="H6" s="32" t="n">
        <x:f>IF(B6="Holiday",IF(Dashboard!$B$14="Interest Only",G6,F6),IF(B6="Closed",0,MIN(Dashboard!$F$10,E6+G6)))</x:f>
        <x:v>0</x:v>
      </x:c>
      <x:c r="I6" s="32" t="n">
        <x:f>IF(B6="Holiday",F6,IF(B6="Closed",0,MAX(0,H6-G6)))</x:f>
        <x:v>0</x:v>
      </x:c>
      <x:c r="J6" s="32" t="n">
        <x:f>IF(B6="Holiday",MAX(0,C6-F6),IF(B6="Closed",0,MAX(0,E6-I6)))</x:f>
        <x:v>1850000</x:v>
      </x:c>
      <x:c r="K6" s="32" t="n">
        <x:f>IF(B6="Holiday",IF(Dashboard!$B$14="Interest Only",D6,D6+G6),0)</x:f>
        <x:v>69375</x:v>
      </x:c>
      <x:c r="L6" s="32" t="n">
        <x:f>J6+K6</x:f>
        <x:v>1919375</x:v>
      </x:c>
      <x:c r="M6" s="32" t="n">
        <x:f>IF(A6=1,H6,M5+H6)</x:f>
        <x:v>0</x:v>
      </x:c>
      <x:c r="N6" s="32" t="n">
        <x:f>IF(A6=1,I6,N5+I6)</x:f>
        <x:v>0</x:v>
      </x:c>
      <x:c r="O6" s="32" t="n">
        <x:f>IF(A6=1,G6,O5+G6)</x:f>
        <x:v>69375</x:v>
      </x:c>
      <x:c r="P6" s="37" t="n">
        <x:f>EDATE(Dashboard!$B$10,A6)</x:f>
        <x:v>45170</x:v>
      </x:c>
    </x:row>
    <x:row r="7">
      <x:c r="A7" s="33" t="n">
        <x:v>6</x:v>
      </x:c>
      <x:c r="B7" s="33" t="str">
        <x:f>IF(A7&lt;=Dashboard!$F$8,"Holiday",IF(A7&lt;=Dashboard!$F$8+Dashboard!$F$7,"Repayment","Closed"))</x:f>
        <x:v>Holiday</x:v>
      </x:c>
      <x:c r="C7" s="32" t="n">
        <x:f>IF(A7=1,Dashboard!$B$6,IF(B7="Holiday",J6,L6))</x:f>
        <x:v>1850000</x:v>
      </x:c>
      <x:c r="D7" s="32" t="n">
        <x:f>IF(A7=1,0,IF(B7="Holiday",K6,0))</x:f>
        <x:v>69375</x:v>
      </x:c>
      <x:c r="E7" s="32">
        <x:f>C7+D7</x:f>
      </x:c>
      <x:c r="F7" s="32" t="n">
        <x:f>IF(B7="Holiday",IF(Dashboard!$B$14="Principal Only",MIN(Dashboard!$B$15,C7),0),0)</x:f>
        <x:v>0</x:v>
      </x:c>
      <x:c r="G7" s="32" t="n">
        <x:f>IF(B7="Closed",0,IF(B7="Holiday",IF(Dashboard!$B$14="Interest Only",C7*Dashboard!$F$6,MAX(0,(C7-F7)*Dashboard!$F$6)),E7*Dashboard!$F$6))</x:f>
        <x:v>13875</x:v>
      </x:c>
      <x:c r="H7" s="32" t="n">
        <x:f>IF(B7="Holiday",IF(Dashboard!$B$14="Interest Only",G7,F7),IF(B7="Closed",0,MIN(Dashboard!$F$10,E7+G7)))</x:f>
        <x:v>0</x:v>
      </x:c>
      <x:c r="I7" s="32" t="n">
        <x:f>IF(B7="Holiday",F7,IF(B7="Closed",0,MAX(0,H7-G7)))</x:f>
        <x:v>0</x:v>
      </x:c>
      <x:c r="J7" s="32" t="n">
        <x:f>IF(B7="Holiday",MAX(0,C7-F7),IF(B7="Closed",0,MAX(0,E7-I7)))</x:f>
        <x:v>1850000</x:v>
      </x:c>
      <x:c r="K7" s="32" t="n">
        <x:f>IF(B7="Holiday",IF(Dashboard!$B$14="Interest Only",D7,D7+G7),0)</x:f>
        <x:v>83250</x:v>
      </x:c>
      <x:c r="L7" s="32" t="n">
        <x:f>J7+K7</x:f>
        <x:v>1933250</x:v>
      </x:c>
      <x:c r="M7" s="32" t="n">
        <x:f>IF(A7=1,H7,M6+H7)</x:f>
        <x:v>0</x:v>
      </x:c>
      <x:c r="N7" s="32" t="n">
        <x:f>IF(A7=1,I7,N6+I7)</x:f>
        <x:v>0</x:v>
      </x:c>
      <x:c r="O7" s="32" t="n">
        <x:f>IF(A7=1,G7,O6+G7)</x:f>
        <x:v>83250</x:v>
      </x:c>
      <x:c r="P7" s="37" t="n">
        <x:f>EDATE(Dashboard!$B$10,A7)</x:f>
        <x:v>45200</x:v>
      </x:c>
    </x:row>
    <x:row r="8">
      <x:c r="A8" s="33" t="n">
        <x:v>7</x:v>
      </x:c>
      <x:c r="B8" s="33" t="str">
        <x:f>IF(A8&lt;=Dashboard!$F$8,"Holiday",IF(A8&lt;=Dashboard!$F$8+Dashboard!$F$7,"Repayment","Closed"))</x:f>
        <x:v>Holiday</x:v>
      </x:c>
      <x:c r="C8" s="32" t="n">
        <x:f>IF(A8=1,Dashboard!$B$6,IF(B8="Holiday",J7,L7))</x:f>
        <x:v>1850000</x:v>
      </x:c>
      <x:c r="D8" s="32" t="n">
        <x:f>IF(A8=1,0,IF(B8="Holiday",K7,0))</x:f>
        <x:v>83250</x:v>
      </x:c>
      <x:c r="E8" s="32">
        <x:f>C8+D8</x:f>
      </x:c>
      <x:c r="F8" s="32" t="n">
        <x:f>IF(B8="Holiday",IF(Dashboard!$B$14="Principal Only",MIN(Dashboard!$B$15,C8),0),0)</x:f>
        <x:v>0</x:v>
      </x:c>
      <x:c r="G8" s="32" t="n">
        <x:f>IF(B8="Closed",0,IF(B8="Holiday",IF(Dashboard!$B$14="Interest Only",C8*Dashboard!$F$6,MAX(0,(C8-F8)*Dashboard!$F$6)),E8*Dashboard!$F$6))</x:f>
        <x:v>13875</x:v>
      </x:c>
      <x:c r="H8" s="32" t="n">
        <x:f>IF(B8="Holiday",IF(Dashboard!$B$14="Interest Only",G8,F8),IF(B8="Closed",0,MIN(Dashboard!$F$10,E8+G8)))</x:f>
        <x:v>0</x:v>
      </x:c>
      <x:c r="I8" s="32" t="n">
        <x:f>IF(B8="Holiday",F8,IF(B8="Closed",0,MAX(0,H8-G8)))</x:f>
        <x:v>0</x:v>
      </x:c>
      <x:c r="J8" s="32" t="n">
        <x:f>IF(B8="Holiday",MAX(0,C8-F8),IF(B8="Closed",0,MAX(0,E8-I8)))</x:f>
        <x:v>1850000</x:v>
      </x:c>
      <x:c r="K8" s="32" t="n">
        <x:f>IF(B8="Holiday",IF(Dashboard!$B$14="Interest Only",D8,D8+G8),0)</x:f>
        <x:v>97125</x:v>
      </x:c>
      <x:c r="L8" s="32" t="n">
        <x:f>J8+K8</x:f>
        <x:v>1947125</x:v>
      </x:c>
      <x:c r="M8" s="32" t="n">
        <x:f>IF(A8=1,H8,M7+H8)</x:f>
        <x:v>0</x:v>
      </x:c>
      <x:c r="N8" s="32" t="n">
        <x:f>IF(A8=1,I8,N7+I8)</x:f>
        <x:v>0</x:v>
      </x:c>
      <x:c r="O8" s="32" t="n">
        <x:f>IF(A8=1,G8,O7+G8)</x:f>
        <x:v>97125</x:v>
      </x:c>
      <x:c r="P8" s="37" t="n">
        <x:f>EDATE(Dashboard!$B$10,A8)</x:f>
        <x:v>45231</x:v>
      </x:c>
    </x:row>
    <x:row r="9">
      <x:c r="A9" s="33" t="n">
        <x:v>8</x:v>
      </x:c>
      <x:c r="B9" s="33" t="str">
        <x:f>IF(A9&lt;=Dashboard!$F$8,"Holiday",IF(A9&lt;=Dashboard!$F$8+Dashboard!$F$7,"Repayment","Closed"))</x:f>
        <x:v>Holiday</x:v>
      </x:c>
      <x:c r="C9" s="32" t="n">
        <x:f>IF(A9=1,Dashboard!$B$6,IF(B9="Holiday",J8,L8))</x:f>
        <x:v>1850000</x:v>
      </x:c>
      <x:c r="D9" s="32" t="n">
        <x:f>IF(A9=1,0,IF(B9="Holiday",K8,0))</x:f>
        <x:v>97125</x:v>
      </x:c>
      <x:c r="E9" s="32">
        <x:f>C9+D9</x:f>
      </x:c>
      <x:c r="F9" s="32" t="n">
        <x:f>IF(B9="Holiday",IF(Dashboard!$B$14="Principal Only",MIN(Dashboard!$B$15,C9),0),0)</x:f>
        <x:v>0</x:v>
      </x:c>
      <x:c r="G9" s="32" t="n">
        <x:f>IF(B9="Closed",0,IF(B9="Holiday",IF(Dashboard!$B$14="Interest Only",C9*Dashboard!$F$6,MAX(0,(C9-F9)*Dashboard!$F$6)),E9*Dashboard!$F$6))</x:f>
        <x:v>13875</x:v>
      </x:c>
      <x:c r="H9" s="32" t="n">
        <x:f>IF(B9="Holiday",IF(Dashboard!$B$14="Interest Only",G9,F9),IF(B9="Closed",0,MIN(Dashboard!$F$10,E9+G9)))</x:f>
        <x:v>0</x:v>
      </x:c>
      <x:c r="I9" s="32" t="n">
        <x:f>IF(B9="Holiday",F9,IF(B9="Closed",0,MAX(0,H9-G9)))</x:f>
        <x:v>0</x:v>
      </x:c>
      <x:c r="J9" s="32" t="n">
        <x:f>IF(B9="Holiday",MAX(0,C9-F9),IF(B9="Closed",0,MAX(0,E9-I9)))</x:f>
        <x:v>1850000</x:v>
      </x:c>
      <x:c r="K9" s="32" t="n">
        <x:f>IF(B9="Holiday",IF(Dashboard!$B$14="Interest Only",D9,D9+G9),0)</x:f>
        <x:v>111000</x:v>
      </x:c>
      <x:c r="L9" s="32" t="n">
        <x:f>J9+K9</x:f>
        <x:v>1961000</x:v>
      </x:c>
      <x:c r="M9" s="32" t="n">
        <x:f>IF(A9=1,H9,M8+H9)</x:f>
        <x:v>0</x:v>
      </x:c>
      <x:c r="N9" s="32" t="n">
        <x:f>IF(A9=1,I9,N8+I9)</x:f>
        <x:v>0</x:v>
      </x:c>
      <x:c r="O9" s="32" t="n">
        <x:f>IF(A9=1,G9,O8+G9)</x:f>
        <x:v>111000</x:v>
      </x:c>
      <x:c r="P9" s="37" t="n">
        <x:f>EDATE(Dashboard!$B$10,A9)</x:f>
        <x:v>45261</x:v>
      </x:c>
    </x:row>
    <x:row r="10">
      <x:c r="A10" s="33" t="n">
        <x:v>9</x:v>
      </x:c>
      <x:c r="B10" s="33" t="str">
        <x:f>IF(A10&lt;=Dashboard!$F$8,"Holiday",IF(A10&lt;=Dashboard!$F$8+Dashboard!$F$7,"Repayment","Closed"))</x:f>
        <x:v>Holiday</x:v>
      </x:c>
      <x:c r="C10" s="32" t="n">
        <x:f>IF(A10=1,Dashboard!$B$6,IF(B10="Holiday",J9,L9))</x:f>
        <x:v>1850000</x:v>
      </x:c>
      <x:c r="D10" s="32" t="n">
        <x:f>IF(A10=1,0,IF(B10="Holiday",K9,0))</x:f>
        <x:v>111000</x:v>
      </x:c>
      <x:c r="E10" s="32">
        <x:f>C10+D10</x:f>
      </x:c>
      <x:c r="F10" s="32" t="n">
        <x:f>IF(B10="Holiday",IF(Dashboard!$B$14="Principal Only",MIN(Dashboard!$B$15,C10),0),0)</x:f>
        <x:v>0</x:v>
      </x:c>
      <x:c r="G10" s="32" t="n">
        <x:f>IF(B10="Closed",0,IF(B10="Holiday",IF(Dashboard!$B$14="Interest Only",C10*Dashboard!$F$6,MAX(0,(C10-F10)*Dashboard!$F$6)),E10*Dashboard!$F$6))</x:f>
        <x:v>13875</x:v>
      </x:c>
      <x:c r="H10" s="32" t="n">
        <x:f>IF(B10="Holiday",IF(Dashboard!$B$14="Interest Only",G10,F10),IF(B10="Closed",0,MIN(Dashboard!$F$10,E10+G10)))</x:f>
        <x:v>0</x:v>
      </x:c>
      <x:c r="I10" s="32" t="n">
        <x:f>IF(B10="Holiday",F10,IF(B10="Closed",0,MAX(0,H10-G10)))</x:f>
        <x:v>0</x:v>
      </x:c>
      <x:c r="J10" s="32" t="n">
        <x:f>IF(B10="Holiday",MAX(0,C10-F10),IF(B10="Closed",0,MAX(0,E10-I10)))</x:f>
        <x:v>1850000</x:v>
      </x:c>
      <x:c r="K10" s="32" t="n">
        <x:f>IF(B10="Holiday",IF(Dashboard!$B$14="Interest Only",D10,D10+G10),0)</x:f>
        <x:v>124875</x:v>
      </x:c>
      <x:c r="L10" s="32" t="n">
        <x:f>J10+K10</x:f>
        <x:v>1974875</x:v>
      </x:c>
      <x:c r="M10" s="32" t="n">
        <x:f>IF(A10=1,H10,M9+H10)</x:f>
        <x:v>0</x:v>
      </x:c>
      <x:c r="N10" s="32" t="n">
        <x:f>IF(A10=1,I10,N9+I10)</x:f>
        <x:v>0</x:v>
      </x:c>
      <x:c r="O10" s="32" t="n">
        <x:f>IF(A10=1,G10,O9+G10)</x:f>
        <x:v>124875</x:v>
      </x:c>
      <x:c r="P10" s="37" t="n">
        <x:f>EDATE(Dashboard!$B$10,A10)</x:f>
        <x:v>45292</x:v>
      </x:c>
    </x:row>
    <x:row r="11">
      <x:c r="A11" s="33" t="n">
        <x:v>10</x:v>
      </x:c>
      <x:c r="B11" s="33" t="str">
        <x:f>IF(A11&lt;=Dashboard!$F$8,"Holiday",IF(A11&lt;=Dashboard!$F$8+Dashboard!$F$7,"Repayment","Closed"))</x:f>
        <x:v>Holiday</x:v>
      </x:c>
      <x:c r="C11" s="32" t="n">
        <x:f>IF(A11=1,Dashboard!$B$6,IF(B11="Holiday",J10,L10))</x:f>
        <x:v>1850000</x:v>
      </x:c>
      <x:c r="D11" s="32" t="n">
        <x:f>IF(A11=1,0,IF(B11="Holiday",K10,0))</x:f>
        <x:v>124875</x:v>
      </x:c>
      <x:c r="E11" s="32">
        <x:f>C11+D11</x:f>
      </x:c>
      <x:c r="F11" s="32" t="n">
        <x:f>IF(B11="Holiday",IF(Dashboard!$B$14="Principal Only",MIN(Dashboard!$B$15,C11),0),0)</x:f>
        <x:v>0</x:v>
      </x:c>
      <x:c r="G11" s="32" t="n">
        <x:f>IF(B11="Closed",0,IF(B11="Holiday",IF(Dashboard!$B$14="Interest Only",C11*Dashboard!$F$6,MAX(0,(C11-F11)*Dashboard!$F$6)),E11*Dashboard!$F$6))</x:f>
        <x:v>13875</x:v>
      </x:c>
      <x:c r="H11" s="32" t="n">
        <x:f>IF(B11="Holiday",IF(Dashboard!$B$14="Interest Only",G11,F11),IF(B11="Closed",0,MIN(Dashboard!$F$10,E11+G11)))</x:f>
        <x:v>0</x:v>
      </x:c>
      <x:c r="I11" s="32" t="n">
        <x:f>IF(B11="Holiday",F11,IF(B11="Closed",0,MAX(0,H11-G11)))</x:f>
        <x:v>0</x:v>
      </x:c>
      <x:c r="J11" s="32" t="n">
        <x:f>IF(B11="Holiday",MAX(0,C11-F11),IF(B11="Closed",0,MAX(0,E11-I11)))</x:f>
        <x:v>1850000</x:v>
      </x:c>
      <x:c r="K11" s="32" t="n">
        <x:f>IF(B11="Holiday",IF(Dashboard!$B$14="Interest Only",D11,D11+G11),0)</x:f>
        <x:v>138750</x:v>
      </x:c>
      <x:c r="L11" s="32" t="n">
        <x:f>J11+K11</x:f>
        <x:v>1988750</x:v>
      </x:c>
      <x:c r="M11" s="32" t="n">
        <x:f>IF(A11=1,H11,M10+H11)</x:f>
        <x:v>0</x:v>
      </x:c>
      <x:c r="N11" s="32" t="n">
        <x:f>IF(A11=1,I11,N10+I11)</x:f>
        <x:v>0</x:v>
      </x:c>
      <x:c r="O11" s="32" t="n">
        <x:f>IF(A11=1,G11,O10+G11)</x:f>
        <x:v>138750</x:v>
      </x:c>
      <x:c r="P11" s="37" t="n">
        <x:f>EDATE(Dashboard!$B$10,A11)</x:f>
        <x:v>45323</x:v>
      </x:c>
    </x:row>
    <x:row r="12">
      <x:c r="A12" s="33" t="n">
        <x:v>11</x:v>
      </x:c>
      <x:c r="B12" s="33" t="str">
        <x:f>IF(A12&lt;=Dashboard!$F$8,"Holiday",IF(A12&lt;=Dashboard!$F$8+Dashboard!$F$7,"Repayment","Closed"))</x:f>
        <x:v>Holiday</x:v>
      </x:c>
      <x:c r="C12" s="32" t="n">
        <x:f>IF(A12=1,Dashboard!$B$6,IF(B12="Holiday",J11,L11))</x:f>
        <x:v>1850000</x:v>
      </x:c>
      <x:c r="D12" s="32" t="n">
        <x:f>IF(A12=1,0,IF(B12="Holiday",K11,0))</x:f>
        <x:v>138750</x:v>
      </x:c>
      <x:c r="E12" s="32">
        <x:f>C12+D12</x:f>
      </x:c>
      <x:c r="F12" s="32" t="n">
        <x:f>IF(B12="Holiday",IF(Dashboard!$B$14="Principal Only",MIN(Dashboard!$B$15,C12),0),0)</x:f>
        <x:v>0</x:v>
      </x:c>
      <x:c r="G12" s="32" t="n">
        <x:f>IF(B12="Closed",0,IF(B12="Holiday",IF(Dashboard!$B$14="Interest Only",C12*Dashboard!$F$6,MAX(0,(C12-F12)*Dashboard!$F$6)),E12*Dashboard!$F$6))</x:f>
        <x:v>13875</x:v>
      </x:c>
      <x:c r="H12" s="32" t="n">
        <x:f>IF(B12="Holiday",IF(Dashboard!$B$14="Interest Only",G12,F12),IF(B12="Closed",0,MIN(Dashboard!$F$10,E12+G12)))</x:f>
        <x:v>0</x:v>
      </x:c>
      <x:c r="I12" s="32" t="n">
        <x:f>IF(B12="Holiday",F12,IF(B12="Closed",0,MAX(0,H12-G12)))</x:f>
        <x:v>0</x:v>
      </x:c>
      <x:c r="J12" s="32" t="n">
        <x:f>IF(B12="Holiday",MAX(0,C12-F12),IF(B12="Closed",0,MAX(0,E12-I12)))</x:f>
        <x:v>1850000</x:v>
      </x:c>
      <x:c r="K12" s="32" t="n">
        <x:f>IF(B12="Holiday",IF(Dashboard!$B$14="Interest Only",D12,D12+G12),0)</x:f>
        <x:v>152625</x:v>
      </x:c>
      <x:c r="L12" s="32" t="n">
        <x:f>J12+K12</x:f>
        <x:v>2002625</x:v>
      </x:c>
      <x:c r="M12" s="32" t="n">
        <x:f>IF(A12=1,H12,M11+H12)</x:f>
        <x:v>0</x:v>
      </x:c>
      <x:c r="N12" s="32" t="n">
        <x:f>IF(A12=1,I12,N11+I12)</x:f>
        <x:v>0</x:v>
      </x:c>
      <x:c r="O12" s="32" t="n">
        <x:f>IF(A12=1,G12,O11+G12)</x:f>
        <x:v>152625</x:v>
      </x:c>
      <x:c r="P12" s="37" t="n">
        <x:f>EDATE(Dashboard!$B$10,A12)</x:f>
        <x:v>45352</x:v>
      </x:c>
    </x:row>
    <x:row r="13">
      <x:c r="A13" s="33" t="n">
        <x:v>12</x:v>
      </x:c>
      <x:c r="B13" s="33" t="str">
        <x:f>IF(A13&lt;=Dashboard!$F$8,"Holiday",IF(A13&lt;=Dashboard!$F$8+Dashboard!$F$7,"Repayment","Closed"))</x:f>
        <x:v>Holiday</x:v>
      </x:c>
      <x:c r="C13" s="32" t="n">
        <x:f>IF(A13=1,Dashboard!$B$6,IF(B13="Holiday",J12,L12))</x:f>
        <x:v>1850000</x:v>
      </x:c>
      <x:c r="D13" s="32" t="n">
        <x:f>IF(A13=1,0,IF(B13="Holiday",K12,0))</x:f>
        <x:v>152625</x:v>
      </x:c>
      <x:c r="E13" s="32">
        <x:f>C13+D13</x:f>
      </x:c>
      <x:c r="F13" s="32" t="n">
        <x:f>IF(B13="Holiday",IF(Dashboard!$B$14="Principal Only",MIN(Dashboard!$B$15,C13),0),0)</x:f>
        <x:v>0</x:v>
      </x:c>
      <x:c r="G13" s="32" t="n">
        <x:f>IF(B13="Closed",0,IF(B13="Holiday",IF(Dashboard!$B$14="Interest Only",C13*Dashboard!$F$6,MAX(0,(C13-F13)*Dashboard!$F$6)),E13*Dashboard!$F$6))</x:f>
        <x:v>13875</x:v>
      </x:c>
      <x:c r="H13" s="32" t="n">
        <x:f>IF(B13="Holiday",IF(Dashboard!$B$14="Interest Only",G13,F13),IF(B13="Closed",0,MIN(Dashboard!$F$10,E13+G13)))</x:f>
        <x:v>0</x:v>
      </x:c>
      <x:c r="I13" s="32" t="n">
        <x:f>IF(B13="Holiday",F13,IF(B13="Closed",0,MAX(0,H13-G13)))</x:f>
        <x:v>0</x:v>
      </x:c>
      <x:c r="J13" s="32" t="n">
        <x:f>IF(B13="Holiday",MAX(0,C13-F13),IF(B13="Closed",0,MAX(0,E13-I13)))</x:f>
        <x:v>1850000</x:v>
      </x:c>
      <x:c r="K13" s="32" t="n">
        <x:f>IF(B13="Holiday",IF(Dashboard!$B$14="Interest Only",D13,D13+G13),0)</x:f>
        <x:v>166500</x:v>
      </x:c>
      <x:c r="L13" s="32" t="n">
        <x:f>J13+K13</x:f>
        <x:v>2016500</x:v>
      </x:c>
      <x:c r="M13" s="32" t="n">
        <x:f>IF(A13=1,H13,M12+H13)</x:f>
        <x:v>0</x:v>
      </x:c>
      <x:c r="N13" s="32" t="n">
        <x:f>IF(A13=1,I13,N12+I13)</x:f>
        <x:v>0</x:v>
      </x:c>
      <x:c r="O13" s="32" t="n">
        <x:f>IF(A13=1,G13,O12+G13)</x:f>
        <x:v>166500</x:v>
      </x:c>
      <x:c r="P13" s="37" t="n">
        <x:f>EDATE(Dashboard!$B$10,A13)</x:f>
        <x:v>45383</x:v>
      </x:c>
    </x:row>
    <x:row r="14">
      <x:c r="A14" s="33" t="n">
        <x:v>13</x:v>
      </x:c>
      <x:c r="B14" s="33" t="str">
        <x:f>IF(A14&lt;=Dashboard!$F$8,"Holiday",IF(A14&lt;=Dashboard!$F$8+Dashboard!$F$7,"Repayment","Closed"))</x:f>
        <x:v>Holiday</x:v>
      </x:c>
      <x:c r="C14" s="32" t="n">
        <x:f>IF(A14=1,Dashboard!$B$6,IF(B14="Holiday",J13,L13))</x:f>
        <x:v>1850000</x:v>
      </x:c>
      <x:c r="D14" s="32" t="n">
        <x:f>IF(A14=1,0,IF(B14="Holiday",K13,0))</x:f>
        <x:v>166500</x:v>
      </x:c>
      <x:c r="E14" s="32">
        <x:f>C14+D14</x:f>
      </x:c>
      <x:c r="F14" s="32" t="n">
        <x:f>IF(B14="Holiday",IF(Dashboard!$B$14="Principal Only",MIN(Dashboard!$B$15,C14),0),0)</x:f>
        <x:v>0</x:v>
      </x:c>
      <x:c r="G14" s="32" t="n">
        <x:f>IF(B14="Closed",0,IF(B14="Holiday",IF(Dashboard!$B$14="Interest Only",C14*Dashboard!$F$6,MAX(0,(C14-F14)*Dashboard!$F$6)),E14*Dashboard!$F$6))</x:f>
        <x:v>13875</x:v>
      </x:c>
      <x:c r="H14" s="32" t="n">
        <x:f>IF(B14="Holiday",IF(Dashboard!$B$14="Interest Only",G14,F14),IF(B14="Closed",0,MIN(Dashboard!$F$10,E14+G14)))</x:f>
        <x:v>0</x:v>
      </x:c>
      <x:c r="I14" s="32" t="n">
        <x:f>IF(B14="Holiday",F14,IF(B14="Closed",0,MAX(0,H14-G14)))</x:f>
        <x:v>0</x:v>
      </x:c>
      <x:c r="J14" s="32" t="n">
        <x:f>IF(B14="Holiday",MAX(0,C14-F14),IF(B14="Closed",0,MAX(0,E14-I14)))</x:f>
        <x:v>1850000</x:v>
      </x:c>
      <x:c r="K14" s="32" t="n">
        <x:f>IF(B14="Holiday",IF(Dashboard!$B$14="Interest Only",D14,D14+G14),0)</x:f>
        <x:v>180375</x:v>
      </x:c>
      <x:c r="L14" s="32" t="n">
        <x:f>J14+K14</x:f>
        <x:v>2030375</x:v>
      </x:c>
      <x:c r="M14" s="32" t="n">
        <x:f>IF(A14=1,H14,M13+H14)</x:f>
        <x:v>0</x:v>
      </x:c>
      <x:c r="N14" s="32" t="n">
        <x:f>IF(A14=1,I14,N13+I14)</x:f>
        <x:v>0</x:v>
      </x:c>
      <x:c r="O14" s="32" t="n">
        <x:f>IF(A14=1,G14,O13+G14)</x:f>
        <x:v>180375</x:v>
      </x:c>
      <x:c r="P14" s="37" t="n">
        <x:f>EDATE(Dashboard!$B$10,A14)</x:f>
        <x:v>45413</x:v>
      </x:c>
    </x:row>
    <x:row r="15">
      <x:c r="A15" s="33" t="n">
        <x:v>14</x:v>
      </x:c>
      <x:c r="B15" s="33" t="str">
        <x:f>IF(A15&lt;=Dashboard!$F$8,"Holiday",IF(A15&lt;=Dashboard!$F$8+Dashboard!$F$7,"Repayment","Closed"))</x:f>
        <x:v>Holiday</x:v>
      </x:c>
      <x:c r="C15" s="32" t="n">
        <x:f>IF(A15=1,Dashboard!$B$6,IF(B15="Holiday",J14,L14))</x:f>
        <x:v>1850000</x:v>
      </x:c>
      <x:c r="D15" s="32" t="n">
        <x:f>IF(A15=1,0,IF(B15="Holiday",K14,0))</x:f>
        <x:v>180375</x:v>
      </x:c>
      <x:c r="E15" s="32">
        <x:f>C15+D15</x:f>
      </x:c>
      <x:c r="F15" s="32" t="n">
        <x:f>IF(B15="Holiday",IF(Dashboard!$B$14="Principal Only",MIN(Dashboard!$B$15,C15),0),0)</x:f>
        <x:v>0</x:v>
      </x:c>
      <x:c r="G15" s="32" t="n">
        <x:f>IF(B15="Closed",0,IF(B15="Holiday",IF(Dashboard!$B$14="Interest Only",C15*Dashboard!$F$6,MAX(0,(C15-F15)*Dashboard!$F$6)),E15*Dashboard!$F$6))</x:f>
        <x:v>13875</x:v>
      </x:c>
      <x:c r="H15" s="32" t="n">
        <x:f>IF(B15="Holiday",IF(Dashboard!$B$14="Interest Only",G15,F15),IF(B15="Closed",0,MIN(Dashboard!$F$10,E15+G15)))</x:f>
        <x:v>0</x:v>
      </x:c>
      <x:c r="I15" s="32" t="n">
        <x:f>IF(B15="Holiday",F15,IF(B15="Closed",0,MAX(0,H15-G15)))</x:f>
        <x:v>0</x:v>
      </x:c>
      <x:c r="J15" s="32" t="n">
        <x:f>IF(B15="Holiday",MAX(0,C15-F15),IF(B15="Closed",0,MAX(0,E15-I15)))</x:f>
        <x:v>1850000</x:v>
      </x:c>
      <x:c r="K15" s="32" t="n">
        <x:f>IF(B15="Holiday",IF(Dashboard!$B$14="Interest Only",D15,D15+G15),0)</x:f>
        <x:v>194250</x:v>
      </x:c>
      <x:c r="L15" s="32" t="n">
        <x:f>J15+K15</x:f>
        <x:v>2044250</x:v>
      </x:c>
      <x:c r="M15" s="32" t="n">
        <x:f>IF(A15=1,H15,M14+H15)</x:f>
        <x:v>0</x:v>
      </x:c>
      <x:c r="N15" s="32" t="n">
        <x:f>IF(A15=1,I15,N14+I15)</x:f>
        <x:v>0</x:v>
      </x:c>
      <x:c r="O15" s="32" t="n">
        <x:f>IF(A15=1,G15,O14+G15)</x:f>
        <x:v>194250</x:v>
      </x:c>
      <x:c r="P15" s="37" t="n">
        <x:f>EDATE(Dashboard!$B$10,A15)</x:f>
        <x:v>45444</x:v>
      </x:c>
    </x:row>
    <x:row r="16">
      <x:c r="A16" s="33" t="n">
        <x:v>15</x:v>
      </x:c>
      <x:c r="B16" s="33" t="str">
        <x:f>IF(A16&lt;=Dashboard!$F$8,"Holiday",IF(A16&lt;=Dashboard!$F$8+Dashboard!$F$7,"Repayment","Closed"))</x:f>
        <x:v>Holiday</x:v>
      </x:c>
      <x:c r="C16" s="32" t="n">
        <x:f>IF(A16=1,Dashboard!$B$6,IF(B16="Holiday",J15,L15))</x:f>
        <x:v>1850000</x:v>
      </x:c>
      <x:c r="D16" s="32" t="n">
        <x:f>IF(A16=1,0,IF(B16="Holiday",K15,0))</x:f>
        <x:v>194250</x:v>
      </x:c>
      <x:c r="E16" s="32">
        <x:f>C16+D16</x:f>
      </x:c>
      <x:c r="F16" s="32" t="n">
        <x:f>IF(B16="Holiday",IF(Dashboard!$B$14="Principal Only",MIN(Dashboard!$B$15,C16),0),0)</x:f>
        <x:v>0</x:v>
      </x:c>
      <x:c r="G16" s="32" t="n">
        <x:f>IF(B16="Closed",0,IF(B16="Holiday",IF(Dashboard!$B$14="Interest Only",C16*Dashboard!$F$6,MAX(0,(C16-F16)*Dashboard!$F$6)),E16*Dashboard!$F$6))</x:f>
        <x:v>13875</x:v>
      </x:c>
      <x:c r="H16" s="32" t="n">
        <x:f>IF(B16="Holiday",IF(Dashboard!$B$14="Interest Only",G16,F16),IF(B16="Closed",0,MIN(Dashboard!$F$10,E16+G16)))</x:f>
        <x:v>0</x:v>
      </x:c>
      <x:c r="I16" s="32" t="n">
        <x:f>IF(B16="Holiday",F16,IF(B16="Closed",0,MAX(0,H16-G16)))</x:f>
        <x:v>0</x:v>
      </x:c>
      <x:c r="J16" s="32" t="n">
        <x:f>IF(B16="Holiday",MAX(0,C16-F16),IF(B16="Closed",0,MAX(0,E16-I16)))</x:f>
        <x:v>1850000</x:v>
      </x:c>
      <x:c r="K16" s="32" t="n">
        <x:f>IF(B16="Holiday",IF(Dashboard!$B$14="Interest Only",D16,D16+G16),0)</x:f>
        <x:v>208125</x:v>
      </x:c>
      <x:c r="L16" s="32" t="n">
        <x:f>J16+K16</x:f>
        <x:v>2058125</x:v>
      </x:c>
      <x:c r="M16" s="32" t="n">
        <x:f>IF(A16=1,H16,M15+H16)</x:f>
        <x:v>0</x:v>
      </x:c>
      <x:c r="N16" s="32" t="n">
        <x:f>IF(A16=1,I16,N15+I16)</x:f>
        <x:v>0</x:v>
      </x:c>
      <x:c r="O16" s="32" t="n">
        <x:f>IF(A16=1,G16,O15+G16)</x:f>
        <x:v>208125</x:v>
      </x:c>
      <x:c r="P16" s="37" t="n">
        <x:f>EDATE(Dashboard!$B$10,A16)</x:f>
        <x:v>45474</x:v>
      </x:c>
    </x:row>
    <x:row r="17">
      <x:c r="A17" s="33" t="n">
        <x:v>16</x:v>
      </x:c>
      <x:c r="B17" s="33" t="str">
        <x:f>IF(A17&lt;=Dashboard!$F$8,"Holiday",IF(A17&lt;=Dashboard!$F$8+Dashboard!$F$7,"Repayment","Closed"))</x:f>
        <x:v>Holiday</x:v>
      </x:c>
      <x:c r="C17" s="32" t="n">
        <x:f>IF(A17=1,Dashboard!$B$6,IF(B17="Holiday",J16,L16))</x:f>
        <x:v>1850000</x:v>
      </x:c>
      <x:c r="D17" s="32" t="n">
        <x:f>IF(A17=1,0,IF(B17="Holiday",K16,0))</x:f>
        <x:v>208125</x:v>
      </x:c>
      <x:c r="E17" s="32">
        <x:f>C17+D17</x:f>
      </x:c>
      <x:c r="F17" s="32" t="n">
        <x:f>IF(B17="Holiday",IF(Dashboard!$B$14="Principal Only",MIN(Dashboard!$B$15,C17),0),0)</x:f>
        <x:v>0</x:v>
      </x:c>
      <x:c r="G17" s="32" t="n">
        <x:f>IF(B17="Closed",0,IF(B17="Holiday",IF(Dashboard!$B$14="Interest Only",C17*Dashboard!$F$6,MAX(0,(C17-F17)*Dashboard!$F$6)),E17*Dashboard!$F$6))</x:f>
        <x:v>13875</x:v>
      </x:c>
      <x:c r="H17" s="32" t="n">
        <x:f>IF(B17="Holiday",IF(Dashboard!$B$14="Interest Only",G17,F17),IF(B17="Closed",0,MIN(Dashboard!$F$10,E17+G17)))</x:f>
        <x:v>0</x:v>
      </x:c>
      <x:c r="I17" s="32" t="n">
        <x:f>IF(B17="Holiday",F17,IF(B17="Closed",0,MAX(0,H17-G17)))</x:f>
        <x:v>0</x:v>
      </x:c>
      <x:c r="J17" s="32" t="n">
        <x:f>IF(B17="Holiday",MAX(0,C17-F17),IF(B17="Closed",0,MAX(0,E17-I17)))</x:f>
        <x:v>1850000</x:v>
      </x:c>
      <x:c r="K17" s="32" t="n">
        <x:f>IF(B17="Holiday",IF(Dashboard!$B$14="Interest Only",D17,D17+G17),0)</x:f>
        <x:v>222000</x:v>
      </x:c>
      <x:c r="L17" s="32" t="n">
        <x:f>J17+K17</x:f>
        <x:v>2072000</x:v>
      </x:c>
      <x:c r="M17" s="32" t="n">
        <x:f>IF(A17=1,H17,M16+H17)</x:f>
        <x:v>0</x:v>
      </x:c>
      <x:c r="N17" s="32" t="n">
        <x:f>IF(A17=1,I17,N16+I17)</x:f>
        <x:v>0</x:v>
      </x:c>
      <x:c r="O17" s="32" t="n">
        <x:f>IF(A17=1,G17,O16+G17)</x:f>
        <x:v>222000</x:v>
      </x:c>
      <x:c r="P17" s="37" t="n">
        <x:f>EDATE(Dashboard!$B$10,A17)</x:f>
        <x:v>45505</x:v>
      </x:c>
    </x:row>
    <x:row r="18">
      <x:c r="A18" s="33" t="n">
        <x:v>17</x:v>
      </x:c>
      <x:c r="B18" s="33" t="str">
        <x:f>IF(A18&lt;=Dashboard!$F$8,"Holiday",IF(A18&lt;=Dashboard!$F$8+Dashboard!$F$7,"Repayment","Closed"))</x:f>
        <x:v>Holiday</x:v>
      </x:c>
      <x:c r="C18" s="32" t="n">
        <x:f>IF(A18=1,Dashboard!$B$6,IF(B18="Holiday",J17,L17))</x:f>
        <x:v>1850000</x:v>
      </x:c>
      <x:c r="D18" s="32" t="n">
        <x:f>IF(A18=1,0,IF(B18="Holiday",K17,0))</x:f>
        <x:v>222000</x:v>
      </x:c>
      <x:c r="E18" s="32">
        <x:f>C18+D18</x:f>
      </x:c>
      <x:c r="F18" s="32" t="n">
        <x:f>IF(B18="Holiday",IF(Dashboard!$B$14="Principal Only",MIN(Dashboard!$B$15,C18),0),0)</x:f>
        <x:v>0</x:v>
      </x:c>
      <x:c r="G18" s="32" t="n">
        <x:f>IF(B18="Closed",0,IF(B18="Holiday",IF(Dashboard!$B$14="Interest Only",C18*Dashboard!$F$6,MAX(0,(C18-F18)*Dashboard!$F$6)),E18*Dashboard!$F$6))</x:f>
        <x:v>13875</x:v>
      </x:c>
      <x:c r="H18" s="32" t="n">
        <x:f>IF(B18="Holiday",IF(Dashboard!$B$14="Interest Only",G18,F18),IF(B18="Closed",0,MIN(Dashboard!$F$10,E18+G18)))</x:f>
        <x:v>0</x:v>
      </x:c>
      <x:c r="I18" s="32" t="n">
        <x:f>IF(B18="Holiday",F18,IF(B18="Closed",0,MAX(0,H18-G18)))</x:f>
        <x:v>0</x:v>
      </x:c>
      <x:c r="J18" s="32" t="n">
        <x:f>IF(B18="Holiday",MAX(0,C18-F18),IF(B18="Closed",0,MAX(0,E18-I18)))</x:f>
        <x:v>1850000</x:v>
      </x:c>
      <x:c r="K18" s="32" t="n">
        <x:f>IF(B18="Holiday",IF(Dashboard!$B$14="Interest Only",D18,D18+G18),0)</x:f>
        <x:v>235875</x:v>
      </x:c>
      <x:c r="L18" s="32" t="n">
        <x:f>J18+K18</x:f>
        <x:v>2085875</x:v>
      </x:c>
      <x:c r="M18" s="32" t="n">
        <x:f>IF(A18=1,H18,M17+H18)</x:f>
        <x:v>0</x:v>
      </x:c>
      <x:c r="N18" s="32" t="n">
        <x:f>IF(A18=1,I18,N17+I18)</x:f>
        <x:v>0</x:v>
      </x:c>
      <x:c r="O18" s="32" t="n">
        <x:f>IF(A18=1,G18,O17+G18)</x:f>
        <x:v>235875</x:v>
      </x:c>
      <x:c r="P18" s="37" t="n">
        <x:f>EDATE(Dashboard!$B$10,A18)</x:f>
        <x:v>45536</x:v>
      </x:c>
    </x:row>
    <x:row r="19">
      <x:c r="A19" s="33" t="n">
        <x:v>18</x:v>
      </x:c>
      <x:c r="B19" s="33" t="str">
        <x:f>IF(A19&lt;=Dashboard!$F$8,"Holiday",IF(A19&lt;=Dashboard!$F$8+Dashboard!$F$7,"Repayment","Closed"))</x:f>
        <x:v>Holiday</x:v>
      </x:c>
      <x:c r="C19" s="32" t="n">
        <x:f>IF(A19=1,Dashboard!$B$6,IF(B19="Holiday",J18,L18))</x:f>
        <x:v>1850000</x:v>
      </x:c>
      <x:c r="D19" s="32" t="n">
        <x:f>IF(A19=1,0,IF(B19="Holiday",K18,0))</x:f>
        <x:v>235875</x:v>
      </x:c>
      <x:c r="E19" s="32">
        <x:f>C19+D19</x:f>
      </x:c>
      <x:c r="F19" s="32" t="n">
        <x:f>IF(B19="Holiday",IF(Dashboard!$B$14="Principal Only",MIN(Dashboard!$B$15,C19),0),0)</x:f>
        <x:v>0</x:v>
      </x:c>
      <x:c r="G19" s="32" t="n">
        <x:f>IF(B19="Closed",0,IF(B19="Holiday",IF(Dashboard!$B$14="Interest Only",C19*Dashboard!$F$6,MAX(0,(C19-F19)*Dashboard!$F$6)),E19*Dashboard!$F$6))</x:f>
        <x:v>13875</x:v>
      </x:c>
      <x:c r="H19" s="32" t="n">
        <x:f>IF(B19="Holiday",IF(Dashboard!$B$14="Interest Only",G19,F19),IF(B19="Closed",0,MIN(Dashboard!$F$10,E19+G19)))</x:f>
        <x:v>0</x:v>
      </x:c>
      <x:c r="I19" s="32" t="n">
        <x:f>IF(B19="Holiday",F19,IF(B19="Closed",0,MAX(0,H19-G19)))</x:f>
        <x:v>0</x:v>
      </x:c>
      <x:c r="J19" s="32" t="n">
        <x:f>IF(B19="Holiday",MAX(0,C19-F19),IF(B19="Closed",0,MAX(0,E19-I19)))</x:f>
        <x:v>1850000</x:v>
      </x:c>
      <x:c r="K19" s="32" t="n">
        <x:f>IF(B19="Holiday",IF(Dashboard!$B$14="Interest Only",D19,D19+G19),0)</x:f>
        <x:v>249750</x:v>
      </x:c>
      <x:c r="L19" s="32" t="n">
        <x:f>J19+K19</x:f>
        <x:v>2099750</x:v>
      </x:c>
      <x:c r="M19" s="32" t="n">
        <x:f>IF(A19=1,H19,M18+H19)</x:f>
        <x:v>0</x:v>
      </x:c>
      <x:c r="N19" s="32" t="n">
        <x:f>IF(A19=1,I19,N18+I19)</x:f>
        <x:v>0</x:v>
      </x:c>
      <x:c r="O19" s="32" t="n">
        <x:f>IF(A19=1,G19,O18+G19)</x:f>
        <x:v>249750</x:v>
      </x:c>
      <x:c r="P19" s="37" t="n">
        <x:f>EDATE(Dashboard!$B$10,A19)</x:f>
        <x:v>45566</x:v>
      </x:c>
    </x:row>
    <x:row r="20">
      <x:c r="A20" s="33" t="n">
        <x:v>19</x:v>
      </x:c>
      <x:c r="B20" s="33" t="str">
        <x:f>IF(A20&lt;=Dashboard!$F$8,"Holiday",IF(A20&lt;=Dashboard!$F$8+Dashboard!$F$7,"Repayment","Closed"))</x:f>
        <x:v>Holiday</x:v>
      </x:c>
      <x:c r="C20" s="32" t="n">
        <x:f>IF(A20=1,Dashboard!$B$6,IF(B20="Holiday",J19,L19))</x:f>
        <x:v>1850000</x:v>
      </x:c>
      <x:c r="D20" s="32" t="n">
        <x:f>IF(A20=1,0,IF(B20="Holiday",K19,0))</x:f>
        <x:v>249750</x:v>
      </x:c>
      <x:c r="E20" s="32">
        <x:f>C20+D20</x:f>
      </x:c>
      <x:c r="F20" s="32" t="n">
        <x:f>IF(B20="Holiday",IF(Dashboard!$B$14="Principal Only",MIN(Dashboard!$B$15,C20),0),0)</x:f>
        <x:v>0</x:v>
      </x:c>
      <x:c r="G20" s="32" t="n">
        <x:f>IF(B20="Closed",0,IF(B20="Holiday",IF(Dashboard!$B$14="Interest Only",C20*Dashboard!$F$6,MAX(0,(C20-F20)*Dashboard!$F$6)),E20*Dashboard!$F$6))</x:f>
        <x:v>13875</x:v>
      </x:c>
      <x:c r="H20" s="32" t="n">
        <x:f>IF(B20="Holiday",IF(Dashboard!$B$14="Interest Only",G20,F20),IF(B20="Closed",0,MIN(Dashboard!$F$10,E20+G20)))</x:f>
        <x:v>0</x:v>
      </x:c>
      <x:c r="I20" s="32" t="n">
        <x:f>IF(B20="Holiday",F20,IF(B20="Closed",0,MAX(0,H20-G20)))</x:f>
        <x:v>0</x:v>
      </x:c>
      <x:c r="J20" s="32" t="n">
        <x:f>IF(B20="Holiday",MAX(0,C20-F20),IF(B20="Closed",0,MAX(0,E20-I20)))</x:f>
        <x:v>1850000</x:v>
      </x:c>
      <x:c r="K20" s="32" t="n">
        <x:f>IF(B20="Holiday",IF(Dashboard!$B$14="Interest Only",D20,D20+G20),0)</x:f>
        <x:v>263625</x:v>
      </x:c>
      <x:c r="L20" s="32" t="n">
        <x:f>J20+K20</x:f>
        <x:v>2113625</x:v>
      </x:c>
      <x:c r="M20" s="32" t="n">
        <x:f>IF(A20=1,H20,M19+H20)</x:f>
        <x:v>0</x:v>
      </x:c>
      <x:c r="N20" s="32" t="n">
        <x:f>IF(A20=1,I20,N19+I20)</x:f>
        <x:v>0</x:v>
      </x:c>
      <x:c r="O20" s="32" t="n">
        <x:f>IF(A20=1,G20,O19+G20)</x:f>
        <x:v>263625</x:v>
      </x:c>
      <x:c r="P20" s="37" t="n">
        <x:f>EDATE(Dashboard!$B$10,A20)</x:f>
        <x:v>45597</x:v>
      </x:c>
    </x:row>
    <x:row r="21">
      <x:c r="A21" s="33" t="n">
        <x:v>20</x:v>
      </x:c>
      <x:c r="B21" s="33" t="str">
        <x:f>IF(A21&lt;=Dashboard!$F$8,"Holiday",IF(A21&lt;=Dashboard!$F$8+Dashboard!$F$7,"Repayment","Closed"))</x:f>
        <x:v>Holiday</x:v>
      </x:c>
      <x:c r="C21" s="32" t="n">
        <x:f>IF(A21=1,Dashboard!$B$6,IF(B21="Holiday",J20,L20))</x:f>
        <x:v>1850000</x:v>
      </x:c>
      <x:c r="D21" s="32" t="n">
        <x:f>IF(A21=1,0,IF(B21="Holiday",K20,0))</x:f>
        <x:v>263625</x:v>
      </x:c>
      <x:c r="E21" s="32">
        <x:f>C21+D21</x:f>
      </x:c>
      <x:c r="F21" s="32" t="n">
        <x:f>IF(B21="Holiday",IF(Dashboard!$B$14="Principal Only",MIN(Dashboard!$B$15,C21),0),0)</x:f>
        <x:v>0</x:v>
      </x:c>
      <x:c r="G21" s="32" t="n">
        <x:f>IF(B21="Closed",0,IF(B21="Holiday",IF(Dashboard!$B$14="Interest Only",C21*Dashboard!$F$6,MAX(0,(C21-F21)*Dashboard!$F$6)),E21*Dashboard!$F$6))</x:f>
        <x:v>13875</x:v>
      </x:c>
      <x:c r="H21" s="32" t="n">
        <x:f>IF(B21="Holiday",IF(Dashboard!$B$14="Interest Only",G21,F21),IF(B21="Closed",0,MIN(Dashboard!$F$10,E21+G21)))</x:f>
        <x:v>0</x:v>
      </x:c>
      <x:c r="I21" s="32" t="n">
        <x:f>IF(B21="Holiday",F21,IF(B21="Closed",0,MAX(0,H21-G21)))</x:f>
        <x:v>0</x:v>
      </x:c>
      <x:c r="J21" s="32" t="n">
        <x:f>IF(B21="Holiday",MAX(0,C21-F21),IF(B21="Closed",0,MAX(0,E21-I21)))</x:f>
        <x:v>1850000</x:v>
      </x:c>
      <x:c r="K21" s="32" t="n">
        <x:f>IF(B21="Holiday",IF(Dashboard!$B$14="Interest Only",D21,D21+G21),0)</x:f>
        <x:v>277500</x:v>
      </x:c>
      <x:c r="L21" s="32" t="n">
        <x:f>J21+K21</x:f>
        <x:v>2127500</x:v>
      </x:c>
      <x:c r="M21" s="32" t="n">
        <x:f>IF(A21=1,H21,M20+H21)</x:f>
        <x:v>0</x:v>
      </x:c>
      <x:c r="N21" s="32" t="n">
        <x:f>IF(A21=1,I21,N20+I21)</x:f>
        <x:v>0</x:v>
      </x:c>
      <x:c r="O21" s="32" t="n">
        <x:f>IF(A21=1,G21,O20+G21)</x:f>
        <x:v>277500</x:v>
      </x:c>
      <x:c r="P21" s="37" t="n">
        <x:f>EDATE(Dashboard!$B$10,A21)</x:f>
        <x:v>45627</x:v>
      </x:c>
    </x:row>
    <x:row r="22">
      <x:c r="A22" s="33" t="n">
        <x:v>21</x:v>
      </x:c>
      <x:c r="B22" s="33" t="str">
        <x:f>IF(A22&lt;=Dashboard!$F$8,"Holiday",IF(A22&lt;=Dashboard!$F$8+Dashboard!$F$7,"Repayment","Closed"))</x:f>
        <x:v>Holiday</x:v>
      </x:c>
      <x:c r="C22" s="32" t="n">
        <x:f>IF(A22=1,Dashboard!$B$6,IF(B22="Holiday",J21,L21))</x:f>
        <x:v>1850000</x:v>
      </x:c>
      <x:c r="D22" s="32" t="n">
        <x:f>IF(A22=1,0,IF(B22="Holiday",K21,0))</x:f>
        <x:v>277500</x:v>
      </x:c>
      <x:c r="E22" s="32">
        <x:f>C22+D22</x:f>
      </x:c>
      <x:c r="F22" s="32" t="n">
        <x:f>IF(B22="Holiday",IF(Dashboard!$B$14="Principal Only",MIN(Dashboard!$B$15,C22),0),0)</x:f>
        <x:v>0</x:v>
      </x:c>
      <x:c r="G22" s="32" t="n">
        <x:f>IF(B22="Closed",0,IF(B22="Holiday",IF(Dashboard!$B$14="Interest Only",C22*Dashboard!$F$6,MAX(0,(C22-F22)*Dashboard!$F$6)),E22*Dashboard!$F$6))</x:f>
        <x:v>13875</x:v>
      </x:c>
      <x:c r="H22" s="32" t="n">
        <x:f>IF(B22="Holiday",IF(Dashboard!$B$14="Interest Only",G22,F22),IF(B22="Closed",0,MIN(Dashboard!$F$10,E22+G22)))</x:f>
        <x:v>0</x:v>
      </x:c>
      <x:c r="I22" s="32" t="n">
        <x:f>IF(B22="Holiday",F22,IF(B22="Closed",0,MAX(0,H22-G22)))</x:f>
        <x:v>0</x:v>
      </x:c>
      <x:c r="J22" s="32" t="n">
        <x:f>IF(B22="Holiday",MAX(0,C22-F22),IF(B22="Closed",0,MAX(0,E22-I22)))</x:f>
        <x:v>1850000</x:v>
      </x:c>
      <x:c r="K22" s="32" t="n">
        <x:f>IF(B22="Holiday",IF(Dashboard!$B$14="Interest Only",D22,D22+G22),0)</x:f>
        <x:v>291375</x:v>
      </x:c>
      <x:c r="L22" s="32" t="n">
        <x:f>J22+K22</x:f>
        <x:v>2141375</x:v>
      </x:c>
      <x:c r="M22" s="32" t="n">
        <x:f>IF(A22=1,H22,M21+H22)</x:f>
        <x:v>0</x:v>
      </x:c>
      <x:c r="N22" s="32" t="n">
        <x:f>IF(A22=1,I22,N21+I22)</x:f>
        <x:v>0</x:v>
      </x:c>
      <x:c r="O22" s="32" t="n">
        <x:f>IF(A22=1,G22,O21+G22)</x:f>
        <x:v>291375</x:v>
      </x:c>
      <x:c r="P22" s="37" t="n">
        <x:f>EDATE(Dashboard!$B$10,A22)</x:f>
        <x:v>45658</x:v>
      </x:c>
    </x:row>
    <x:row r="23">
      <x:c r="A23" s="33" t="n">
        <x:v>22</x:v>
      </x:c>
      <x:c r="B23" s="33" t="str">
        <x:f>IF(A23&lt;=Dashboard!$F$8,"Holiday",IF(A23&lt;=Dashboard!$F$8+Dashboard!$F$7,"Repayment","Closed"))</x:f>
        <x:v>Holiday</x:v>
      </x:c>
      <x:c r="C23" s="32" t="n">
        <x:f>IF(A23=1,Dashboard!$B$6,IF(B23="Holiday",J22,L22))</x:f>
        <x:v>1850000</x:v>
      </x:c>
      <x:c r="D23" s="32" t="n">
        <x:f>IF(A23=1,0,IF(B23="Holiday",K22,0))</x:f>
        <x:v>291375</x:v>
      </x:c>
      <x:c r="E23" s="32">
        <x:f>C23+D23</x:f>
      </x:c>
      <x:c r="F23" s="32" t="n">
        <x:f>IF(B23="Holiday",IF(Dashboard!$B$14="Principal Only",MIN(Dashboard!$B$15,C23),0),0)</x:f>
        <x:v>0</x:v>
      </x:c>
      <x:c r="G23" s="32" t="n">
        <x:f>IF(B23="Closed",0,IF(B23="Holiday",IF(Dashboard!$B$14="Interest Only",C23*Dashboard!$F$6,MAX(0,(C23-F23)*Dashboard!$F$6)),E23*Dashboard!$F$6))</x:f>
        <x:v>13875</x:v>
      </x:c>
      <x:c r="H23" s="32" t="n">
        <x:f>IF(B23="Holiday",IF(Dashboard!$B$14="Interest Only",G23,F23),IF(B23="Closed",0,MIN(Dashboard!$F$10,E23+G23)))</x:f>
        <x:v>0</x:v>
      </x:c>
      <x:c r="I23" s="32" t="n">
        <x:f>IF(B23="Holiday",F23,IF(B23="Closed",0,MAX(0,H23-G23)))</x:f>
        <x:v>0</x:v>
      </x:c>
      <x:c r="J23" s="32" t="n">
        <x:f>IF(B23="Holiday",MAX(0,C23-F23),IF(B23="Closed",0,MAX(0,E23-I23)))</x:f>
        <x:v>1850000</x:v>
      </x:c>
      <x:c r="K23" s="32" t="n">
        <x:f>IF(B23="Holiday",IF(Dashboard!$B$14="Interest Only",D23,D23+G23),0)</x:f>
        <x:v>305250</x:v>
      </x:c>
      <x:c r="L23" s="32" t="n">
        <x:f>J23+K23</x:f>
        <x:v>2155250</x:v>
      </x:c>
      <x:c r="M23" s="32" t="n">
        <x:f>IF(A23=1,H23,M22+H23)</x:f>
        <x:v>0</x:v>
      </x:c>
      <x:c r="N23" s="32" t="n">
        <x:f>IF(A23=1,I23,N22+I23)</x:f>
        <x:v>0</x:v>
      </x:c>
      <x:c r="O23" s="32" t="n">
        <x:f>IF(A23=1,G23,O22+G23)</x:f>
        <x:v>305250</x:v>
      </x:c>
      <x:c r="P23" s="37" t="n">
        <x:f>EDATE(Dashboard!$B$10,A23)</x:f>
        <x:v>45689</x:v>
      </x:c>
    </x:row>
    <x:row r="24">
      <x:c r="A24" s="33" t="n">
        <x:v>23</x:v>
      </x:c>
      <x:c r="B24" s="33" t="str">
        <x:f>IF(A24&lt;=Dashboard!$F$8,"Holiday",IF(A24&lt;=Dashboard!$F$8+Dashboard!$F$7,"Repayment","Closed"))</x:f>
        <x:v>Holiday</x:v>
      </x:c>
      <x:c r="C24" s="32" t="n">
        <x:f>IF(A24=1,Dashboard!$B$6,IF(B24="Holiday",J23,L23))</x:f>
        <x:v>1850000</x:v>
      </x:c>
      <x:c r="D24" s="32" t="n">
        <x:f>IF(A24=1,0,IF(B24="Holiday",K23,0))</x:f>
        <x:v>305250</x:v>
      </x:c>
      <x:c r="E24" s="32">
        <x:f>C24+D24</x:f>
      </x:c>
      <x:c r="F24" s="32" t="n">
        <x:f>IF(B24="Holiday",IF(Dashboard!$B$14="Principal Only",MIN(Dashboard!$B$15,C24),0),0)</x:f>
        <x:v>0</x:v>
      </x:c>
      <x:c r="G24" s="32" t="n">
        <x:f>IF(B24="Closed",0,IF(B24="Holiday",IF(Dashboard!$B$14="Interest Only",C24*Dashboard!$F$6,MAX(0,(C24-F24)*Dashboard!$F$6)),E24*Dashboard!$F$6))</x:f>
        <x:v>13875</x:v>
      </x:c>
      <x:c r="H24" s="32" t="n">
        <x:f>IF(B24="Holiday",IF(Dashboard!$B$14="Interest Only",G24,F24),IF(B24="Closed",0,MIN(Dashboard!$F$10,E24+G24)))</x:f>
        <x:v>0</x:v>
      </x:c>
      <x:c r="I24" s="32" t="n">
        <x:f>IF(B24="Holiday",F24,IF(B24="Closed",0,MAX(0,H24-G24)))</x:f>
        <x:v>0</x:v>
      </x:c>
      <x:c r="J24" s="32" t="n">
        <x:f>IF(B24="Holiday",MAX(0,C24-F24),IF(B24="Closed",0,MAX(0,E24-I24)))</x:f>
        <x:v>1850000</x:v>
      </x:c>
      <x:c r="K24" s="32" t="n">
        <x:f>IF(B24="Holiday",IF(Dashboard!$B$14="Interest Only",D24,D24+G24),0)</x:f>
        <x:v>319125</x:v>
      </x:c>
      <x:c r="L24" s="32" t="n">
        <x:f>J24+K24</x:f>
        <x:v>2169125</x:v>
      </x:c>
      <x:c r="M24" s="32" t="n">
        <x:f>IF(A24=1,H24,M23+H24)</x:f>
        <x:v>0</x:v>
      </x:c>
      <x:c r="N24" s="32" t="n">
        <x:f>IF(A24=1,I24,N23+I24)</x:f>
        <x:v>0</x:v>
      </x:c>
      <x:c r="O24" s="32" t="n">
        <x:f>IF(A24=1,G24,O23+G24)</x:f>
        <x:v>319125</x:v>
      </x:c>
      <x:c r="P24" s="37" t="n">
        <x:f>EDATE(Dashboard!$B$10,A24)</x:f>
        <x:v>45717</x:v>
      </x:c>
    </x:row>
    <x:row r="25">
      <x:c r="A25" s="33" t="n">
        <x:v>24</x:v>
      </x:c>
      <x:c r="B25" s="33" t="str">
        <x:f>IF(A25&lt;=Dashboard!$F$8,"Holiday",IF(A25&lt;=Dashboard!$F$8+Dashboard!$F$7,"Repayment","Closed"))</x:f>
        <x:v>Holiday</x:v>
      </x:c>
      <x:c r="C25" s="32" t="n">
        <x:f>IF(A25=1,Dashboard!$B$6,IF(B25="Holiday",J24,L24))</x:f>
        <x:v>1850000</x:v>
      </x:c>
      <x:c r="D25" s="32" t="n">
        <x:f>IF(A25=1,0,IF(B25="Holiday",K24,0))</x:f>
        <x:v>319125</x:v>
      </x:c>
      <x:c r="E25" s="32">
        <x:f>C25+D25</x:f>
      </x:c>
      <x:c r="F25" s="32" t="n">
        <x:f>IF(B25="Holiday",IF(Dashboard!$B$14="Principal Only",MIN(Dashboard!$B$15,C25),0),0)</x:f>
        <x:v>0</x:v>
      </x:c>
      <x:c r="G25" s="32" t="n">
        <x:f>IF(B25="Closed",0,IF(B25="Holiday",IF(Dashboard!$B$14="Interest Only",C25*Dashboard!$F$6,MAX(0,(C25-F25)*Dashboard!$F$6)),E25*Dashboard!$F$6))</x:f>
        <x:v>13875</x:v>
      </x:c>
      <x:c r="H25" s="32" t="n">
        <x:f>IF(B25="Holiday",IF(Dashboard!$B$14="Interest Only",G25,F25),IF(B25="Closed",0,MIN(Dashboard!$F$10,E25+G25)))</x:f>
        <x:v>0</x:v>
      </x:c>
      <x:c r="I25" s="32" t="n">
        <x:f>IF(B25="Holiday",F25,IF(B25="Closed",0,MAX(0,H25-G25)))</x:f>
        <x:v>0</x:v>
      </x:c>
      <x:c r="J25" s="32" t="n">
        <x:f>IF(B25="Holiday",MAX(0,C25-F25),IF(B25="Closed",0,MAX(0,E25-I25)))</x:f>
        <x:v>1850000</x:v>
      </x:c>
      <x:c r="K25" s="32" t="n">
        <x:f>IF(B25="Holiday",IF(Dashboard!$B$14="Interest Only",D25,D25+G25),0)</x:f>
        <x:v>333000</x:v>
      </x:c>
      <x:c r="L25" s="32" t="n">
        <x:f>J25+K25</x:f>
        <x:v>2183000</x:v>
      </x:c>
      <x:c r="M25" s="32" t="n">
        <x:f>IF(A25=1,H25,M24+H25)</x:f>
        <x:v>0</x:v>
      </x:c>
      <x:c r="N25" s="32" t="n">
        <x:f>IF(A25=1,I25,N24+I25)</x:f>
        <x:v>0</x:v>
      </x:c>
      <x:c r="O25" s="32" t="n">
        <x:f>IF(A25=1,G25,O24+G25)</x:f>
        <x:v>333000</x:v>
      </x:c>
      <x:c r="P25" s="37" t="n">
        <x:f>EDATE(Dashboard!$B$10,A25)</x:f>
        <x:v>45748</x:v>
      </x:c>
    </x:row>
    <x:row r="26">
      <x:c r="A26" s="33" t="n">
        <x:v>25</x:v>
      </x:c>
      <x:c r="B26" s="33" t="str">
        <x:f>IF(A26&lt;=Dashboard!$F$8,"Holiday",IF(A26&lt;=Dashboard!$F$8+Dashboard!$F$7,"Repayment","Closed"))</x:f>
        <x:v>Holiday</x:v>
      </x:c>
      <x:c r="C26" s="32" t="n">
        <x:f>IF(A26=1,Dashboard!$B$6,IF(B26="Holiday",J25,L25))</x:f>
        <x:v>1850000</x:v>
      </x:c>
      <x:c r="D26" s="32" t="n">
        <x:f>IF(A26=1,0,IF(B26="Holiday",K25,0))</x:f>
        <x:v>333000</x:v>
      </x:c>
      <x:c r="E26" s="32">
        <x:f>C26+D26</x:f>
      </x:c>
      <x:c r="F26" s="32" t="n">
        <x:f>IF(B26="Holiday",IF(Dashboard!$B$14="Principal Only",MIN(Dashboard!$B$15,C26),0),0)</x:f>
        <x:v>0</x:v>
      </x:c>
      <x:c r="G26" s="32" t="n">
        <x:f>IF(B26="Closed",0,IF(B26="Holiday",IF(Dashboard!$B$14="Interest Only",C26*Dashboard!$F$6,MAX(0,(C26-F26)*Dashboard!$F$6)),E26*Dashboard!$F$6))</x:f>
        <x:v>13875</x:v>
      </x:c>
      <x:c r="H26" s="32" t="n">
        <x:f>IF(B26="Holiday",IF(Dashboard!$B$14="Interest Only",G26,F26),IF(B26="Closed",0,MIN(Dashboard!$F$10,E26+G26)))</x:f>
        <x:v>0</x:v>
      </x:c>
      <x:c r="I26" s="32" t="n">
        <x:f>IF(B26="Holiday",F26,IF(B26="Closed",0,MAX(0,H26-G26)))</x:f>
        <x:v>0</x:v>
      </x:c>
      <x:c r="J26" s="32" t="n">
        <x:f>IF(B26="Holiday",MAX(0,C26-F26),IF(B26="Closed",0,MAX(0,E26-I26)))</x:f>
        <x:v>1850000</x:v>
      </x:c>
      <x:c r="K26" s="32" t="n">
        <x:f>IF(B26="Holiday",IF(Dashboard!$B$14="Interest Only",D26,D26+G26),0)</x:f>
        <x:v>346875</x:v>
      </x:c>
      <x:c r="L26" s="32" t="n">
        <x:f>J26+K26</x:f>
        <x:v>2196875</x:v>
      </x:c>
      <x:c r="M26" s="32" t="n">
        <x:f>IF(A26=1,H26,M25+H26)</x:f>
        <x:v>0</x:v>
      </x:c>
      <x:c r="N26" s="32" t="n">
        <x:f>IF(A26=1,I26,N25+I26)</x:f>
        <x:v>0</x:v>
      </x:c>
      <x:c r="O26" s="32" t="n">
        <x:f>IF(A26=1,G26,O25+G26)</x:f>
        <x:v>346875</x:v>
      </x:c>
      <x:c r="P26" s="37" t="n">
        <x:f>EDATE(Dashboard!$B$10,A26)</x:f>
        <x:v>45778</x:v>
      </x:c>
    </x:row>
    <x:row r="27">
      <x:c r="A27" s="33" t="n">
        <x:v>26</x:v>
      </x:c>
      <x:c r="B27" s="33" t="str">
        <x:f>IF(A27&lt;=Dashboard!$F$8,"Holiday",IF(A27&lt;=Dashboard!$F$8+Dashboard!$F$7,"Repayment","Closed"))</x:f>
        <x:v>Holiday</x:v>
      </x:c>
      <x:c r="C27" s="32" t="n">
        <x:f>IF(A27=1,Dashboard!$B$6,IF(B27="Holiday",J26,L26))</x:f>
        <x:v>1850000</x:v>
      </x:c>
      <x:c r="D27" s="32" t="n">
        <x:f>IF(A27=1,0,IF(B27="Holiday",K26,0))</x:f>
        <x:v>346875</x:v>
      </x:c>
      <x:c r="E27" s="32">
        <x:f>C27+D27</x:f>
      </x:c>
      <x:c r="F27" s="32" t="n">
        <x:f>IF(B27="Holiday",IF(Dashboard!$B$14="Principal Only",MIN(Dashboard!$B$15,C27),0),0)</x:f>
        <x:v>0</x:v>
      </x:c>
      <x:c r="G27" s="32" t="n">
        <x:f>IF(B27="Closed",0,IF(B27="Holiday",IF(Dashboard!$B$14="Interest Only",C27*Dashboard!$F$6,MAX(0,(C27-F27)*Dashboard!$F$6)),E27*Dashboard!$F$6))</x:f>
        <x:v>13875</x:v>
      </x:c>
      <x:c r="H27" s="32" t="n">
        <x:f>IF(B27="Holiday",IF(Dashboard!$B$14="Interest Only",G27,F27),IF(B27="Closed",0,MIN(Dashboard!$F$10,E27+G27)))</x:f>
        <x:v>0</x:v>
      </x:c>
      <x:c r="I27" s="32" t="n">
        <x:f>IF(B27="Holiday",F27,IF(B27="Closed",0,MAX(0,H27-G27)))</x:f>
        <x:v>0</x:v>
      </x:c>
      <x:c r="J27" s="32" t="n">
        <x:f>IF(B27="Holiday",MAX(0,C27-F27),IF(B27="Closed",0,MAX(0,E27-I27)))</x:f>
        <x:v>1850000</x:v>
      </x:c>
      <x:c r="K27" s="32" t="n">
        <x:f>IF(B27="Holiday",IF(Dashboard!$B$14="Interest Only",D27,D27+G27),0)</x:f>
        <x:v>360750</x:v>
      </x:c>
      <x:c r="L27" s="32" t="n">
        <x:f>J27+K27</x:f>
        <x:v>2210750</x:v>
      </x:c>
      <x:c r="M27" s="32" t="n">
        <x:f>IF(A27=1,H27,M26+H27)</x:f>
        <x:v>0</x:v>
      </x:c>
      <x:c r="N27" s="32" t="n">
        <x:f>IF(A27=1,I27,N26+I27)</x:f>
        <x:v>0</x:v>
      </x:c>
      <x:c r="O27" s="32" t="n">
        <x:f>IF(A27=1,G27,O26+G27)</x:f>
        <x:v>360750</x:v>
      </x:c>
      <x:c r="P27" s="37" t="n">
        <x:f>EDATE(Dashboard!$B$10,A27)</x:f>
        <x:v>45809</x:v>
      </x:c>
    </x:row>
    <x:row r="28">
      <x:c r="A28" s="33" t="n">
        <x:v>27</x:v>
      </x:c>
      <x:c r="B28" s="33" t="str">
        <x:f>IF(A28&lt;=Dashboard!$F$8,"Holiday",IF(A28&lt;=Dashboard!$F$8+Dashboard!$F$7,"Repayment","Closed"))</x:f>
        <x:v>Holiday</x:v>
      </x:c>
      <x:c r="C28" s="32" t="n">
        <x:f>IF(A28=1,Dashboard!$B$6,IF(B28="Holiday",J27,L27))</x:f>
        <x:v>1850000</x:v>
      </x:c>
      <x:c r="D28" s="32" t="n">
        <x:f>IF(A28=1,0,IF(B28="Holiday",K27,0))</x:f>
        <x:v>360750</x:v>
      </x:c>
      <x:c r="E28" s="32">
        <x:f>C28+D28</x:f>
      </x:c>
      <x:c r="F28" s="32" t="n">
        <x:f>IF(B28="Holiday",IF(Dashboard!$B$14="Principal Only",MIN(Dashboard!$B$15,C28),0),0)</x:f>
        <x:v>0</x:v>
      </x:c>
      <x:c r="G28" s="32" t="n">
        <x:f>IF(B28="Closed",0,IF(B28="Holiday",IF(Dashboard!$B$14="Interest Only",C28*Dashboard!$F$6,MAX(0,(C28-F28)*Dashboard!$F$6)),E28*Dashboard!$F$6))</x:f>
        <x:v>13875</x:v>
      </x:c>
      <x:c r="H28" s="32" t="n">
        <x:f>IF(B28="Holiday",IF(Dashboard!$B$14="Interest Only",G28,F28),IF(B28="Closed",0,MIN(Dashboard!$F$10,E28+G28)))</x:f>
        <x:v>0</x:v>
      </x:c>
      <x:c r="I28" s="32" t="n">
        <x:f>IF(B28="Holiday",F28,IF(B28="Closed",0,MAX(0,H28-G28)))</x:f>
        <x:v>0</x:v>
      </x:c>
      <x:c r="J28" s="32" t="n">
        <x:f>IF(B28="Holiday",MAX(0,C28-F28),IF(B28="Closed",0,MAX(0,E28-I28)))</x:f>
        <x:v>1850000</x:v>
      </x:c>
      <x:c r="K28" s="32" t="n">
        <x:f>IF(B28="Holiday",IF(Dashboard!$B$14="Interest Only",D28,D28+G28),0)</x:f>
        <x:v>374625</x:v>
      </x:c>
      <x:c r="L28" s="32" t="n">
        <x:f>J28+K28</x:f>
        <x:v>2224625</x:v>
      </x:c>
      <x:c r="M28" s="32" t="n">
        <x:f>IF(A28=1,H28,M27+H28)</x:f>
        <x:v>0</x:v>
      </x:c>
      <x:c r="N28" s="32" t="n">
        <x:f>IF(A28=1,I28,N27+I28)</x:f>
        <x:v>0</x:v>
      </x:c>
      <x:c r="O28" s="32" t="n">
        <x:f>IF(A28=1,G28,O27+G28)</x:f>
        <x:v>374625</x:v>
      </x:c>
      <x:c r="P28" s="37" t="n">
        <x:f>EDATE(Dashboard!$B$10,A28)</x:f>
        <x:v>45839</x:v>
      </x:c>
    </x:row>
    <x:row r="29">
      <x:c r="A29" s="33" t="n">
        <x:v>28</x:v>
      </x:c>
      <x:c r="B29" s="33" t="str">
        <x:f>IF(A29&lt;=Dashboard!$F$8,"Holiday",IF(A29&lt;=Dashboard!$F$8+Dashboard!$F$7,"Repayment","Closed"))</x:f>
        <x:v>Holiday</x:v>
      </x:c>
      <x:c r="C29" s="32" t="n">
        <x:f>IF(A29=1,Dashboard!$B$6,IF(B29="Holiday",J28,L28))</x:f>
        <x:v>1850000</x:v>
      </x:c>
      <x:c r="D29" s="32" t="n">
        <x:f>IF(A29=1,0,IF(B29="Holiday",K28,0))</x:f>
        <x:v>374625</x:v>
      </x:c>
      <x:c r="E29" s="32">
        <x:f>C29+D29</x:f>
      </x:c>
      <x:c r="F29" s="32" t="n">
        <x:f>IF(B29="Holiday",IF(Dashboard!$B$14="Principal Only",MIN(Dashboard!$B$15,C29),0),0)</x:f>
        <x:v>0</x:v>
      </x:c>
      <x:c r="G29" s="32" t="n">
        <x:f>IF(B29="Closed",0,IF(B29="Holiday",IF(Dashboard!$B$14="Interest Only",C29*Dashboard!$F$6,MAX(0,(C29-F29)*Dashboard!$F$6)),E29*Dashboard!$F$6))</x:f>
        <x:v>13875</x:v>
      </x:c>
      <x:c r="H29" s="32" t="n">
        <x:f>IF(B29="Holiday",IF(Dashboard!$B$14="Interest Only",G29,F29),IF(B29="Closed",0,MIN(Dashboard!$F$10,E29+G29)))</x:f>
        <x:v>0</x:v>
      </x:c>
      <x:c r="I29" s="32" t="n">
        <x:f>IF(B29="Holiday",F29,IF(B29="Closed",0,MAX(0,H29-G29)))</x:f>
        <x:v>0</x:v>
      </x:c>
      <x:c r="J29" s="32" t="n">
        <x:f>IF(B29="Holiday",MAX(0,C29-F29),IF(B29="Closed",0,MAX(0,E29-I29)))</x:f>
        <x:v>1850000</x:v>
      </x:c>
      <x:c r="K29" s="32" t="n">
        <x:f>IF(B29="Holiday",IF(Dashboard!$B$14="Interest Only",D29,D29+G29),0)</x:f>
        <x:v>388500</x:v>
      </x:c>
      <x:c r="L29" s="32" t="n">
        <x:f>J29+K29</x:f>
        <x:v>2238500</x:v>
      </x:c>
      <x:c r="M29" s="32" t="n">
        <x:f>IF(A29=1,H29,M28+H29)</x:f>
        <x:v>0</x:v>
      </x:c>
      <x:c r="N29" s="32" t="n">
        <x:f>IF(A29=1,I29,N28+I29)</x:f>
        <x:v>0</x:v>
      </x:c>
      <x:c r="O29" s="32" t="n">
        <x:f>IF(A29=1,G29,O28+G29)</x:f>
        <x:v>388500</x:v>
      </x:c>
      <x:c r="P29" s="37" t="n">
        <x:f>EDATE(Dashboard!$B$10,A29)</x:f>
        <x:v>45870</x:v>
      </x:c>
    </x:row>
    <x:row r="30">
      <x:c r="A30" s="33" t="n">
        <x:v>29</x:v>
      </x:c>
      <x:c r="B30" s="33" t="str">
        <x:f>IF(A30&lt;=Dashboard!$F$8,"Holiday",IF(A30&lt;=Dashboard!$F$8+Dashboard!$F$7,"Repayment","Closed"))</x:f>
        <x:v>Holiday</x:v>
      </x:c>
      <x:c r="C30" s="32" t="n">
        <x:f>IF(A30=1,Dashboard!$B$6,IF(B30="Holiday",J29,L29))</x:f>
        <x:v>1850000</x:v>
      </x:c>
      <x:c r="D30" s="32" t="n">
        <x:f>IF(A30=1,0,IF(B30="Holiday",K29,0))</x:f>
        <x:v>388500</x:v>
      </x:c>
      <x:c r="E30" s="32">
        <x:f>C30+D30</x:f>
      </x:c>
      <x:c r="F30" s="32" t="n">
        <x:f>IF(B30="Holiday",IF(Dashboard!$B$14="Principal Only",MIN(Dashboard!$B$15,C30),0),0)</x:f>
        <x:v>0</x:v>
      </x:c>
      <x:c r="G30" s="32" t="n">
        <x:f>IF(B30="Closed",0,IF(B30="Holiday",IF(Dashboard!$B$14="Interest Only",C30*Dashboard!$F$6,MAX(0,(C30-F30)*Dashboard!$F$6)),E30*Dashboard!$F$6))</x:f>
        <x:v>13875</x:v>
      </x:c>
      <x:c r="H30" s="32" t="n">
        <x:f>IF(B30="Holiday",IF(Dashboard!$B$14="Interest Only",G30,F30),IF(B30="Closed",0,MIN(Dashboard!$F$10,E30+G30)))</x:f>
        <x:v>0</x:v>
      </x:c>
      <x:c r="I30" s="32" t="n">
        <x:f>IF(B30="Holiday",F30,IF(B30="Closed",0,MAX(0,H30-G30)))</x:f>
        <x:v>0</x:v>
      </x:c>
      <x:c r="J30" s="32" t="n">
        <x:f>IF(B30="Holiday",MAX(0,C30-F30),IF(B30="Closed",0,MAX(0,E30-I30)))</x:f>
        <x:v>1850000</x:v>
      </x:c>
      <x:c r="K30" s="32" t="n">
        <x:f>IF(B30="Holiday",IF(Dashboard!$B$14="Interest Only",D30,D30+G30),0)</x:f>
        <x:v>402375</x:v>
      </x:c>
      <x:c r="L30" s="32" t="n">
        <x:f>J30+K30</x:f>
        <x:v>2252375</x:v>
      </x:c>
      <x:c r="M30" s="32" t="n">
        <x:f>IF(A30=1,H30,M29+H30)</x:f>
        <x:v>0</x:v>
      </x:c>
      <x:c r="N30" s="32" t="n">
        <x:f>IF(A30=1,I30,N29+I30)</x:f>
        <x:v>0</x:v>
      </x:c>
      <x:c r="O30" s="32" t="n">
        <x:f>IF(A30=1,G30,O29+G30)</x:f>
        <x:v>402375</x:v>
      </x:c>
      <x:c r="P30" s="37" t="n">
        <x:f>EDATE(Dashboard!$B$10,A30)</x:f>
        <x:v>45901</x:v>
      </x:c>
    </x:row>
    <x:row r="31">
      <x:c r="A31" s="33" t="n">
        <x:v>30</x:v>
      </x:c>
      <x:c r="B31" s="33" t="str">
        <x:f>IF(A31&lt;=Dashboard!$F$8,"Holiday",IF(A31&lt;=Dashboard!$F$8+Dashboard!$F$7,"Repayment","Closed"))</x:f>
        <x:v>Holiday</x:v>
      </x:c>
      <x:c r="C31" s="32" t="n">
        <x:f>IF(A31=1,Dashboard!$B$6,IF(B31="Holiday",J30,L30))</x:f>
        <x:v>1850000</x:v>
      </x:c>
      <x:c r="D31" s="32" t="n">
        <x:f>IF(A31=1,0,IF(B31="Holiday",K30,0))</x:f>
        <x:v>402375</x:v>
      </x:c>
      <x:c r="E31" s="32">
        <x:f>C31+D31</x:f>
      </x:c>
      <x:c r="F31" s="32" t="n">
        <x:f>IF(B31="Holiday",IF(Dashboard!$B$14="Principal Only",MIN(Dashboard!$B$15,C31),0),0)</x:f>
        <x:v>0</x:v>
      </x:c>
      <x:c r="G31" s="32" t="n">
        <x:f>IF(B31="Closed",0,IF(B31="Holiday",IF(Dashboard!$B$14="Interest Only",C31*Dashboard!$F$6,MAX(0,(C31-F31)*Dashboard!$F$6)),E31*Dashboard!$F$6))</x:f>
        <x:v>13875</x:v>
      </x:c>
      <x:c r="H31" s="32" t="n">
        <x:f>IF(B31="Holiday",IF(Dashboard!$B$14="Interest Only",G31,F31),IF(B31="Closed",0,MIN(Dashboard!$F$10,E31+G31)))</x:f>
        <x:v>0</x:v>
      </x:c>
      <x:c r="I31" s="32" t="n">
        <x:f>IF(B31="Holiday",F31,IF(B31="Closed",0,MAX(0,H31-G31)))</x:f>
        <x:v>0</x:v>
      </x:c>
      <x:c r="J31" s="32" t="n">
        <x:f>IF(B31="Holiday",MAX(0,C31-F31),IF(B31="Closed",0,MAX(0,E31-I31)))</x:f>
        <x:v>1850000</x:v>
      </x:c>
      <x:c r="K31" s="32" t="n">
        <x:f>IF(B31="Holiday",IF(Dashboard!$B$14="Interest Only",D31,D31+G31),0)</x:f>
        <x:v>416250</x:v>
      </x:c>
      <x:c r="L31" s="32" t="n">
        <x:f>J31+K31</x:f>
        <x:v>2266250</x:v>
      </x:c>
      <x:c r="M31" s="32" t="n">
        <x:f>IF(A31=1,H31,M30+H31)</x:f>
        <x:v>0</x:v>
      </x:c>
      <x:c r="N31" s="32" t="n">
        <x:f>IF(A31=1,I31,N30+I31)</x:f>
        <x:v>0</x:v>
      </x:c>
      <x:c r="O31" s="32" t="n">
        <x:f>IF(A31=1,G31,O30+G31)</x:f>
        <x:v>416250</x:v>
      </x:c>
      <x:c r="P31" s="37" t="n">
        <x:f>EDATE(Dashboard!$B$10,A31)</x:f>
        <x:v>45931</x:v>
      </x:c>
    </x:row>
    <x:row r="32">
      <x:c r="A32" s="33" t="n">
        <x:v>31</x:v>
      </x:c>
      <x:c r="B32" s="33" t="str">
        <x:f>IF(A32&lt;=Dashboard!$F$8,"Holiday",IF(A32&lt;=Dashboard!$F$8+Dashboard!$F$7,"Repayment","Closed"))</x:f>
        <x:v>Holiday</x:v>
      </x:c>
      <x:c r="C32" s="32" t="n">
        <x:f>IF(A32=1,Dashboard!$B$6,IF(B32="Holiday",J31,L31))</x:f>
        <x:v>1850000</x:v>
      </x:c>
      <x:c r="D32" s="32" t="n">
        <x:f>IF(A32=1,0,IF(B32="Holiday",K31,0))</x:f>
        <x:v>416250</x:v>
      </x:c>
      <x:c r="E32" s="32">
        <x:f>C32+D32</x:f>
      </x:c>
      <x:c r="F32" s="32" t="n">
        <x:f>IF(B32="Holiday",IF(Dashboard!$B$14="Principal Only",MIN(Dashboard!$B$15,C32),0),0)</x:f>
        <x:v>0</x:v>
      </x:c>
      <x:c r="G32" s="32" t="n">
        <x:f>IF(B32="Closed",0,IF(B32="Holiday",IF(Dashboard!$B$14="Interest Only",C32*Dashboard!$F$6,MAX(0,(C32-F32)*Dashboard!$F$6)),E32*Dashboard!$F$6))</x:f>
        <x:v>13875</x:v>
      </x:c>
      <x:c r="H32" s="32" t="n">
        <x:f>IF(B32="Holiday",IF(Dashboard!$B$14="Interest Only",G32,F32),IF(B32="Closed",0,MIN(Dashboard!$F$10,E32+G32)))</x:f>
        <x:v>0</x:v>
      </x:c>
      <x:c r="I32" s="32" t="n">
        <x:f>IF(B32="Holiday",F32,IF(B32="Closed",0,MAX(0,H32-G32)))</x:f>
        <x:v>0</x:v>
      </x:c>
      <x:c r="J32" s="32" t="n">
        <x:f>IF(B32="Holiday",MAX(0,C32-F32),IF(B32="Closed",0,MAX(0,E32-I32)))</x:f>
        <x:v>1850000</x:v>
      </x:c>
      <x:c r="K32" s="32" t="n">
        <x:f>IF(B32="Holiday",IF(Dashboard!$B$14="Interest Only",D32,D32+G32),0)</x:f>
        <x:v>430125</x:v>
      </x:c>
      <x:c r="L32" s="32" t="n">
        <x:f>J32+K32</x:f>
        <x:v>2280125</x:v>
      </x:c>
      <x:c r="M32" s="32" t="n">
        <x:f>IF(A32=1,H32,M31+H32)</x:f>
        <x:v>0</x:v>
      </x:c>
      <x:c r="N32" s="32" t="n">
        <x:f>IF(A32=1,I32,N31+I32)</x:f>
        <x:v>0</x:v>
      </x:c>
      <x:c r="O32" s="32" t="n">
        <x:f>IF(A32=1,G32,O31+G32)</x:f>
        <x:v>430125</x:v>
      </x:c>
      <x:c r="P32" s="37" t="n">
        <x:f>EDATE(Dashboard!$B$10,A32)</x:f>
        <x:v>45962</x:v>
      </x:c>
    </x:row>
    <x:row r="33">
      <x:c r="A33" s="33" t="n">
        <x:v>32</x:v>
      </x:c>
      <x:c r="B33" s="33" t="str">
        <x:f>IF(A33&lt;=Dashboard!$F$8,"Holiday",IF(A33&lt;=Dashboard!$F$8+Dashboard!$F$7,"Repayment","Closed"))</x:f>
        <x:v>Holiday</x:v>
      </x:c>
      <x:c r="C33" s="32" t="n">
        <x:f>IF(A33=1,Dashboard!$B$6,IF(B33="Holiday",J32,L32))</x:f>
        <x:v>1850000</x:v>
      </x:c>
      <x:c r="D33" s="32" t="n">
        <x:f>IF(A33=1,0,IF(B33="Holiday",K32,0))</x:f>
        <x:v>430125</x:v>
      </x:c>
      <x:c r="E33" s="32">
        <x:f>C33+D33</x:f>
      </x:c>
      <x:c r="F33" s="32" t="n">
        <x:f>IF(B33="Holiday",IF(Dashboard!$B$14="Principal Only",MIN(Dashboard!$B$15,C33),0),0)</x:f>
        <x:v>0</x:v>
      </x:c>
      <x:c r="G33" s="32" t="n">
        <x:f>IF(B33="Closed",0,IF(B33="Holiday",IF(Dashboard!$B$14="Interest Only",C33*Dashboard!$F$6,MAX(0,(C33-F33)*Dashboard!$F$6)),E33*Dashboard!$F$6))</x:f>
        <x:v>13875</x:v>
      </x:c>
      <x:c r="H33" s="32" t="n">
        <x:f>IF(B33="Holiday",IF(Dashboard!$B$14="Interest Only",G33,F33),IF(B33="Closed",0,MIN(Dashboard!$F$10,E33+G33)))</x:f>
        <x:v>0</x:v>
      </x:c>
      <x:c r="I33" s="32" t="n">
        <x:f>IF(B33="Holiday",F33,IF(B33="Closed",0,MAX(0,H33-G33)))</x:f>
        <x:v>0</x:v>
      </x:c>
      <x:c r="J33" s="32" t="n">
        <x:f>IF(B33="Holiday",MAX(0,C33-F33),IF(B33="Closed",0,MAX(0,E33-I33)))</x:f>
        <x:v>1850000</x:v>
      </x:c>
      <x:c r="K33" s="32" t="n">
        <x:f>IF(B33="Holiday",IF(Dashboard!$B$14="Interest Only",D33,D33+G33),0)</x:f>
        <x:v>444000</x:v>
      </x:c>
      <x:c r="L33" s="32" t="n">
        <x:f>J33+K33</x:f>
        <x:v>2294000</x:v>
      </x:c>
      <x:c r="M33" s="32" t="n">
        <x:f>IF(A33=1,H33,M32+H33)</x:f>
        <x:v>0</x:v>
      </x:c>
      <x:c r="N33" s="32" t="n">
        <x:f>IF(A33=1,I33,N32+I33)</x:f>
        <x:v>0</x:v>
      </x:c>
      <x:c r="O33" s="32" t="n">
        <x:f>IF(A33=1,G33,O32+G33)</x:f>
        <x:v>444000</x:v>
      </x:c>
      <x:c r="P33" s="37" t="n">
        <x:f>EDATE(Dashboard!$B$10,A33)</x:f>
        <x:v>45992</x:v>
      </x:c>
    </x:row>
    <x:row r="34">
      <x:c r="A34" s="33" t="n">
        <x:v>33</x:v>
      </x:c>
      <x:c r="B34" s="33" t="str">
        <x:f>IF(A34&lt;=Dashboard!$F$8,"Holiday",IF(A34&lt;=Dashboard!$F$8+Dashboard!$F$7,"Repayment","Closed"))</x:f>
        <x:v>Holiday</x:v>
      </x:c>
      <x:c r="C34" s="32" t="n">
        <x:f>IF(A34=1,Dashboard!$B$6,IF(B34="Holiday",J33,L33))</x:f>
        <x:v>1850000</x:v>
      </x:c>
      <x:c r="D34" s="32" t="n">
        <x:f>IF(A34=1,0,IF(B34="Holiday",K33,0))</x:f>
        <x:v>444000</x:v>
      </x:c>
      <x:c r="E34" s="32">
        <x:f>C34+D34</x:f>
      </x:c>
      <x:c r="F34" s="32" t="n">
        <x:f>IF(B34="Holiday",IF(Dashboard!$B$14="Principal Only",MIN(Dashboard!$B$15,C34),0),0)</x:f>
        <x:v>0</x:v>
      </x:c>
      <x:c r="G34" s="32" t="n">
        <x:f>IF(B34="Closed",0,IF(B34="Holiday",IF(Dashboard!$B$14="Interest Only",C34*Dashboard!$F$6,MAX(0,(C34-F34)*Dashboard!$F$6)),E34*Dashboard!$F$6))</x:f>
        <x:v>13875</x:v>
      </x:c>
      <x:c r="H34" s="32" t="n">
        <x:f>IF(B34="Holiday",IF(Dashboard!$B$14="Interest Only",G34,F34),IF(B34="Closed",0,MIN(Dashboard!$F$10,E34+G34)))</x:f>
        <x:v>0</x:v>
      </x:c>
      <x:c r="I34" s="32" t="n">
        <x:f>IF(B34="Holiday",F34,IF(B34="Closed",0,MAX(0,H34-G34)))</x:f>
        <x:v>0</x:v>
      </x:c>
      <x:c r="J34" s="32" t="n">
        <x:f>IF(B34="Holiday",MAX(0,C34-F34),IF(B34="Closed",0,MAX(0,E34-I34)))</x:f>
        <x:v>1850000</x:v>
      </x:c>
      <x:c r="K34" s="32" t="n">
        <x:f>IF(B34="Holiday",IF(Dashboard!$B$14="Interest Only",D34,D34+G34),0)</x:f>
        <x:v>457875</x:v>
      </x:c>
      <x:c r="L34" s="32" t="n">
        <x:f>J34+K34</x:f>
        <x:v>2307875</x:v>
      </x:c>
      <x:c r="M34" s="32" t="n">
        <x:f>IF(A34=1,H34,M33+H34)</x:f>
        <x:v>0</x:v>
      </x:c>
      <x:c r="N34" s="32" t="n">
        <x:f>IF(A34=1,I34,N33+I34)</x:f>
        <x:v>0</x:v>
      </x:c>
      <x:c r="O34" s="32" t="n">
        <x:f>IF(A34=1,G34,O33+G34)</x:f>
        <x:v>457875</x:v>
      </x:c>
      <x:c r="P34" s="37" t="n">
        <x:f>EDATE(Dashboard!$B$10,A34)</x:f>
        <x:v>46023</x:v>
      </x:c>
    </x:row>
    <x:row r="35">
      <x:c r="A35" s="33" t="n">
        <x:v>34</x:v>
      </x:c>
      <x:c r="B35" s="33" t="str">
        <x:f>IF(A35&lt;=Dashboard!$F$8,"Holiday",IF(A35&lt;=Dashboard!$F$8+Dashboard!$F$7,"Repayment","Closed"))</x:f>
        <x:v>Holiday</x:v>
      </x:c>
      <x:c r="C35" s="32" t="n">
        <x:f>IF(A35=1,Dashboard!$B$6,IF(B35="Holiday",J34,L34))</x:f>
        <x:v>1850000</x:v>
      </x:c>
      <x:c r="D35" s="32" t="n">
        <x:f>IF(A35=1,0,IF(B35="Holiday",K34,0))</x:f>
        <x:v>457875</x:v>
      </x:c>
      <x:c r="E35" s="32">
        <x:f>C35+D35</x:f>
      </x:c>
      <x:c r="F35" s="32" t="n">
        <x:f>IF(B35="Holiday",IF(Dashboard!$B$14="Principal Only",MIN(Dashboard!$B$15,C35),0),0)</x:f>
        <x:v>0</x:v>
      </x:c>
      <x:c r="G35" s="32" t="n">
        <x:f>IF(B35="Closed",0,IF(B35="Holiday",IF(Dashboard!$B$14="Interest Only",C35*Dashboard!$F$6,MAX(0,(C35-F35)*Dashboard!$F$6)),E35*Dashboard!$F$6))</x:f>
        <x:v>13875</x:v>
      </x:c>
      <x:c r="H35" s="32" t="n">
        <x:f>IF(B35="Holiday",IF(Dashboard!$B$14="Interest Only",G35,F35),IF(B35="Closed",0,MIN(Dashboard!$F$10,E35+G35)))</x:f>
        <x:v>0</x:v>
      </x:c>
      <x:c r="I35" s="32" t="n">
        <x:f>IF(B35="Holiday",F35,IF(B35="Closed",0,MAX(0,H35-G35)))</x:f>
        <x:v>0</x:v>
      </x:c>
      <x:c r="J35" s="32" t="n">
        <x:f>IF(B35="Holiday",MAX(0,C35-F35),IF(B35="Closed",0,MAX(0,E35-I35)))</x:f>
        <x:v>1850000</x:v>
      </x:c>
      <x:c r="K35" s="32" t="n">
        <x:f>IF(B35="Holiday",IF(Dashboard!$B$14="Interest Only",D35,D35+G35),0)</x:f>
        <x:v>471750</x:v>
      </x:c>
      <x:c r="L35" s="32" t="n">
        <x:f>J35+K35</x:f>
        <x:v>2321750</x:v>
      </x:c>
      <x:c r="M35" s="32" t="n">
        <x:f>IF(A35=1,H35,M34+H35)</x:f>
        <x:v>0</x:v>
      </x:c>
      <x:c r="N35" s="32" t="n">
        <x:f>IF(A35=1,I35,N34+I35)</x:f>
        <x:v>0</x:v>
      </x:c>
      <x:c r="O35" s="32" t="n">
        <x:f>IF(A35=1,G35,O34+G35)</x:f>
        <x:v>471750</x:v>
      </x:c>
      <x:c r="P35" s="37" t="n">
        <x:f>EDATE(Dashboard!$B$10,A35)</x:f>
        <x:v>46054</x:v>
      </x:c>
    </x:row>
    <x:row r="36">
      <x:c r="A36" s="33" t="n">
        <x:v>35</x:v>
      </x:c>
      <x:c r="B36" s="33" t="str">
        <x:f>IF(A36&lt;=Dashboard!$F$8,"Holiday",IF(A36&lt;=Dashboard!$F$8+Dashboard!$F$7,"Repayment","Closed"))</x:f>
        <x:v>Holiday</x:v>
      </x:c>
      <x:c r="C36" s="32" t="n">
        <x:f>IF(A36=1,Dashboard!$B$6,IF(B36="Holiday",J35,L35))</x:f>
        <x:v>1850000</x:v>
      </x:c>
      <x:c r="D36" s="32" t="n">
        <x:f>IF(A36=1,0,IF(B36="Holiday",K35,0))</x:f>
        <x:v>471750</x:v>
      </x:c>
      <x:c r="E36" s="32">
        <x:f>C36+D36</x:f>
      </x:c>
      <x:c r="F36" s="32" t="n">
        <x:f>IF(B36="Holiday",IF(Dashboard!$B$14="Principal Only",MIN(Dashboard!$B$15,C36),0),0)</x:f>
        <x:v>0</x:v>
      </x:c>
      <x:c r="G36" s="32" t="n">
        <x:f>IF(B36="Closed",0,IF(B36="Holiday",IF(Dashboard!$B$14="Interest Only",C36*Dashboard!$F$6,MAX(0,(C36-F36)*Dashboard!$F$6)),E36*Dashboard!$F$6))</x:f>
        <x:v>13875</x:v>
      </x:c>
      <x:c r="H36" s="32" t="n">
        <x:f>IF(B36="Holiday",IF(Dashboard!$B$14="Interest Only",G36,F36),IF(B36="Closed",0,MIN(Dashboard!$F$10,E36+G36)))</x:f>
        <x:v>0</x:v>
      </x:c>
      <x:c r="I36" s="32" t="n">
        <x:f>IF(B36="Holiday",F36,IF(B36="Closed",0,MAX(0,H36-G36)))</x:f>
        <x:v>0</x:v>
      </x:c>
      <x:c r="J36" s="32" t="n">
        <x:f>IF(B36="Holiday",MAX(0,C36-F36),IF(B36="Closed",0,MAX(0,E36-I36)))</x:f>
        <x:v>1850000</x:v>
      </x:c>
      <x:c r="K36" s="32" t="n">
        <x:f>IF(B36="Holiday",IF(Dashboard!$B$14="Interest Only",D36,D36+G36),0)</x:f>
        <x:v>485625</x:v>
      </x:c>
      <x:c r="L36" s="32" t="n">
        <x:f>J36+K36</x:f>
        <x:v>2335625</x:v>
      </x:c>
      <x:c r="M36" s="32" t="n">
        <x:f>IF(A36=1,H36,M35+H36)</x:f>
        <x:v>0</x:v>
      </x:c>
      <x:c r="N36" s="32" t="n">
        <x:f>IF(A36=1,I36,N35+I36)</x:f>
        <x:v>0</x:v>
      </x:c>
      <x:c r="O36" s="32" t="n">
        <x:f>IF(A36=1,G36,O35+G36)</x:f>
        <x:v>485625</x:v>
      </x:c>
      <x:c r="P36" s="37" t="n">
        <x:f>EDATE(Dashboard!$B$10,A36)</x:f>
        <x:v>46082</x:v>
      </x:c>
    </x:row>
    <x:row r="37">
      <x:c r="A37" s="33" t="n">
        <x:v>36</x:v>
      </x:c>
      <x:c r="B37" s="33" t="str">
        <x:f>IF(A37&lt;=Dashboard!$F$8,"Holiday",IF(A37&lt;=Dashboard!$F$8+Dashboard!$F$7,"Repayment","Closed"))</x:f>
        <x:v>Holiday</x:v>
      </x:c>
      <x:c r="C37" s="32" t="n">
        <x:f>IF(A37=1,Dashboard!$B$6,IF(B37="Holiday",J36,L36))</x:f>
        <x:v>1850000</x:v>
      </x:c>
      <x:c r="D37" s="32" t="n">
        <x:f>IF(A37=1,0,IF(B37="Holiday",K36,0))</x:f>
        <x:v>485625</x:v>
      </x:c>
      <x:c r="E37" s="32">
        <x:f>C37+D37</x:f>
      </x:c>
      <x:c r="F37" s="32" t="n">
        <x:f>IF(B37="Holiday",IF(Dashboard!$B$14="Principal Only",MIN(Dashboard!$B$15,C37),0),0)</x:f>
        <x:v>0</x:v>
      </x:c>
      <x:c r="G37" s="32" t="n">
        <x:f>IF(B37="Closed",0,IF(B37="Holiday",IF(Dashboard!$B$14="Interest Only",C37*Dashboard!$F$6,MAX(0,(C37-F37)*Dashboard!$F$6)),E37*Dashboard!$F$6))</x:f>
        <x:v>13875</x:v>
      </x:c>
      <x:c r="H37" s="32" t="n">
        <x:f>IF(B37="Holiday",IF(Dashboard!$B$14="Interest Only",G37,F37),IF(B37="Closed",0,MIN(Dashboard!$F$10,E37+G37)))</x:f>
        <x:v>0</x:v>
      </x:c>
      <x:c r="I37" s="32" t="n">
        <x:f>IF(B37="Holiday",F37,IF(B37="Closed",0,MAX(0,H37-G37)))</x:f>
        <x:v>0</x:v>
      </x:c>
      <x:c r="J37" s="32" t="n">
        <x:f>IF(B37="Holiday",MAX(0,C37-F37),IF(B37="Closed",0,MAX(0,E37-I37)))</x:f>
        <x:v>1850000</x:v>
      </x:c>
      <x:c r="K37" s="32" t="n">
        <x:f>IF(B37="Holiday",IF(Dashboard!$B$14="Interest Only",D37,D37+G37),0)</x:f>
        <x:v>499500</x:v>
      </x:c>
      <x:c r="L37" s="32" t="n">
        <x:f>J37+K37</x:f>
        <x:v>2349500</x:v>
      </x:c>
      <x:c r="M37" s="32" t="n">
        <x:f>IF(A37=1,H37,M36+H37)</x:f>
        <x:v>0</x:v>
      </x:c>
      <x:c r="N37" s="32" t="n">
        <x:f>IF(A37=1,I37,N36+I37)</x:f>
        <x:v>0</x:v>
      </x:c>
      <x:c r="O37" s="32" t="n">
        <x:f>IF(A37=1,G37,O36+G37)</x:f>
        <x:v>499500</x:v>
      </x:c>
      <x:c r="P37" s="37" t="n">
        <x:f>EDATE(Dashboard!$B$10,A37)</x:f>
        <x:v>46113</x:v>
      </x:c>
    </x:row>
    <x:row r="38">
      <x:c r="A38" s="33" t="n">
        <x:v>37</x:v>
      </x:c>
      <x:c r="B38" s="33" t="str">
        <x:f>IF(A38&lt;=Dashboard!$F$8,"Holiday",IF(A38&lt;=Dashboard!$F$8+Dashboard!$F$7,"Repayment","Closed"))</x:f>
        <x:v>Repayment</x:v>
      </x:c>
      <x:c r="C38" s="32" t="n">
        <x:f>IF(A38=1,Dashboard!$B$6,IF(B38="Holiday",J37,L37))</x:f>
        <x:v>2349500</x:v>
      </x:c>
      <x:c r="D38" s="32" t="n">
        <x:f>IF(A38=1,0,IF(B38="Holiday",K37,0))</x:f>
        <x:v>0</x:v>
      </x:c>
      <x:c r="E38" s="32" t="n">
        <x:f>C38+D38</x:f>
        <x:v>2349500</x:v>
      </x:c>
      <x:c r="F38" s="32">
        <x:f>IF(B38="Holiday",IF(Dashboard!$B$14="Principal Only",MIN(Dashboard!$B$15,C38),0),0)</x:f>
      </x:c>
      <x:c r="G38" s="32" t="n">
        <x:f>IF(B38="Closed",0,IF(B38="Holiday",IF(Dashboard!$B$14="Interest Only",C38*Dashboard!$F$6,MAX(0,(C38-F38)*Dashboard!$F$6)),E38*Dashboard!$F$6))</x:f>
        <x:v>17621.25</x:v>
      </x:c>
      <x:c r="H38" s="32" t="n">
        <x:f>IF(B38="Holiday",IF(Dashboard!$B$14="Interest Only",G38,F38),IF(B38="Closed",0,MIN(Dashboard!$F$10,E38+G38)))</x:f>
        <x:v>0</x:v>
      </x:c>
      <x:c r="I38" s="32" t="n">
        <x:f>IF(B38="Holiday",F38,IF(B38="Closed",0,MAX(0,H38-G38)))</x:f>
        <x:v>0</x:v>
      </x:c>
      <x:c r="J38" s="32" t="n">
        <x:f>IF(B38="Holiday",MAX(0,C38-F38),IF(B38="Closed",0,MAX(0,E38-I38)))</x:f>
        <x:v>2349500</x:v>
      </x:c>
      <x:c r="K38" s="32" t="n">
        <x:f>IF(B38="Holiday",IF(Dashboard!$B$14="Interest Only",D38,D38+G38),0)</x:f>
        <x:v>0</x:v>
      </x:c>
      <x:c r="L38" s="32" t="n">
        <x:f>J38+K38</x:f>
        <x:v>2349500</x:v>
      </x:c>
      <x:c r="M38" s="32" t="n">
        <x:f>IF(A38=1,H38,M37+H38)</x:f>
        <x:v>0</x:v>
      </x:c>
      <x:c r="N38" s="32" t="n">
        <x:f>IF(A38=1,I38,N37+I38)</x:f>
        <x:v>0</x:v>
      </x:c>
      <x:c r="O38" s="32" t="n">
        <x:f>IF(A38=1,G38,O37+G38)</x:f>
        <x:v>517121.25</x:v>
      </x:c>
      <x:c r="P38" s="37" t="n">
        <x:f>EDATE(Dashboard!$B$10,A38)</x:f>
        <x:v>46143</x:v>
      </x:c>
    </x:row>
    <x:row r="39">
      <x:c r="A39" s="33" t="n">
        <x:v>38</x:v>
      </x:c>
      <x:c r="B39" s="33" t="str">
        <x:f>IF(A39&lt;=Dashboard!$F$8,"Holiday",IF(A39&lt;=Dashboard!$F$8+Dashboard!$F$7,"Repayment","Closed"))</x:f>
        <x:v>Repayment</x:v>
      </x:c>
      <x:c r="C39" s="32" t="n">
        <x:f>IF(A39=1,Dashboard!$B$6,IF(B39="Holiday",J38,L38))</x:f>
        <x:v>2349500</x:v>
      </x:c>
      <x:c r="D39" s="32" t="n">
        <x:f>IF(A39=1,0,IF(B39="Holiday",K38,0))</x:f>
        <x:v>0</x:v>
      </x:c>
      <x:c r="E39" s="32" t="n">
        <x:f>C39+D39</x:f>
        <x:v>2349500</x:v>
      </x:c>
      <x:c r="F39" s="32">
        <x:f>IF(B39="Holiday",IF(Dashboard!$B$14="Principal Only",MIN(Dashboard!$B$15,C39),0),0)</x:f>
      </x:c>
      <x:c r="G39" s="32" t="n">
        <x:f>IF(B39="Closed",0,IF(B39="Holiday",IF(Dashboard!$B$14="Interest Only",C39*Dashboard!$F$6,MAX(0,(C39-F39)*Dashboard!$F$6)),E39*Dashboard!$F$6))</x:f>
        <x:v>17621.25</x:v>
      </x:c>
      <x:c r="H39" s="32" t="n">
        <x:f>IF(B39="Holiday",IF(Dashboard!$B$14="Interest Only",G39,F39),IF(B39="Closed",0,MIN(Dashboard!$F$10,E39+G39)))</x:f>
        <x:v>0</x:v>
      </x:c>
      <x:c r="I39" s="32" t="n">
        <x:f>IF(B39="Holiday",F39,IF(B39="Closed",0,MAX(0,H39-G39)))</x:f>
        <x:v>0</x:v>
      </x:c>
      <x:c r="J39" s="32" t="n">
        <x:f>IF(B39="Holiday",MAX(0,C39-F39),IF(B39="Closed",0,MAX(0,E39-I39)))</x:f>
        <x:v>2349500</x:v>
      </x:c>
      <x:c r="K39" s="32" t="n">
        <x:f>IF(B39="Holiday",IF(Dashboard!$B$14="Interest Only",D39,D39+G39),0)</x:f>
        <x:v>0</x:v>
      </x:c>
      <x:c r="L39" s="32" t="n">
        <x:f>J39+K39</x:f>
        <x:v>2349500</x:v>
      </x:c>
      <x:c r="M39" s="32" t="n">
        <x:f>IF(A39=1,H39,M38+H39)</x:f>
        <x:v>0</x:v>
      </x:c>
      <x:c r="N39" s="32" t="n">
        <x:f>IF(A39=1,I39,N38+I39)</x:f>
        <x:v>0</x:v>
      </x:c>
      <x:c r="O39" s="32" t="n">
        <x:f>IF(A39=1,G39,O38+G39)</x:f>
        <x:v>534742.5</x:v>
      </x:c>
      <x:c r="P39" s="37" t="n">
        <x:f>EDATE(Dashboard!$B$10,A39)</x:f>
        <x:v>46174</x:v>
      </x:c>
    </x:row>
    <x:row r="40">
      <x:c r="A40" s="33" t="n">
        <x:v>39</x:v>
      </x:c>
      <x:c r="B40" s="33" t="str">
        <x:f>IF(A40&lt;=Dashboard!$F$8,"Holiday",IF(A40&lt;=Dashboard!$F$8+Dashboard!$F$7,"Repayment","Closed"))</x:f>
        <x:v>Repayment</x:v>
      </x:c>
      <x:c r="C40" s="32" t="n">
        <x:f>IF(A40=1,Dashboard!$B$6,IF(B40="Holiday",J39,L39))</x:f>
        <x:v>2349500</x:v>
      </x:c>
      <x:c r="D40" s="32" t="n">
        <x:f>IF(A40=1,0,IF(B40="Holiday",K39,0))</x:f>
        <x:v>0</x:v>
      </x:c>
      <x:c r="E40" s="32" t="n">
        <x:f>C40+D40</x:f>
        <x:v>2349500</x:v>
      </x:c>
      <x:c r="F40" s="32">
        <x:f>IF(B40="Holiday",IF(Dashboard!$B$14="Principal Only",MIN(Dashboard!$B$15,C40),0),0)</x:f>
      </x:c>
      <x:c r="G40" s="32" t="n">
        <x:f>IF(B40="Closed",0,IF(B40="Holiday",IF(Dashboard!$B$14="Interest Only",C40*Dashboard!$F$6,MAX(0,(C40-F40)*Dashboard!$F$6)),E40*Dashboard!$F$6))</x:f>
        <x:v>17621.25</x:v>
      </x:c>
      <x:c r="H40" s="32" t="n">
        <x:f>IF(B40="Holiday",IF(Dashboard!$B$14="Interest Only",G40,F40),IF(B40="Closed",0,MIN(Dashboard!$F$10,E40+G40)))</x:f>
        <x:v>0</x:v>
      </x:c>
      <x:c r="I40" s="32" t="n">
        <x:f>IF(B40="Holiday",F40,IF(B40="Closed",0,MAX(0,H40-G40)))</x:f>
        <x:v>0</x:v>
      </x:c>
      <x:c r="J40" s="32" t="n">
        <x:f>IF(B40="Holiday",MAX(0,C40-F40),IF(B40="Closed",0,MAX(0,E40-I40)))</x:f>
        <x:v>2349500</x:v>
      </x:c>
      <x:c r="K40" s="32" t="n">
        <x:f>IF(B40="Holiday",IF(Dashboard!$B$14="Interest Only",D40,D40+G40),0)</x:f>
        <x:v>0</x:v>
      </x:c>
      <x:c r="L40" s="32" t="n">
        <x:f>J40+K40</x:f>
        <x:v>2349500</x:v>
      </x:c>
      <x:c r="M40" s="32" t="n">
        <x:f>IF(A40=1,H40,M39+H40)</x:f>
        <x:v>0</x:v>
      </x:c>
      <x:c r="N40" s="32" t="n">
        <x:f>IF(A40=1,I40,N39+I40)</x:f>
        <x:v>0</x:v>
      </x:c>
      <x:c r="O40" s="32" t="n">
        <x:f>IF(A40=1,G40,O39+G40)</x:f>
        <x:v>552363.75</x:v>
      </x:c>
      <x:c r="P40" s="37" t="n">
        <x:f>EDATE(Dashboard!$B$10,A40)</x:f>
        <x:v>46204</x:v>
      </x:c>
    </x:row>
    <x:row r="41">
      <x:c r="A41" s="33" t="n">
        <x:v>40</x:v>
      </x:c>
      <x:c r="B41" s="33" t="str">
        <x:f>IF(A41&lt;=Dashboard!$F$8,"Holiday",IF(A41&lt;=Dashboard!$F$8+Dashboard!$F$7,"Repayment","Closed"))</x:f>
        <x:v>Repayment</x:v>
      </x:c>
      <x:c r="C41" s="32" t="n">
        <x:f>IF(A41=1,Dashboard!$B$6,IF(B41="Holiday",J40,L40))</x:f>
        <x:v>2349500</x:v>
      </x:c>
      <x:c r="D41" s="32" t="n">
        <x:f>IF(A41=1,0,IF(B41="Holiday",K40,0))</x:f>
        <x:v>0</x:v>
      </x:c>
      <x:c r="E41" s="32" t="n">
        <x:f>C41+D41</x:f>
        <x:v>2349500</x:v>
      </x:c>
      <x:c r="F41" s="32">
        <x:f>IF(B41="Holiday",IF(Dashboard!$B$14="Principal Only",MIN(Dashboard!$B$15,C41),0),0)</x:f>
      </x:c>
      <x:c r="G41" s="32" t="n">
        <x:f>IF(B41="Closed",0,IF(B41="Holiday",IF(Dashboard!$B$14="Interest Only",C41*Dashboard!$F$6,MAX(0,(C41-F41)*Dashboard!$F$6)),E41*Dashboard!$F$6))</x:f>
        <x:v>17621.25</x:v>
      </x:c>
      <x:c r="H41" s="32" t="n">
        <x:f>IF(B41="Holiday",IF(Dashboard!$B$14="Interest Only",G41,F41),IF(B41="Closed",0,MIN(Dashboard!$F$10,E41+G41)))</x:f>
        <x:v>0</x:v>
      </x:c>
      <x:c r="I41" s="32" t="n">
        <x:f>IF(B41="Holiday",F41,IF(B41="Closed",0,MAX(0,H41-G41)))</x:f>
        <x:v>0</x:v>
      </x:c>
      <x:c r="J41" s="32" t="n">
        <x:f>IF(B41="Holiday",MAX(0,C41-F41),IF(B41="Closed",0,MAX(0,E41-I41)))</x:f>
        <x:v>2349500</x:v>
      </x:c>
      <x:c r="K41" s="32" t="n">
        <x:f>IF(B41="Holiday",IF(Dashboard!$B$14="Interest Only",D41,D41+G41),0)</x:f>
        <x:v>0</x:v>
      </x:c>
      <x:c r="L41" s="32" t="n">
        <x:f>J41+K41</x:f>
        <x:v>2349500</x:v>
      </x:c>
      <x:c r="M41" s="32" t="n">
        <x:f>IF(A41=1,H41,M40+H41)</x:f>
        <x:v>0</x:v>
      </x:c>
      <x:c r="N41" s="32" t="n">
        <x:f>IF(A41=1,I41,N40+I41)</x:f>
        <x:v>0</x:v>
      </x:c>
      <x:c r="O41" s="32" t="n">
        <x:f>IF(A41=1,G41,O40+G41)</x:f>
        <x:v>569985</x:v>
      </x:c>
      <x:c r="P41" s="37" t="n">
        <x:f>EDATE(Dashboard!$B$10,A41)</x:f>
        <x:v>46235</x:v>
      </x:c>
    </x:row>
    <x:row r="42">
      <x:c r="A42" s="33" t="n">
        <x:v>41</x:v>
      </x:c>
      <x:c r="B42" s="33" t="str">
        <x:f>IF(A42&lt;=Dashboard!$F$8,"Holiday",IF(A42&lt;=Dashboard!$F$8+Dashboard!$F$7,"Repayment","Closed"))</x:f>
        <x:v>Repayment</x:v>
      </x:c>
      <x:c r="C42" s="32" t="n">
        <x:f>IF(A42=1,Dashboard!$B$6,IF(B42="Holiday",J41,L41))</x:f>
        <x:v>2349500</x:v>
      </x:c>
      <x:c r="D42" s="32" t="n">
        <x:f>IF(A42=1,0,IF(B42="Holiday",K41,0))</x:f>
        <x:v>0</x:v>
      </x:c>
      <x:c r="E42" s="32" t="n">
        <x:f>C42+D42</x:f>
        <x:v>2349500</x:v>
      </x:c>
      <x:c r="F42" s="32">
        <x:f>IF(B42="Holiday",IF(Dashboard!$B$14="Principal Only",MIN(Dashboard!$B$15,C42),0),0)</x:f>
      </x:c>
      <x:c r="G42" s="32" t="n">
        <x:f>IF(B42="Closed",0,IF(B42="Holiday",IF(Dashboard!$B$14="Interest Only",C42*Dashboard!$F$6,MAX(0,(C42-F42)*Dashboard!$F$6)),E42*Dashboard!$F$6))</x:f>
        <x:v>17621.25</x:v>
      </x:c>
      <x:c r="H42" s="32" t="n">
        <x:f>IF(B42="Holiday",IF(Dashboard!$B$14="Interest Only",G42,F42),IF(B42="Closed",0,MIN(Dashboard!$F$10,E42+G42)))</x:f>
        <x:v>0</x:v>
      </x:c>
      <x:c r="I42" s="32" t="n">
        <x:f>IF(B42="Holiday",F42,IF(B42="Closed",0,MAX(0,H42-G42)))</x:f>
        <x:v>0</x:v>
      </x:c>
      <x:c r="J42" s="32" t="n">
        <x:f>IF(B42="Holiday",MAX(0,C42-F42),IF(B42="Closed",0,MAX(0,E42-I42)))</x:f>
        <x:v>2349500</x:v>
      </x:c>
      <x:c r="K42" s="32" t="n">
        <x:f>IF(B42="Holiday",IF(Dashboard!$B$14="Interest Only",D42,D42+G42),0)</x:f>
        <x:v>0</x:v>
      </x:c>
      <x:c r="L42" s="32" t="n">
        <x:f>J42+K42</x:f>
        <x:v>2349500</x:v>
      </x:c>
      <x:c r="M42" s="32" t="n">
        <x:f>IF(A42=1,H42,M41+H42)</x:f>
        <x:v>0</x:v>
      </x:c>
      <x:c r="N42" s="32" t="n">
        <x:f>IF(A42=1,I42,N41+I42)</x:f>
        <x:v>0</x:v>
      </x:c>
      <x:c r="O42" s="32" t="n">
        <x:f>IF(A42=1,G42,O41+G42)</x:f>
        <x:v>587606.25</x:v>
      </x:c>
      <x:c r="P42" s="37" t="n">
        <x:f>EDATE(Dashboard!$B$10,A42)</x:f>
        <x:v>46266</x:v>
      </x:c>
    </x:row>
    <x:row r="43">
      <x:c r="A43" s="33" t="n">
        <x:v>42</x:v>
      </x:c>
      <x:c r="B43" s="33" t="str">
        <x:f>IF(A43&lt;=Dashboard!$F$8,"Holiday",IF(A43&lt;=Dashboard!$F$8+Dashboard!$F$7,"Repayment","Closed"))</x:f>
        <x:v>Repayment</x:v>
      </x:c>
      <x:c r="C43" s="32" t="n">
        <x:f>IF(A43=1,Dashboard!$B$6,IF(B43="Holiday",J42,L42))</x:f>
        <x:v>2349500</x:v>
      </x:c>
      <x:c r="D43" s="32" t="n">
        <x:f>IF(A43=1,0,IF(B43="Holiday",K42,0))</x:f>
        <x:v>0</x:v>
      </x:c>
      <x:c r="E43" s="32" t="n">
        <x:f>C43+D43</x:f>
        <x:v>2349500</x:v>
      </x:c>
      <x:c r="F43" s="32">
        <x:f>IF(B43="Holiday",IF(Dashboard!$B$14="Principal Only",MIN(Dashboard!$B$15,C43),0),0)</x:f>
      </x:c>
      <x:c r="G43" s="32" t="n">
        <x:f>IF(B43="Closed",0,IF(B43="Holiday",IF(Dashboard!$B$14="Interest Only",C43*Dashboard!$F$6,MAX(0,(C43-F43)*Dashboard!$F$6)),E43*Dashboard!$F$6))</x:f>
        <x:v>17621.25</x:v>
      </x:c>
      <x:c r="H43" s="32" t="n">
        <x:f>IF(B43="Holiday",IF(Dashboard!$B$14="Interest Only",G43,F43),IF(B43="Closed",0,MIN(Dashboard!$F$10,E43+G43)))</x:f>
        <x:v>0</x:v>
      </x:c>
      <x:c r="I43" s="32" t="n">
        <x:f>IF(B43="Holiday",F43,IF(B43="Closed",0,MAX(0,H43-G43)))</x:f>
        <x:v>0</x:v>
      </x:c>
      <x:c r="J43" s="32" t="n">
        <x:f>IF(B43="Holiday",MAX(0,C43-F43),IF(B43="Closed",0,MAX(0,E43-I43)))</x:f>
        <x:v>2349500</x:v>
      </x:c>
      <x:c r="K43" s="32" t="n">
        <x:f>IF(B43="Holiday",IF(Dashboard!$B$14="Interest Only",D43,D43+G43),0)</x:f>
        <x:v>0</x:v>
      </x:c>
      <x:c r="L43" s="32" t="n">
        <x:f>J43+K43</x:f>
        <x:v>2349500</x:v>
      </x:c>
      <x:c r="M43" s="32" t="n">
        <x:f>IF(A43=1,H43,M42+H43)</x:f>
        <x:v>0</x:v>
      </x:c>
      <x:c r="N43" s="32" t="n">
        <x:f>IF(A43=1,I43,N42+I43)</x:f>
        <x:v>0</x:v>
      </x:c>
      <x:c r="O43" s="32" t="n">
        <x:f>IF(A43=1,G43,O42+G43)</x:f>
        <x:v>605227.5</x:v>
      </x:c>
      <x:c r="P43" s="37" t="n">
        <x:f>EDATE(Dashboard!$B$10,A43)</x:f>
        <x:v>46296</x:v>
      </x:c>
    </x:row>
    <x:row r="44">
      <x:c r="A44" s="33" t="n">
        <x:v>43</x:v>
      </x:c>
      <x:c r="B44" s="33" t="str">
        <x:f>IF(A44&lt;=Dashboard!$F$8,"Holiday",IF(A44&lt;=Dashboard!$F$8+Dashboard!$F$7,"Repayment","Closed"))</x:f>
        <x:v>Repayment</x:v>
      </x:c>
      <x:c r="C44" s="32" t="n">
        <x:f>IF(A44=1,Dashboard!$B$6,IF(B44="Holiday",J43,L43))</x:f>
        <x:v>2349500</x:v>
      </x:c>
      <x:c r="D44" s="32" t="n">
        <x:f>IF(A44=1,0,IF(B44="Holiday",K43,0))</x:f>
        <x:v>0</x:v>
      </x:c>
      <x:c r="E44" s="32" t="n">
        <x:f>C44+D44</x:f>
        <x:v>2349500</x:v>
      </x:c>
      <x:c r="F44" s="32">
        <x:f>IF(B44="Holiday",IF(Dashboard!$B$14="Principal Only",MIN(Dashboard!$B$15,C44),0),0)</x:f>
      </x:c>
      <x:c r="G44" s="32" t="n">
        <x:f>IF(B44="Closed",0,IF(B44="Holiday",IF(Dashboard!$B$14="Interest Only",C44*Dashboard!$F$6,MAX(0,(C44-F44)*Dashboard!$F$6)),E44*Dashboard!$F$6))</x:f>
        <x:v>17621.25</x:v>
      </x:c>
      <x:c r="H44" s="32" t="n">
        <x:f>IF(B44="Holiday",IF(Dashboard!$B$14="Interest Only",G44,F44),IF(B44="Closed",0,MIN(Dashboard!$F$10,E44+G44)))</x:f>
        <x:v>0</x:v>
      </x:c>
      <x:c r="I44" s="32" t="n">
        <x:f>IF(B44="Holiday",F44,IF(B44="Closed",0,MAX(0,H44-G44)))</x:f>
        <x:v>0</x:v>
      </x:c>
      <x:c r="J44" s="32" t="n">
        <x:f>IF(B44="Holiday",MAX(0,C44-F44),IF(B44="Closed",0,MAX(0,E44-I44)))</x:f>
        <x:v>2349500</x:v>
      </x:c>
      <x:c r="K44" s="32" t="n">
        <x:f>IF(B44="Holiday",IF(Dashboard!$B$14="Interest Only",D44,D44+G44),0)</x:f>
        <x:v>0</x:v>
      </x:c>
      <x:c r="L44" s="32" t="n">
        <x:f>J44+K44</x:f>
        <x:v>2349500</x:v>
      </x:c>
      <x:c r="M44" s="32" t="n">
        <x:f>IF(A44=1,H44,M43+H44)</x:f>
        <x:v>0</x:v>
      </x:c>
      <x:c r="N44" s="32" t="n">
        <x:f>IF(A44=1,I44,N43+I44)</x:f>
        <x:v>0</x:v>
      </x:c>
      <x:c r="O44" s="32" t="n">
        <x:f>IF(A44=1,G44,O43+G44)</x:f>
        <x:v>622848.75</x:v>
      </x:c>
      <x:c r="P44" s="37" t="n">
        <x:f>EDATE(Dashboard!$B$10,A44)</x:f>
        <x:v>46327</x:v>
      </x:c>
    </x:row>
    <x:row r="45">
      <x:c r="A45" s="33" t="n">
        <x:v>44</x:v>
      </x:c>
      <x:c r="B45" s="33" t="str">
        <x:f>IF(A45&lt;=Dashboard!$F$8,"Holiday",IF(A45&lt;=Dashboard!$F$8+Dashboard!$F$7,"Repayment","Closed"))</x:f>
        <x:v>Repayment</x:v>
      </x:c>
      <x:c r="C45" s="32" t="n">
        <x:f>IF(A45=1,Dashboard!$B$6,IF(B45="Holiday",J44,L44))</x:f>
        <x:v>2349500</x:v>
      </x:c>
      <x:c r="D45" s="32" t="n">
        <x:f>IF(A45=1,0,IF(B45="Holiday",K44,0))</x:f>
        <x:v>0</x:v>
      </x:c>
      <x:c r="E45" s="32" t="n">
        <x:f>C45+D45</x:f>
        <x:v>2349500</x:v>
      </x:c>
      <x:c r="F45" s="32">
        <x:f>IF(B45="Holiday",IF(Dashboard!$B$14="Principal Only",MIN(Dashboard!$B$15,C45),0),0)</x:f>
      </x:c>
      <x:c r="G45" s="32" t="n">
        <x:f>IF(B45="Closed",0,IF(B45="Holiday",IF(Dashboard!$B$14="Interest Only",C45*Dashboard!$F$6,MAX(0,(C45-F45)*Dashboard!$F$6)),E45*Dashboard!$F$6))</x:f>
        <x:v>17621.25</x:v>
      </x:c>
      <x:c r="H45" s="32" t="n">
        <x:f>IF(B45="Holiday",IF(Dashboard!$B$14="Interest Only",G45,F45),IF(B45="Closed",0,MIN(Dashboard!$F$10,E45+G45)))</x:f>
        <x:v>0</x:v>
      </x:c>
      <x:c r="I45" s="32" t="n">
        <x:f>IF(B45="Holiday",F45,IF(B45="Closed",0,MAX(0,H45-G45)))</x:f>
        <x:v>0</x:v>
      </x:c>
      <x:c r="J45" s="32" t="n">
        <x:f>IF(B45="Holiday",MAX(0,C45-F45),IF(B45="Closed",0,MAX(0,E45-I45)))</x:f>
        <x:v>2349500</x:v>
      </x:c>
      <x:c r="K45" s="32" t="n">
        <x:f>IF(B45="Holiday",IF(Dashboard!$B$14="Interest Only",D45,D45+G45),0)</x:f>
        <x:v>0</x:v>
      </x:c>
      <x:c r="L45" s="32" t="n">
        <x:f>J45+K45</x:f>
        <x:v>2349500</x:v>
      </x:c>
      <x:c r="M45" s="32" t="n">
        <x:f>IF(A45=1,H45,M44+H45)</x:f>
        <x:v>0</x:v>
      </x:c>
      <x:c r="N45" s="32" t="n">
        <x:f>IF(A45=1,I45,N44+I45)</x:f>
        <x:v>0</x:v>
      </x:c>
      <x:c r="O45" s="32" t="n">
        <x:f>IF(A45=1,G45,O44+G45)</x:f>
        <x:v>640470</x:v>
      </x:c>
      <x:c r="P45" s="37" t="n">
        <x:f>EDATE(Dashboard!$B$10,A45)</x:f>
        <x:v>46357</x:v>
      </x:c>
    </x:row>
    <x:row r="46">
      <x:c r="A46" s="33" t="n">
        <x:v>45</x:v>
      </x:c>
      <x:c r="B46" s="33" t="str">
        <x:f>IF(A46&lt;=Dashboard!$F$8,"Holiday",IF(A46&lt;=Dashboard!$F$8+Dashboard!$F$7,"Repayment","Closed"))</x:f>
        <x:v>Repayment</x:v>
      </x:c>
      <x:c r="C46" s="32" t="n">
        <x:f>IF(A46=1,Dashboard!$B$6,IF(B46="Holiday",J45,L45))</x:f>
        <x:v>2349500</x:v>
      </x:c>
      <x:c r="D46" s="32" t="n">
        <x:f>IF(A46=1,0,IF(B46="Holiday",K45,0))</x:f>
        <x:v>0</x:v>
      </x:c>
      <x:c r="E46" s="32" t="n">
        <x:f>C46+D46</x:f>
        <x:v>2349500</x:v>
      </x:c>
      <x:c r="F46" s="32">
        <x:f>IF(B46="Holiday",IF(Dashboard!$B$14="Principal Only",MIN(Dashboard!$B$15,C46),0),0)</x:f>
      </x:c>
      <x:c r="G46" s="32" t="n">
        <x:f>IF(B46="Closed",0,IF(B46="Holiday",IF(Dashboard!$B$14="Interest Only",C46*Dashboard!$F$6,MAX(0,(C46-F46)*Dashboard!$F$6)),E46*Dashboard!$F$6))</x:f>
        <x:v>17621.25</x:v>
      </x:c>
      <x:c r="H46" s="32" t="n">
        <x:f>IF(B46="Holiday",IF(Dashboard!$B$14="Interest Only",G46,F46),IF(B46="Closed",0,MIN(Dashboard!$F$10,E46+G46)))</x:f>
        <x:v>0</x:v>
      </x:c>
      <x:c r="I46" s="32" t="n">
        <x:f>IF(B46="Holiday",F46,IF(B46="Closed",0,MAX(0,H46-G46)))</x:f>
        <x:v>0</x:v>
      </x:c>
      <x:c r="J46" s="32" t="n">
        <x:f>IF(B46="Holiday",MAX(0,C46-F46),IF(B46="Closed",0,MAX(0,E46-I46)))</x:f>
        <x:v>2349500</x:v>
      </x:c>
      <x:c r="K46" s="32" t="n">
        <x:f>IF(B46="Holiday",IF(Dashboard!$B$14="Interest Only",D46,D46+G46),0)</x:f>
        <x:v>0</x:v>
      </x:c>
      <x:c r="L46" s="32" t="n">
        <x:f>J46+K46</x:f>
        <x:v>2349500</x:v>
      </x:c>
      <x:c r="M46" s="32" t="n">
        <x:f>IF(A46=1,H46,M45+H46)</x:f>
        <x:v>0</x:v>
      </x:c>
      <x:c r="N46" s="32" t="n">
        <x:f>IF(A46=1,I46,N45+I46)</x:f>
        <x:v>0</x:v>
      </x:c>
      <x:c r="O46" s="32" t="n">
        <x:f>IF(A46=1,G46,O45+G46)</x:f>
        <x:v>658091.25</x:v>
      </x:c>
      <x:c r="P46" s="37" t="n">
        <x:f>EDATE(Dashboard!$B$10,A46)</x:f>
        <x:v>46388</x:v>
      </x:c>
    </x:row>
    <x:row r="47">
      <x:c r="A47" s="33" t="n">
        <x:v>46</x:v>
      </x:c>
      <x:c r="B47" s="33" t="str">
        <x:f>IF(A47&lt;=Dashboard!$F$8,"Holiday",IF(A47&lt;=Dashboard!$F$8+Dashboard!$F$7,"Repayment","Closed"))</x:f>
        <x:v>Repayment</x:v>
      </x:c>
      <x:c r="C47" s="32" t="n">
        <x:f>IF(A47=1,Dashboard!$B$6,IF(B47="Holiday",J46,L46))</x:f>
        <x:v>2349500</x:v>
      </x:c>
      <x:c r="D47" s="32" t="n">
        <x:f>IF(A47=1,0,IF(B47="Holiday",K46,0))</x:f>
        <x:v>0</x:v>
      </x:c>
      <x:c r="E47" s="32" t="n">
        <x:f>C47+D47</x:f>
        <x:v>2349500</x:v>
      </x:c>
      <x:c r="F47" s="32">
        <x:f>IF(B47="Holiday",IF(Dashboard!$B$14="Principal Only",MIN(Dashboard!$B$15,C47),0),0)</x:f>
      </x:c>
      <x:c r="G47" s="32" t="n">
        <x:f>IF(B47="Closed",0,IF(B47="Holiday",IF(Dashboard!$B$14="Interest Only",C47*Dashboard!$F$6,MAX(0,(C47-F47)*Dashboard!$F$6)),E47*Dashboard!$F$6))</x:f>
        <x:v>17621.25</x:v>
      </x:c>
      <x:c r="H47" s="32" t="n">
        <x:f>IF(B47="Holiday",IF(Dashboard!$B$14="Interest Only",G47,F47),IF(B47="Closed",0,MIN(Dashboard!$F$10,E47+G47)))</x:f>
        <x:v>0</x:v>
      </x:c>
      <x:c r="I47" s="32" t="n">
        <x:f>IF(B47="Holiday",F47,IF(B47="Closed",0,MAX(0,H47-G47)))</x:f>
        <x:v>0</x:v>
      </x:c>
      <x:c r="J47" s="32" t="n">
        <x:f>IF(B47="Holiday",MAX(0,C47-F47),IF(B47="Closed",0,MAX(0,E47-I47)))</x:f>
        <x:v>2349500</x:v>
      </x:c>
      <x:c r="K47" s="32" t="n">
        <x:f>IF(B47="Holiday",IF(Dashboard!$B$14="Interest Only",D47,D47+G47),0)</x:f>
        <x:v>0</x:v>
      </x:c>
      <x:c r="L47" s="32" t="n">
        <x:f>J47+K47</x:f>
        <x:v>2349500</x:v>
      </x:c>
      <x:c r="M47" s="32" t="n">
        <x:f>IF(A47=1,H47,M46+H47)</x:f>
        <x:v>0</x:v>
      </x:c>
      <x:c r="N47" s="32" t="n">
        <x:f>IF(A47=1,I47,N46+I47)</x:f>
        <x:v>0</x:v>
      </x:c>
      <x:c r="O47" s="32" t="n">
        <x:f>IF(A47=1,G47,O46+G47)</x:f>
        <x:v>675712.5</x:v>
      </x:c>
      <x:c r="P47" s="37" t="n">
        <x:f>EDATE(Dashboard!$B$10,A47)</x:f>
        <x:v>46419</x:v>
      </x:c>
    </x:row>
    <x:row r="48">
      <x:c r="A48" s="33" t="n">
        <x:v>47</x:v>
      </x:c>
      <x:c r="B48" s="33" t="str">
        <x:f>IF(A48&lt;=Dashboard!$F$8,"Holiday",IF(A48&lt;=Dashboard!$F$8+Dashboard!$F$7,"Repayment","Closed"))</x:f>
        <x:v>Repayment</x:v>
      </x:c>
      <x:c r="C48" s="32" t="n">
        <x:f>IF(A48=1,Dashboard!$B$6,IF(B48="Holiday",J47,L47))</x:f>
        <x:v>2349500</x:v>
      </x:c>
      <x:c r="D48" s="32" t="n">
        <x:f>IF(A48=1,0,IF(B48="Holiday",K47,0))</x:f>
        <x:v>0</x:v>
      </x:c>
      <x:c r="E48" s="32" t="n">
        <x:f>C48+D48</x:f>
        <x:v>2349500</x:v>
      </x:c>
      <x:c r="F48" s="32">
        <x:f>IF(B48="Holiday",IF(Dashboard!$B$14="Principal Only",MIN(Dashboard!$B$15,C48),0),0)</x:f>
      </x:c>
      <x:c r="G48" s="32" t="n">
        <x:f>IF(B48="Closed",0,IF(B48="Holiday",IF(Dashboard!$B$14="Interest Only",C48*Dashboard!$F$6,MAX(0,(C48-F48)*Dashboard!$F$6)),E48*Dashboard!$F$6))</x:f>
        <x:v>17621.25</x:v>
      </x:c>
      <x:c r="H48" s="32" t="n">
        <x:f>IF(B48="Holiday",IF(Dashboard!$B$14="Interest Only",G48,F48),IF(B48="Closed",0,MIN(Dashboard!$F$10,E48+G48)))</x:f>
        <x:v>0</x:v>
      </x:c>
      <x:c r="I48" s="32" t="n">
        <x:f>IF(B48="Holiday",F48,IF(B48="Closed",0,MAX(0,H48-G48)))</x:f>
        <x:v>0</x:v>
      </x:c>
      <x:c r="J48" s="32" t="n">
        <x:f>IF(B48="Holiday",MAX(0,C48-F48),IF(B48="Closed",0,MAX(0,E48-I48)))</x:f>
        <x:v>2349500</x:v>
      </x:c>
      <x:c r="K48" s="32" t="n">
        <x:f>IF(B48="Holiday",IF(Dashboard!$B$14="Interest Only",D48,D48+G48),0)</x:f>
        <x:v>0</x:v>
      </x:c>
      <x:c r="L48" s="32" t="n">
        <x:f>J48+K48</x:f>
        <x:v>2349500</x:v>
      </x:c>
      <x:c r="M48" s="32" t="n">
        <x:f>IF(A48=1,H48,M47+H48)</x:f>
        <x:v>0</x:v>
      </x:c>
      <x:c r="N48" s="32" t="n">
        <x:f>IF(A48=1,I48,N47+I48)</x:f>
        <x:v>0</x:v>
      </x:c>
      <x:c r="O48" s="32" t="n">
        <x:f>IF(A48=1,G48,O47+G48)</x:f>
        <x:v>693333.75</x:v>
      </x:c>
      <x:c r="P48" s="37" t="n">
        <x:f>EDATE(Dashboard!$B$10,A48)</x:f>
        <x:v>46447</x:v>
      </x:c>
    </x:row>
    <x:row r="49">
      <x:c r="A49" s="33" t="n">
        <x:v>48</x:v>
      </x:c>
      <x:c r="B49" s="33" t="str">
        <x:f>IF(A49&lt;=Dashboard!$F$8,"Holiday",IF(A49&lt;=Dashboard!$F$8+Dashboard!$F$7,"Repayment","Closed"))</x:f>
        <x:v>Repayment</x:v>
      </x:c>
      <x:c r="C49" s="32" t="n">
        <x:f>IF(A49=1,Dashboard!$B$6,IF(B49="Holiday",J48,L48))</x:f>
        <x:v>2349500</x:v>
      </x:c>
      <x:c r="D49" s="32" t="n">
        <x:f>IF(A49=1,0,IF(B49="Holiday",K48,0))</x:f>
        <x:v>0</x:v>
      </x:c>
      <x:c r="E49" s="32" t="n">
        <x:f>C49+D49</x:f>
        <x:v>2349500</x:v>
      </x:c>
      <x:c r="F49" s="32">
        <x:f>IF(B49="Holiday",IF(Dashboard!$B$14="Principal Only",MIN(Dashboard!$B$15,C49),0),0)</x:f>
      </x:c>
      <x:c r="G49" s="32" t="n">
        <x:f>IF(B49="Closed",0,IF(B49="Holiday",IF(Dashboard!$B$14="Interest Only",C49*Dashboard!$F$6,MAX(0,(C49-F49)*Dashboard!$F$6)),E49*Dashboard!$F$6))</x:f>
        <x:v>17621.25</x:v>
      </x:c>
      <x:c r="H49" s="32" t="n">
        <x:f>IF(B49="Holiday",IF(Dashboard!$B$14="Interest Only",G49,F49),IF(B49="Closed",0,MIN(Dashboard!$F$10,E49+G49)))</x:f>
        <x:v>0</x:v>
      </x:c>
      <x:c r="I49" s="32" t="n">
        <x:f>IF(B49="Holiday",F49,IF(B49="Closed",0,MAX(0,H49-G49)))</x:f>
        <x:v>0</x:v>
      </x:c>
      <x:c r="J49" s="32" t="n">
        <x:f>IF(B49="Holiday",MAX(0,C49-F49),IF(B49="Closed",0,MAX(0,E49-I49)))</x:f>
        <x:v>2349500</x:v>
      </x:c>
      <x:c r="K49" s="32" t="n">
        <x:f>IF(B49="Holiday",IF(Dashboard!$B$14="Interest Only",D49,D49+G49),0)</x:f>
        <x:v>0</x:v>
      </x:c>
      <x:c r="L49" s="32" t="n">
        <x:f>J49+K49</x:f>
        <x:v>2349500</x:v>
      </x:c>
      <x:c r="M49" s="32" t="n">
        <x:f>IF(A49=1,H49,M48+H49)</x:f>
        <x:v>0</x:v>
      </x:c>
      <x:c r="N49" s="32" t="n">
        <x:f>IF(A49=1,I49,N48+I49)</x:f>
        <x:v>0</x:v>
      </x:c>
      <x:c r="O49" s="32" t="n">
        <x:f>IF(A49=1,G49,O48+G49)</x:f>
        <x:v>710955</x:v>
      </x:c>
      <x:c r="P49" s="37" t="n">
        <x:f>EDATE(Dashboard!$B$10,A49)</x:f>
        <x:v>46478</x:v>
      </x:c>
    </x:row>
    <x:row r="50">
      <x:c r="A50" s="33" t="n">
        <x:v>49</x:v>
      </x:c>
      <x:c r="B50" s="33" t="str">
        <x:f>IF(A50&lt;=Dashboard!$F$8,"Holiday",IF(A50&lt;=Dashboard!$F$8+Dashboard!$F$7,"Repayment","Closed"))</x:f>
        <x:v>Repayment</x:v>
      </x:c>
      <x:c r="C50" s="32" t="n">
        <x:f>IF(A50=1,Dashboard!$B$6,IF(B50="Holiday",J49,L49))</x:f>
        <x:v>2349500</x:v>
      </x:c>
      <x:c r="D50" s="32" t="n">
        <x:f>IF(A50=1,0,IF(B50="Holiday",K49,0))</x:f>
        <x:v>0</x:v>
      </x:c>
      <x:c r="E50" s="32" t="n">
        <x:f>C50+D50</x:f>
        <x:v>2349500</x:v>
      </x:c>
      <x:c r="F50" s="32">
        <x:f>IF(B50="Holiday",IF(Dashboard!$B$14="Principal Only",MIN(Dashboard!$B$15,C50),0),0)</x:f>
      </x:c>
      <x:c r="G50" s="32" t="n">
        <x:f>IF(B50="Closed",0,IF(B50="Holiday",IF(Dashboard!$B$14="Interest Only",C50*Dashboard!$F$6,MAX(0,(C50-F50)*Dashboard!$F$6)),E50*Dashboard!$F$6))</x:f>
        <x:v>17621.25</x:v>
      </x:c>
      <x:c r="H50" s="32" t="n">
        <x:f>IF(B50="Holiday",IF(Dashboard!$B$14="Interest Only",G50,F50),IF(B50="Closed",0,MIN(Dashboard!$F$10,E50+G50)))</x:f>
        <x:v>0</x:v>
      </x:c>
      <x:c r="I50" s="32" t="n">
        <x:f>IF(B50="Holiday",F50,IF(B50="Closed",0,MAX(0,H50-G50)))</x:f>
        <x:v>0</x:v>
      </x:c>
      <x:c r="J50" s="32" t="n">
        <x:f>IF(B50="Holiday",MAX(0,C50-F50),IF(B50="Closed",0,MAX(0,E50-I50)))</x:f>
        <x:v>2349500</x:v>
      </x:c>
      <x:c r="K50" s="32" t="n">
        <x:f>IF(B50="Holiday",IF(Dashboard!$B$14="Interest Only",D50,D50+G50),0)</x:f>
        <x:v>0</x:v>
      </x:c>
      <x:c r="L50" s="32" t="n">
        <x:f>J50+K50</x:f>
        <x:v>2349500</x:v>
      </x:c>
      <x:c r="M50" s="32" t="n">
        <x:f>IF(A50=1,H50,M49+H50)</x:f>
        <x:v>0</x:v>
      </x:c>
      <x:c r="N50" s="32" t="n">
        <x:f>IF(A50=1,I50,N49+I50)</x:f>
        <x:v>0</x:v>
      </x:c>
      <x:c r="O50" s="32" t="n">
        <x:f>IF(A50=1,G50,O49+G50)</x:f>
        <x:v>728576.25</x:v>
      </x:c>
      <x:c r="P50" s="37" t="n">
        <x:f>EDATE(Dashboard!$B$10,A50)</x:f>
        <x:v>46508</x:v>
      </x:c>
    </x:row>
    <x:row r="51">
      <x:c r="A51" s="33" t="n">
        <x:v>50</x:v>
      </x:c>
      <x:c r="B51" s="33" t="str">
        <x:f>IF(A51&lt;=Dashboard!$F$8,"Holiday",IF(A51&lt;=Dashboard!$F$8+Dashboard!$F$7,"Repayment","Closed"))</x:f>
        <x:v>Repayment</x:v>
      </x:c>
      <x:c r="C51" s="32" t="n">
        <x:f>IF(A51=1,Dashboard!$B$6,IF(B51="Holiday",J50,L50))</x:f>
        <x:v>2349500</x:v>
      </x:c>
      <x:c r="D51" s="32" t="n">
        <x:f>IF(A51=1,0,IF(B51="Holiday",K50,0))</x:f>
        <x:v>0</x:v>
      </x:c>
      <x:c r="E51" s="32" t="n">
        <x:f>C51+D51</x:f>
        <x:v>2349500</x:v>
      </x:c>
      <x:c r="F51" s="32">
        <x:f>IF(B51="Holiday",IF(Dashboard!$B$14="Principal Only",MIN(Dashboard!$B$15,C51),0),0)</x:f>
      </x:c>
      <x:c r="G51" s="32" t="n">
        <x:f>IF(B51="Closed",0,IF(B51="Holiday",IF(Dashboard!$B$14="Interest Only",C51*Dashboard!$F$6,MAX(0,(C51-F51)*Dashboard!$F$6)),E51*Dashboard!$F$6))</x:f>
        <x:v>17621.25</x:v>
      </x:c>
      <x:c r="H51" s="32" t="n">
        <x:f>IF(B51="Holiday",IF(Dashboard!$B$14="Interest Only",G51,F51),IF(B51="Closed",0,MIN(Dashboard!$F$10,E51+G51)))</x:f>
        <x:v>0</x:v>
      </x:c>
      <x:c r="I51" s="32" t="n">
        <x:f>IF(B51="Holiday",F51,IF(B51="Closed",0,MAX(0,H51-G51)))</x:f>
        <x:v>0</x:v>
      </x:c>
      <x:c r="J51" s="32" t="n">
        <x:f>IF(B51="Holiday",MAX(0,C51-F51),IF(B51="Closed",0,MAX(0,E51-I51)))</x:f>
        <x:v>2349500</x:v>
      </x:c>
      <x:c r="K51" s="32" t="n">
        <x:f>IF(B51="Holiday",IF(Dashboard!$B$14="Interest Only",D51,D51+G51),0)</x:f>
        <x:v>0</x:v>
      </x:c>
      <x:c r="L51" s="32" t="n">
        <x:f>J51+K51</x:f>
        <x:v>2349500</x:v>
      </x:c>
      <x:c r="M51" s="32" t="n">
        <x:f>IF(A51=1,H51,M50+H51)</x:f>
        <x:v>0</x:v>
      </x:c>
      <x:c r="N51" s="32" t="n">
        <x:f>IF(A51=1,I51,N50+I51)</x:f>
        <x:v>0</x:v>
      </x:c>
      <x:c r="O51" s="32" t="n">
        <x:f>IF(A51=1,G51,O50+G51)</x:f>
        <x:v>746197.5</x:v>
      </x:c>
      <x:c r="P51" s="37" t="n">
        <x:f>EDATE(Dashboard!$B$10,A51)</x:f>
        <x:v>46539</x:v>
      </x:c>
    </x:row>
    <x:row r="52">
      <x:c r="A52" s="33" t="n">
        <x:v>51</x:v>
      </x:c>
      <x:c r="B52" s="33" t="str">
        <x:f>IF(A52&lt;=Dashboard!$F$8,"Holiday",IF(A52&lt;=Dashboard!$F$8+Dashboard!$F$7,"Repayment","Closed"))</x:f>
        <x:v>Repayment</x:v>
      </x:c>
      <x:c r="C52" s="32" t="n">
        <x:f>IF(A52=1,Dashboard!$B$6,IF(B52="Holiday",J51,L51))</x:f>
        <x:v>2349500</x:v>
      </x:c>
      <x:c r="D52" s="32" t="n">
        <x:f>IF(A52=1,0,IF(B52="Holiday",K51,0))</x:f>
        <x:v>0</x:v>
      </x:c>
      <x:c r="E52" s="32" t="n">
        <x:f>C52+D52</x:f>
        <x:v>2349500</x:v>
      </x:c>
      <x:c r="F52" s="32">
        <x:f>IF(B52="Holiday",IF(Dashboard!$B$14="Principal Only",MIN(Dashboard!$B$15,C52),0),0)</x:f>
      </x:c>
      <x:c r="G52" s="32" t="n">
        <x:f>IF(B52="Closed",0,IF(B52="Holiday",IF(Dashboard!$B$14="Interest Only",C52*Dashboard!$F$6,MAX(0,(C52-F52)*Dashboard!$F$6)),E52*Dashboard!$F$6))</x:f>
        <x:v>17621.25</x:v>
      </x:c>
      <x:c r="H52" s="32" t="n">
        <x:f>IF(B52="Holiday",IF(Dashboard!$B$14="Interest Only",G52,F52),IF(B52="Closed",0,MIN(Dashboard!$F$10,E52+G52)))</x:f>
        <x:v>0</x:v>
      </x:c>
      <x:c r="I52" s="32" t="n">
        <x:f>IF(B52="Holiday",F52,IF(B52="Closed",0,MAX(0,H52-G52)))</x:f>
        <x:v>0</x:v>
      </x:c>
      <x:c r="J52" s="32" t="n">
        <x:f>IF(B52="Holiday",MAX(0,C52-F52),IF(B52="Closed",0,MAX(0,E52-I52)))</x:f>
        <x:v>2349500</x:v>
      </x:c>
      <x:c r="K52" s="32" t="n">
        <x:f>IF(B52="Holiday",IF(Dashboard!$B$14="Interest Only",D52,D52+G52),0)</x:f>
        <x:v>0</x:v>
      </x:c>
      <x:c r="L52" s="32" t="n">
        <x:f>J52+K52</x:f>
        <x:v>2349500</x:v>
      </x:c>
      <x:c r="M52" s="32" t="n">
        <x:f>IF(A52=1,H52,M51+H52)</x:f>
        <x:v>0</x:v>
      </x:c>
      <x:c r="N52" s="32" t="n">
        <x:f>IF(A52=1,I52,N51+I52)</x:f>
        <x:v>0</x:v>
      </x:c>
      <x:c r="O52" s="32" t="n">
        <x:f>IF(A52=1,G52,O51+G52)</x:f>
        <x:v>763818.75</x:v>
      </x:c>
      <x:c r="P52" s="37" t="n">
        <x:f>EDATE(Dashboard!$B$10,A52)</x:f>
        <x:v>46569</x:v>
      </x:c>
    </x:row>
    <x:row r="53">
      <x:c r="A53" s="33" t="n">
        <x:v>52</x:v>
      </x:c>
      <x:c r="B53" s="33" t="str">
        <x:f>IF(A53&lt;=Dashboard!$F$8,"Holiday",IF(A53&lt;=Dashboard!$F$8+Dashboard!$F$7,"Repayment","Closed"))</x:f>
        <x:v>Repayment</x:v>
      </x:c>
      <x:c r="C53" s="32" t="n">
        <x:f>IF(A53=1,Dashboard!$B$6,IF(B53="Holiday",J52,L52))</x:f>
        <x:v>2349500</x:v>
      </x:c>
      <x:c r="D53" s="32" t="n">
        <x:f>IF(A53=1,0,IF(B53="Holiday",K52,0))</x:f>
        <x:v>0</x:v>
      </x:c>
      <x:c r="E53" s="32" t="n">
        <x:f>C53+D53</x:f>
        <x:v>2349500</x:v>
      </x:c>
      <x:c r="F53" s="32">
        <x:f>IF(B53="Holiday",IF(Dashboard!$B$14="Principal Only",MIN(Dashboard!$B$15,C53),0),0)</x:f>
      </x:c>
      <x:c r="G53" s="32" t="n">
        <x:f>IF(B53="Closed",0,IF(B53="Holiday",IF(Dashboard!$B$14="Interest Only",C53*Dashboard!$F$6,MAX(0,(C53-F53)*Dashboard!$F$6)),E53*Dashboard!$F$6))</x:f>
        <x:v>17621.25</x:v>
      </x:c>
      <x:c r="H53" s="32" t="n">
        <x:f>IF(B53="Holiday",IF(Dashboard!$B$14="Interest Only",G53,F53),IF(B53="Closed",0,MIN(Dashboard!$F$10,E53+G53)))</x:f>
        <x:v>0</x:v>
      </x:c>
      <x:c r="I53" s="32" t="n">
        <x:f>IF(B53="Holiday",F53,IF(B53="Closed",0,MAX(0,H53-G53)))</x:f>
        <x:v>0</x:v>
      </x:c>
      <x:c r="J53" s="32" t="n">
        <x:f>IF(B53="Holiday",MAX(0,C53-F53),IF(B53="Closed",0,MAX(0,E53-I53)))</x:f>
        <x:v>2349500</x:v>
      </x:c>
      <x:c r="K53" s="32" t="n">
        <x:f>IF(B53="Holiday",IF(Dashboard!$B$14="Interest Only",D53,D53+G53),0)</x:f>
        <x:v>0</x:v>
      </x:c>
      <x:c r="L53" s="32" t="n">
        <x:f>J53+K53</x:f>
        <x:v>2349500</x:v>
      </x:c>
      <x:c r="M53" s="32" t="n">
        <x:f>IF(A53=1,H53,M52+H53)</x:f>
        <x:v>0</x:v>
      </x:c>
      <x:c r="N53" s="32" t="n">
        <x:f>IF(A53=1,I53,N52+I53)</x:f>
        <x:v>0</x:v>
      </x:c>
      <x:c r="O53" s="32" t="n">
        <x:f>IF(A53=1,G53,O52+G53)</x:f>
        <x:v>781440</x:v>
      </x:c>
      <x:c r="P53" s="37" t="n">
        <x:f>EDATE(Dashboard!$B$10,A53)</x:f>
        <x:v>46600</x:v>
      </x:c>
    </x:row>
    <x:row r="54">
      <x:c r="A54" s="33" t="n">
        <x:v>53</x:v>
      </x:c>
      <x:c r="B54" s="33" t="str">
        <x:f>IF(A54&lt;=Dashboard!$F$8,"Holiday",IF(A54&lt;=Dashboard!$F$8+Dashboard!$F$7,"Repayment","Closed"))</x:f>
        <x:v>Repayment</x:v>
      </x:c>
      <x:c r="C54" s="32" t="n">
        <x:f>IF(A54=1,Dashboard!$B$6,IF(B54="Holiday",J53,L53))</x:f>
        <x:v>2349500</x:v>
      </x:c>
      <x:c r="D54" s="32" t="n">
        <x:f>IF(A54=1,0,IF(B54="Holiday",K53,0))</x:f>
        <x:v>0</x:v>
      </x:c>
      <x:c r="E54" s="32" t="n">
        <x:f>C54+D54</x:f>
        <x:v>2349500</x:v>
      </x:c>
      <x:c r="F54" s="32">
        <x:f>IF(B54="Holiday",IF(Dashboard!$B$14="Principal Only",MIN(Dashboard!$B$15,C54),0),0)</x:f>
      </x:c>
      <x:c r="G54" s="32" t="n">
        <x:f>IF(B54="Closed",0,IF(B54="Holiday",IF(Dashboard!$B$14="Interest Only",C54*Dashboard!$F$6,MAX(0,(C54-F54)*Dashboard!$F$6)),E54*Dashboard!$F$6))</x:f>
        <x:v>17621.25</x:v>
      </x:c>
      <x:c r="H54" s="32" t="n">
        <x:f>IF(B54="Holiday",IF(Dashboard!$B$14="Interest Only",G54,F54),IF(B54="Closed",0,MIN(Dashboard!$F$10,E54+G54)))</x:f>
        <x:v>0</x:v>
      </x:c>
      <x:c r="I54" s="32" t="n">
        <x:f>IF(B54="Holiday",F54,IF(B54="Closed",0,MAX(0,H54-G54)))</x:f>
        <x:v>0</x:v>
      </x:c>
      <x:c r="J54" s="32" t="n">
        <x:f>IF(B54="Holiday",MAX(0,C54-F54),IF(B54="Closed",0,MAX(0,E54-I54)))</x:f>
        <x:v>2349500</x:v>
      </x:c>
      <x:c r="K54" s="32" t="n">
        <x:f>IF(B54="Holiday",IF(Dashboard!$B$14="Interest Only",D54,D54+G54),0)</x:f>
        <x:v>0</x:v>
      </x:c>
      <x:c r="L54" s="32" t="n">
        <x:f>J54+K54</x:f>
        <x:v>2349500</x:v>
      </x:c>
      <x:c r="M54" s="32" t="n">
        <x:f>IF(A54=1,H54,M53+H54)</x:f>
        <x:v>0</x:v>
      </x:c>
      <x:c r="N54" s="32" t="n">
        <x:f>IF(A54=1,I54,N53+I54)</x:f>
        <x:v>0</x:v>
      </x:c>
      <x:c r="O54" s="32" t="n">
        <x:f>IF(A54=1,G54,O53+G54)</x:f>
        <x:v>799061.25</x:v>
      </x:c>
      <x:c r="P54" s="37" t="n">
        <x:f>EDATE(Dashboard!$B$10,A54)</x:f>
        <x:v>46631</x:v>
      </x:c>
    </x:row>
    <x:row r="55">
      <x:c r="A55" s="33" t="n">
        <x:v>54</x:v>
      </x:c>
      <x:c r="B55" s="33" t="str">
        <x:f>IF(A55&lt;=Dashboard!$F$8,"Holiday",IF(A55&lt;=Dashboard!$F$8+Dashboard!$F$7,"Repayment","Closed"))</x:f>
        <x:v>Repayment</x:v>
      </x:c>
      <x:c r="C55" s="32" t="n">
        <x:f>IF(A55=1,Dashboard!$B$6,IF(B55="Holiday",J54,L54))</x:f>
        <x:v>2349500</x:v>
      </x:c>
      <x:c r="D55" s="32" t="n">
        <x:f>IF(A55=1,0,IF(B55="Holiday",K54,0))</x:f>
        <x:v>0</x:v>
      </x:c>
      <x:c r="E55" s="32" t="n">
        <x:f>C55+D55</x:f>
        <x:v>2349500</x:v>
      </x:c>
      <x:c r="F55" s="32">
        <x:f>IF(B55="Holiday",IF(Dashboard!$B$14="Principal Only",MIN(Dashboard!$B$15,C55),0),0)</x:f>
      </x:c>
      <x:c r="G55" s="32" t="n">
        <x:f>IF(B55="Closed",0,IF(B55="Holiday",IF(Dashboard!$B$14="Interest Only",C55*Dashboard!$F$6,MAX(0,(C55-F55)*Dashboard!$F$6)),E55*Dashboard!$F$6))</x:f>
        <x:v>17621.25</x:v>
      </x:c>
      <x:c r="H55" s="32" t="n">
        <x:f>IF(B55="Holiday",IF(Dashboard!$B$14="Interest Only",G55,F55),IF(B55="Closed",0,MIN(Dashboard!$F$10,E55+G55)))</x:f>
        <x:v>0</x:v>
      </x:c>
      <x:c r="I55" s="32" t="n">
        <x:f>IF(B55="Holiday",F55,IF(B55="Closed",0,MAX(0,H55-G55)))</x:f>
        <x:v>0</x:v>
      </x:c>
      <x:c r="J55" s="32" t="n">
        <x:f>IF(B55="Holiday",MAX(0,C55-F55),IF(B55="Closed",0,MAX(0,E55-I55)))</x:f>
        <x:v>2349500</x:v>
      </x:c>
      <x:c r="K55" s="32" t="n">
        <x:f>IF(B55="Holiday",IF(Dashboard!$B$14="Interest Only",D55,D55+G55),0)</x:f>
        <x:v>0</x:v>
      </x:c>
      <x:c r="L55" s="32" t="n">
        <x:f>J55+K55</x:f>
        <x:v>2349500</x:v>
      </x:c>
      <x:c r="M55" s="32" t="n">
        <x:f>IF(A55=1,H55,M54+H55)</x:f>
        <x:v>0</x:v>
      </x:c>
      <x:c r="N55" s="32" t="n">
        <x:f>IF(A55=1,I55,N54+I55)</x:f>
        <x:v>0</x:v>
      </x:c>
      <x:c r="O55" s="32" t="n">
        <x:f>IF(A55=1,G55,O54+G55)</x:f>
        <x:v>816682.5</x:v>
      </x:c>
      <x:c r="P55" s="37" t="n">
        <x:f>EDATE(Dashboard!$B$10,A55)</x:f>
        <x:v>46661</x:v>
      </x:c>
    </x:row>
    <x:row r="56">
      <x:c r="A56" s="33" t="n">
        <x:v>55</x:v>
      </x:c>
      <x:c r="B56" s="33" t="str">
        <x:f>IF(A56&lt;=Dashboard!$F$8,"Holiday",IF(A56&lt;=Dashboard!$F$8+Dashboard!$F$7,"Repayment","Closed"))</x:f>
        <x:v>Repayment</x:v>
      </x:c>
      <x:c r="C56" s="32" t="n">
        <x:f>IF(A56=1,Dashboard!$B$6,IF(B56="Holiday",J55,L55))</x:f>
        <x:v>2349500</x:v>
      </x:c>
      <x:c r="D56" s="32" t="n">
        <x:f>IF(A56=1,0,IF(B56="Holiday",K55,0))</x:f>
        <x:v>0</x:v>
      </x:c>
      <x:c r="E56" s="32" t="n">
        <x:f>C56+D56</x:f>
        <x:v>2349500</x:v>
      </x:c>
      <x:c r="F56" s="32">
        <x:f>IF(B56="Holiday",IF(Dashboard!$B$14="Principal Only",MIN(Dashboard!$B$15,C56),0),0)</x:f>
      </x:c>
      <x:c r="G56" s="32" t="n">
        <x:f>IF(B56="Closed",0,IF(B56="Holiday",IF(Dashboard!$B$14="Interest Only",C56*Dashboard!$F$6,MAX(0,(C56-F56)*Dashboard!$F$6)),E56*Dashboard!$F$6))</x:f>
        <x:v>17621.25</x:v>
      </x:c>
      <x:c r="H56" s="32" t="n">
        <x:f>IF(B56="Holiday",IF(Dashboard!$B$14="Interest Only",G56,F56),IF(B56="Closed",0,MIN(Dashboard!$F$10,E56+G56)))</x:f>
        <x:v>0</x:v>
      </x:c>
      <x:c r="I56" s="32" t="n">
        <x:f>IF(B56="Holiday",F56,IF(B56="Closed",0,MAX(0,H56-G56)))</x:f>
        <x:v>0</x:v>
      </x:c>
      <x:c r="J56" s="32" t="n">
        <x:f>IF(B56="Holiday",MAX(0,C56-F56),IF(B56="Closed",0,MAX(0,E56-I56)))</x:f>
        <x:v>2349500</x:v>
      </x:c>
      <x:c r="K56" s="32" t="n">
        <x:f>IF(B56="Holiday",IF(Dashboard!$B$14="Interest Only",D56,D56+G56),0)</x:f>
        <x:v>0</x:v>
      </x:c>
      <x:c r="L56" s="32" t="n">
        <x:f>J56+K56</x:f>
        <x:v>2349500</x:v>
      </x:c>
      <x:c r="M56" s="32" t="n">
        <x:f>IF(A56=1,H56,M55+H56)</x:f>
        <x:v>0</x:v>
      </x:c>
      <x:c r="N56" s="32" t="n">
        <x:f>IF(A56=1,I56,N55+I56)</x:f>
        <x:v>0</x:v>
      </x:c>
      <x:c r="O56" s="32" t="n">
        <x:f>IF(A56=1,G56,O55+G56)</x:f>
        <x:v>834303.75</x:v>
      </x:c>
      <x:c r="P56" s="37" t="n">
        <x:f>EDATE(Dashboard!$B$10,A56)</x:f>
        <x:v>46692</x:v>
      </x:c>
    </x:row>
    <x:row r="57">
      <x:c r="A57" s="33" t="n">
        <x:v>56</x:v>
      </x:c>
      <x:c r="B57" s="33" t="str">
        <x:f>IF(A57&lt;=Dashboard!$F$8,"Holiday",IF(A57&lt;=Dashboard!$F$8+Dashboard!$F$7,"Repayment","Closed"))</x:f>
        <x:v>Repayment</x:v>
      </x:c>
      <x:c r="C57" s="32" t="n">
        <x:f>IF(A57=1,Dashboard!$B$6,IF(B57="Holiday",J56,L56))</x:f>
        <x:v>2349500</x:v>
      </x:c>
      <x:c r="D57" s="32" t="n">
        <x:f>IF(A57=1,0,IF(B57="Holiday",K56,0))</x:f>
        <x:v>0</x:v>
      </x:c>
      <x:c r="E57" s="32" t="n">
        <x:f>C57+D57</x:f>
        <x:v>2349500</x:v>
      </x:c>
      <x:c r="F57" s="32">
        <x:f>IF(B57="Holiday",IF(Dashboard!$B$14="Principal Only",MIN(Dashboard!$B$15,C57),0),0)</x:f>
      </x:c>
      <x:c r="G57" s="32" t="n">
        <x:f>IF(B57="Closed",0,IF(B57="Holiday",IF(Dashboard!$B$14="Interest Only",C57*Dashboard!$F$6,MAX(0,(C57-F57)*Dashboard!$F$6)),E57*Dashboard!$F$6))</x:f>
        <x:v>17621.25</x:v>
      </x:c>
      <x:c r="H57" s="32" t="n">
        <x:f>IF(B57="Holiday",IF(Dashboard!$B$14="Interest Only",G57,F57),IF(B57="Closed",0,MIN(Dashboard!$F$10,E57+G57)))</x:f>
        <x:v>0</x:v>
      </x:c>
      <x:c r="I57" s="32" t="n">
        <x:f>IF(B57="Holiday",F57,IF(B57="Closed",0,MAX(0,H57-G57)))</x:f>
        <x:v>0</x:v>
      </x:c>
      <x:c r="J57" s="32" t="n">
        <x:f>IF(B57="Holiday",MAX(0,C57-F57),IF(B57="Closed",0,MAX(0,E57-I57)))</x:f>
        <x:v>2349500</x:v>
      </x:c>
      <x:c r="K57" s="32" t="n">
        <x:f>IF(B57="Holiday",IF(Dashboard!$B$14="Interest Only",D57,D57+G57),0)</x:f>
        <x:v>0</x:v>
      </x:c>
      <x:c r="L57" s="32" t="n">
        <x:f>J57+K57</x:f>
        <x:v>2349500</x:v>
      </x:c>
      <x:c r="M57" s="32" t="n">
        <x:f>IF(A57=1,H57,M56+H57)</x:f>
        <x:v>0</x:v>
      </x:c>
      <x:c r="N57" s="32" t="n">
        <x:f>IF(A57=1,I57,N56+I57)</x:f>
        <x:v>0</x:v>
      </x:c>
      <x:c r="O57" s="32" t="n">
        <x:f>IF(A57=1,G57,O56+G57)</x:f>
        <x:v>851925</x:v>
      </x:c>
      <x:c r="P57" s="37" t="n">
        <x:f>EDATE(Dashboard!$B$10,A57)</x:f>
        <x:v>46722</x:v>
      </x:c>
    </x:row>
    <x:row r="58">
      <x:c r="A58" s="33" t="n">
        <x:v>57</x:v>
      </x:c>
      <x:c r="B58" s="33" t="str">
        <x:f>IF(A58&lt;=Dashboard!$F$8,"Holiday",IF(A58&lt;=Dashboard!$F$8+Dashboard!$F$7,"Repayment","Closed"))</x:f>
        <x:v>Repayment</x:v>
      </x:c>
      <x:c r="C58" s="32" t="n">
        <x:f>IF(A58=1,Dashboard!$B$6,IF(B58="Holiday",J57,L57))</x:f>
        <x:v>2349500</x:v>
      </x:c>
      <x:c r="D58" s="32" t="n">
        <x:f>IF(A58=1,0,IF(B58="Holiday",K57,0))</x:f>
        <x:v>0</x:v>
      </x:c>
      <x:c r="E58" s="32" t="n">
        <x:f>C58+D58</x:f>
        <x:v>2349500</x:v>
      </x:c>
      <x:c r="F58" s="32">
        <x:f>IF(B58="Holiday",IF(Dashboard!$B$14="Principal Only",MIN(Dashboard!$B$15,C58),0),0)</x:f>
      </x:c>
      <x:c r="G58" s="32" t="n">
        <x:f>IF(B58="Closed",0,IF(B58="Holiday",IF(Dashboard!$B$14="Interest Only",C58*Dashboard!$F$6,MAX(0,(C58-F58)*Dashboard!$F$6)),E58*Dashboard!$F$6))</x:f>
        <x:v>17621.25</x:v>
      </x:c>
      <x:c r="H58" s="32" t="n">
        <x:f>IF(B58="Holiday",IF(Dashboard!$B$14="Interest Only",G58,F58),IF(B58="Closed",0,MIN(Dashboard!$F$10,E58+G58)))</x:f>
        <x:v>0</x:v>
      </x:c>
      <x:c r="I58" s="32" t="n">
        <x:f>IF(B58="Holiday",F58,IF(B58="Closed",0,MAX(0,H58-G58)))</x:f>
        <x:v>0</x:v>
      </x:c>
      <x:c r="J58" s="32" t="n">
        <x:f>IF(B58="Holiday",MAX(0,C58-F58),IF(B58="Closed",0,MAX(0,E58-I58)))</x:f>
        <x:v>2349500</x:v>
      </x:c>
      <x:c r="K58" s="32" t="n">
        <x:f>IF(B58="Holiday",IF(Dashboard!$B$14="Interest Only",D58,D58+G58),0)</x:f>
        <x:v>0</x:v>
      </x:c>
      <x:c r="L58" s="32" t="n">
        <x:f>J58+K58</x:f>
        <x:v>2349500</x:v>
      </x:c>
      <x:c r="M58" s="32" t="n">
        <x:f>IF(A58=1,H58,M57+H58)</x:f>
        <x:v>0</x:v>
      </x:c>
      <x:c r="N58" s="32" t="n">
        <x:f>IF(A58=1,I58,N57+I58)</x:f>
        <x:v>0</x:v>
      </x:c>
      <x:c r="O58" s="32" t="n">
        <x:f>IF(A58=1,G58,O57+G58)</x:f>
        <x:v>869546.25</x:v>
      </x:c>
      <x:c r="P58" s="37" t="n">
        <x:f>EDATE(Dashboard!$B$10,A58)</x:f>
        <x:v>46753</x:v>
      </x:c>
    </x:row>
    <x:row r="59">
      <x:c r="A59" s="33" t="n">
        <x:v>58</x:v>
      </x:c>
      <x:c r="B59" s="33" t="str">
        <x:f>IF(A59&lt;=Dashboard!$F$8,"Holiday",IF(A59&lt;=Dashboard!$F$8+Dashboard!$F$7,"Repayment","Closed"))</x:f>
        <x:v>Repayment</x:v>
      </x:c>
      <x:c r="C59" s="32" t="n">
        <x:f>IF(A59=1,Dashboard!$B$6,IF(B59="Holiday",J58,L58))</x:f>
        <x:v>2349500</x:v>
      </x:c>
      <x:c r="D59" s="32" t="n">
        <x:f>IF(A59=1,0,IF(B59="Holiday",K58,0))</x:f>
        <x:v>0</x:v>
      </x:c>
      <x:c r="E59" s="32" t="n">
        <x:f>C59+D59</x:f>
        <x:v>2349500</x:v>
      </x:c>
      <x:c r="F59" s="32">
        <x:f>IF(B59="Holiday",IF(Dashboard!$B$14="Principal Only",MIN(Dashboard!$B$15,C59),0),0)</x:f>
      </x:c>
      <x:c r="G59" s="32" t="n">
        <x:f>IF(B59="Closed",0,IF(B59="Holiday",IF(Dashboard!$B$14="Interest Only",C59*Dashboard!$F$6,MAX(0,(C59-F59)*Dashboard!$F$6)),E59*Dashboard!$F$6))</x:f>
        <x:v>17621.25</x:v>
      </x:c>
      <x:c r="H59" s="32" t="n">
        <x:f>IF(B59="Holiday",IF(Dashboard!$B$14="Interest Only",G59,F59),IF(B59="Closed",0,MIN(Dashboard!$F$10,E59+G59)))</x:f>
        <x:v>0</x:v>
      </x:c>
      <x:c r="I59" s="32" t="n">
        <x:f>IF(B59="Holiday",F59,IF(B59="Closed",0,MAX(0,H59-G59)))</x:f>
        <x:v>0</x:v>
      </x:c>
      <x:c r="J59" s="32" t="n">
        <x:f>IF(B59="Holiday",MAX(0,C59-F59),IF(B59="Closed",0,MAX(0,E59-I59)))</x:f>
        <x:v>2349500</x:v>
      </x:c>
      <x:c r="K59" s="32" t="n">
        <x:f>IF(B59="Holiday",IF(Dashboard!$B$14="Interest Only",D59,D59+G59),0)</x:f>
        <x:v>0</x:v>
      </x:c>
      <x:c r="L59" s="32" t="n">
        <x:f>J59+K59</x:f>
        <x:v>2349500</x:v>
      </x:c>
      <x:c r="M59" s="32" t="n">
        <x:f>IF(A59=1,H59,M58+H59)</x:f>
        <x:v>0</x:v>
      </x:c>
      <x:c r="N59" s="32" t="n">
        <x:f>IF(A59=1,I59,N58+I59)</x:f>
        <x:v>0</x:v>
      </x:c>
      <x:c r="O59" s="32" t="n">
        <x:f>IF(A59=1,G59,O58+G59)</x:f>
        <x:v>887167.5</x:v>
      </x:c>
      <x:c r="P59" s="37" t="n">
        <x:f>EDATE(Dashboard!$B$10,A59)</x:f>
        <x:v>46784</x:v>
      </x:c>
    </x:row>
    <x:row r="60">
      <x:c r="A60" s="33" t="n">
        <x:v>59</x:v>
      </x:c>
      <x:c r="B60" s="33" t="str">
        <x:f>IF(A60&lt;=Dashboard!$F$8,"Holiday",IF(A60&lt;=Dashboard!$F$8+Dashboard!$F$7,"Repayment","Closed"))</x:f>
        <x:v>Repayment</x:v>
      </x:c>
      <x:c r="C60" s="32" t="n">
        <x:f>IF(A60=1,Dashboard!$B$6,IF(B60="Holiday",J59,L59))</x:f>
        <x:v>2349500</x:v>
      </x:c>
      <x:c r="D60" s="32" t="n">
        <x:f>IF(A60=1,0,IF(B60="Holiday",K59,0))</x:f>
        <x:v>0</x:v>
      </x:c>
      <x:c r="E60" s="32" t="n">
        <x:f>C60+D60</x:f>
        <x:v>2349500</x:v>
      </x:c>
      <x:c r="F60" s="32">
        <x:f>IF(B60="Holiday",IF(Dashboard!$B$14="Principal Only",MIN(Dashboard!$B$15,C60),0),0)</x:f>
      </x:c>
      <x:c r="G60" s="32" t="n">
        <x:f>IF(B60="Closed",0,IF(B60="Holiday",IF(Dashboard!$B$14="Interest Only",C60*Dashboard!$F$6,MAX(0,(C60-F60)*Dashboard!$F$6)),E60*Dashboard!$F$6))</x:f>
        <x:v>17621.25</x:v>
      </x:c>
      <x:c r="H60" s="32" t="n">
        <x:f>IF(B60="Holiday",IF(Dashboard!$B$14="Interest Only",G60,F60),IF(B60="Closed",0,MIN(Dashboard!$F$10,E60+G60)))</x:f>
        <x:v>0</x:v>
      </x:c>
      <x:c r="I60" s="32" t="n">
        <x:f>IF(B60="Holiday",F60,IF(B60="Closed",0,MAX(0,H60-G60)))</x:f>
        <x:v>0</x:v>
      </x:c>
      <x:c r="J60" s="32" t="n">
        <x:f>IF(B60="Holiday",MAX(0,C60-F60),IF(B60="Closed",0,MAX(0,E60-I60)))</x:f>
        <x:v>2349500</x:v>
      </x:c>
      <x:c r="K60" s="32" t="n">
        <x:f>IF(B60="Holiday",IF(Dashboard!$B$14="Interest Only",D60,D60+G60),0)</x:f>
        <x:v>0</x:v>
      </x:c>
      <x:c r="L60" s="32" t="n">
        <x:f>J60+K60</x:f>
        <x:v>2349500</x:v>
      </x:c>
      <x:c r="M60" s="32" t="n">
        <x:f>IF(A60=1,H60,M59+H60)</x:f>
        <x:v>0</x:v>
      </x:c>
      <x:c r="N60" s="32" t="n">
        <x:f>IF(A60=1,I60,N59+I60)</x:f>
        <x:v>0</x:v>
      </x:c>
      <x:c r="O60" s="32" t="n">
        <x:f>IF(A60=1,G60,O59+G60)</x:f>
        <x:v>904788.75</x:v>
      </x:c>
      <x:c r="P60" s="37" t="n">
        <x:f>EDATE(Dashboard!$B$10,A60)</x:f>
        <x:v>46813</x:v>
      </x:c>
    </x:row>
    <x:row r="61">
      <x:c r="A61" s="33" t="n">
        <x:v>60</x:v>
      </x:c>
      <x:c r="B61" s="33" t="str">
        <x:f>IF(A61&lt;=Dashboard!$F$8,"Holiday",IF(A61&lt;=Dashboard!$F$8+Dashboard!$F$7,"Repayment","Closed"))</x:f>
        <x:v>Repayment</x:v>
      </x:c>
      <x:c r="C61" s="32" t="n">
        <x:f>IF(A61=1,Dashboard!$B$6,IF(B61="Holiday",J60,L60))</x:f>
        <x:v>2349500</x:v>
      </x:c>
      <x:c r="D61" s="32" t="n">
        <x:f>IF(A61=1,0,IF(B61="Holiday",K60,0))</x:f>
        <x:v>0</x:v>
      </x:c>
      <x:c r="E61" s="32" t="n">
        <x:f>C61+D61</x:f>
        <x:v>2349500</x:v>
      </x:c>
      <x:c r="F61" s="32">
        <x:f>IF(B61="Holiday",IF(Dashboard!$B$14="Principal Only",MIN(Dashboard!$B$15,C61),0),0)</x:f>
      </x:c>
      <x:c r="G61" s="32" t="n">
        <x:f>IF(B61="Closed",0,IF(B61="Holiday",IF(Dashboard!$B$14="Interest Only",C61*Dashboard!$F$6,MAX(0,(C61-F61)*Dashboard!$F$6)),E61*Dashboard!$F$6))</x:f>
        <x:v>17621.25</x:v>
      </x:c>
      <x:c r="H61" s="32" t="n">
        <x:f>IF(B61="Holiday",IF(Dashboard!$B$14="Interest Only",G61,F61),IF(B61="Closed",0,MIN(Dashboard!$F$10,E61+G61)))</x:f>
        <x:v>0</x:v>
      </x:c>
      <x:c r="I61" s="32" t="n">
        <x:f>IF(B61="Holiday",F61,IF(B61="Closed",0,MAX(0,H61-G61)))</x:f>
        <x:v>0</x:v>
      </x:c>
      <x:c r="J61" s="32" t="n">
        <x:f>IF(B61="Holiday",MAX(0,C61-F61),IF(B61="Closed",0,MAX(0,E61-I61)))</x:f>
        <x:v>2349500</x:v>
      </x:c>
      <x:c r="K61" s="32" t="n">
        <x:f>IF(B61="Holiday",IF(Dashboard!$B$14="Interest Only",D61,D61+G61),0)</x:f>
        <x:v>0</x:v>
      </x:c>
      <x:c r="L61" s="32" t="n">
        <x:f>J61+K61</x:f>
        <x:v>2349500</x:v>
      </x:c>
      <x:c r="M61" s="32" t="n">
        <x:f>IF(A61=1,H61,M60+H61)</x:f>
        <x:v>0</x:v>
      </x:c>
      <x:c r="N61" s="32" t="n">
        <x:f>IF(A61=1,I61,N60+I61)</x:f>
        <x:v>0</x:v>
      </x:c>
      <x:c r="O61" s="32" t="n">
        <x:f>IF(A61=1,G61,O60+G61)</x:f>
        <x:v>922410</x:v>
      </x:c>
      <x:c r="P61" s="37" t="n">
        <x:f>EDATE(Dashboard!$B$10,A61)</x:f>
        <x:v>46844</x:v>
      </x:c>
    </x:row>
    <x:row r="62">
      <x:c r="A62" s="33" t="n">
        <x:v>61</x:v>
      </x:c>
      <x:c r="B62" s="33" t="str">
        <x:f>IF(A62&lt;=Dashboard!$F$8,"Holiday",IF(A62&lt;=Dashboard!$F$8+Dashboard!$F$7,"Repayment","Closed"))</x:f>
        <x:v>Repayment</x:v>
      </x:c>
      <x:c r="C62" s="32" t="n">
        <x:f>IF(A62=1,Dashboard!$B$6,IF(B62="Holiday",J61,L61))</x:f>
        <x:v>2349500</x:v>
      </x:c>
      <x:c r="D62" s="32" t="n">
        <x:f>IF(A62=1,0,IF(B62="Holiday",K61,0))</x:f>
        <x:v>0</x:v>
      </x:c>
      <x:c r="E62" s="32" t="n">
        <x:f>C62+D62</x:f>
        <x:v>2349500</x:v>
      </x:c>
      <x:c r="F62" s="32">
        <x:f>IF(B62="Holiday",IF(Dashboard!$B$14="Principal Only",MIN(Dashboard!$B$15,C62),0),0)</x:f>
      </x:c>
      <x:c r="G62" s="32" t="n">
        <x:f>IF(B62="Closed",0,IF(B62="Holiday",IF(Dashboard!$B$14="Interest Only",C62*Dashboard!$F$6,MAX(0,(C62-F62)*Dashboard!$F$6)),E62*Dashboard!$F$6))</x:f>
        <x:v>17621.25</x:v>
      </x:c>
      <x:c r="H62" s="32" t="n">
        <x:f>IF(B62="Holiday",IF(Dashboard!$B$14="Interest Only",G62,F62),IF(B62="Closed",0,MIN(Dashboard!$F$10,E62+G62)))</x:f>
        <x:v>0</x:v>
      </x:c>
      <x:c r="I62" s="32" t="n">
        <x:f>IF(B62="Holiday",F62,IF(B62="Closed",0,MAX(0,H62-G62)))</x:f>
        <x:v>0</x:v>
      </x:c>
      <x:c r="J62" s="32" t="n">
        <x:f>IF(B62="Holiday",MAX(0,C62-F62),IF(B62="Closed",0,MAX(0,E62-I62)))</x:f>
        <x:v>2349500</x:v>
      </x:c>
      <x:c r="K62" s="32" t="n">
        <x:f>IF(B62="Holiday",IF(Dashboard!$B$14="Interest Only",D62,D62+G62),0)</x:f>
        <x:v>0</x:v>
      </x:c>
      <x:c r="L62" s="32" t="n">
        <x:f>J62+K62</x:f>
        <x:v>2349500</x:v>
      </x:c>
      <x:c r="M62" s="32" t="n">
        <x:f>IF(A62=1,H62,M61+H62)</x:f>
        <x:v>0</x:v>
      </x:c>
      <x:c r="N62" s="32" t="n">
        <x:f>IF(A62=1,I62,N61+I62)</x:f>
        <x:v>0</x:v>
      </x:c>
      <x:c r="O62" s="32" t="n">
        <x:f>IF(A62=1,G62,O61+G62)</x:f>
        <x:v>940031.25</x:v>
      </x:c>
      <x:c r="P62" s="37" t="n">
        <x:f>EDATE(Dashboard!$B$10,A62)</x:f>
        <x:v>46874</x:v>
      </x:c>
    </x:row>
    <x:row r="63">
      <x:c r="A63" s="33" t="n">
        <x:v>62</x:v>
      </x:c>
      <x:c r="B63" s="33" t="str">
        <x:f>IF(A63&lt;=Dashboard!$F$8,"Holiday",IF(A63&lt;=Dashboard!$F$8+Dashboard!$F$7,"Repayment","Closed"))</x:f>
        <x:v>Repayment</x:v>
      </x:c>
      <x:c r="C63" s="32" t="n">
        <x:f>IF(A63=1,Dashboard!$B$6,IF(B63="Holiday",J62,L62))</x:f>
        <x:v>2349500</x:v>
      </x:c>
      <x:c r="D63" s="32" t="n">
        <x:f>IF(A63=1,0,IF(B63="Holiday",K62,0))</x:f>
        <x:v>0</x:v>
      </x:c>
      <x:c r="E63" s="32" t="n">
        <x:f>C63+D63</x:f>
        <x:v>2349500</x:v>
      </x:c>
      <x:c r="F63" s="32">
        <x:f>IF(B63="Holiday",IF(Dashboard!$B$14="Principal Only",MIN(Dashboard!$B$15,C63),0),0)</x:f>
      </x:c>
      <x:c r="G63" s="32" t="n">
        <x:f>IF(B63="Closed",0,IF(B63="Holiday",IF(Dashboard!$B$14="Interest Only",C63*Dashboard!$F$6,MAX(0,(C63-F63)*Dashboard!$F$6)),E63*Dashboard!$F$6))</x:f>
        <x:v>17621.25</x:v>
      </x:c>
      <x:c r="H63" s="32" t="n">
        <x:f>IF(B63="Holiday",IF(Dashboard!$B$14="Interest Only",G63,F63),IF(B63="Closed",0,MIN(Dashboard!$F$10,E63+G63)))</x:f>
        <x:v>0</x:v>
      </x:c>
      <x:c r="I63" s="32" t="n">
        <x:f>IF(B63="Holiday",F63,IF(B63="Closed",0,MAX(0,H63-G63)))</x:f>
        <x:v>0</x:v>
      </x:c>
      <x:c r="J63" s="32" t="n">
        <x:f>IF(B63="Holiday",MAX(0,C63-F63),IF(B63="Closed",0,MAX(0,E63-I63)))</x:f>
        <x:v>2349500</x:v>
      </x:c>
      <x:c r="K63" s="32" t="n">
        <x:f>IF(B63="Holiday",IF(Dashboard!$B$14="Interest Only",D63,D63+G63),0)</x:f>
        <x:v>0</x:v>
      </x:c>
      <x:c r="L63" s="32" t="n">
        <x:f>J63+K63</x:f>
        <x:v>2349500</x:v>
      </x:c>
      <x:c r="M63" s="32" t="n">
        <x:f>IF(A63=1,H63,M62+H63)</x:f>
        <x:v>0</x:v>
      </x:c>
      <x:c r="N63" s="32" t="n">
        <x:f>IF(A63=1,I63,N62+I63)</x:f>
        <x:v>0</x:v>
      </x:c>
      <x:c r="O63" s="32" t="n">
        <x:f>IF(A63=1,G63,O62+G63)</x:f>
        <x:v>957652.5</x:v>
      </x:c>
      <x:c r="P63" s="37" t="n">
        <x:f>EDATE(Dashboard!$B$10,A63)</x:f>
        <x:v>46905</x:v>
      </x:c>
    </x:row>
    <x:row r="64">
      <x:c r="A64" s="33" t="n">
        <x:v>63</x:v>
      </x:c>
      <x:c r="B64" s="33" t="str">
        <x:f>IF(A64&lt;=Dashboard!$F$8,"Holiday",IF(A64&lt;=Dashboard!$F$8+Dashboard!$F$7,"Repayment","Closed"))</x:f>
        <x:v>Repayment</x:v>
      </x:c>
      <x:c r="C64" s="32" t="n">
        <x:f>IF(A64=1,Dashboard!$B$6,IF(B64="Holiday",J63,L63))</x:f>
        <x:v>2349500</x:v>
      </x:c>
      <x:c r="D64" s="32" t="n">
        <x:f>IF(A64=1,0,IF(B64="Holiday",K63,0))</x:f>
        <x:v>0</x:v>
      </x:c>
      <x:c r="E64" s="32" t="n">
        <x:f>C64+D64</x:f>
        <x:v>2349500</x:v>
      </x:c>
      <x:c r="F64" s="32">
        <x:f>IF(B64="Holiday",IF(Dashboard!$B$14="Principal Only",MIN(Dashboard!$B$15,C64),0),0)</x:f>
      </x:c>
      <x:c r="G64" s="32" t="n">
        <x:f>IF(B64="Closed",0,IF(B64="Holiday",IF(Dashboard!$B$14="Interest Only",C64*Dashboard!$F$6,MAX(0,(C64-F64)*Dashboard!$F$6)),E64*Dashboard!$F$6))</x:f>
        <x:v>17621.25</x:v>
      </x:c>
      <x:c r="H64" s="32" t="n">
        <x:f>IF(B64="Holiday",IF(Dashboard!$B$14="Interest Only",G64,F64),IF(B64="Closed",0,MIN(Dashboard!$F$10,E64+G64)))</x:f>
        <x:v>0</x:v>
      </x:c>
      <x:c r="I64" s="32" t="n">
        <x:f>IF(B64="Holiday",F64,IF(B64="Closed",0,MAX(0,H64-G64)))</x:f>
        <x:v>0</x:v>
      </x:c>
      <x:c r="J64" s="32" t="n">
        <x:f>IF(B64="Holiday",MAX(0,C64-F64),IF(B64="Closed",0,MAX(0,E64-I64)))</x:f>
        <x:v>2349500</x:v>
      </x:c>
      <x:c r="K64" s="32" t="n">
        <x:f>IF(B64="Holiday",IF(Dashboard!$B$14="Interest Only",D64,D64+G64),0)</x:f>
        <x:v>0</x:v>
      </x:c>
      <x:c r="L64" s="32" t="n">
        <x:f>J64+K64</x:f>
        <x:v>2349500</x:v>
      </x:c>
      <x:c r="M64" s="32" t="n">
        <x:f>IF(A64=1,H64,M63+H64)</x:f>
        <x:v>0</x:v>
      </x:c>
      <x:c r="N64" s="32" t="n">
        <x:f>IF(A64=1,I64,N63+I64)</x:f>
        <x:v>0</x:v>
      </x:c>
      <x:c r="O64" s="32" t="n">
        <x:f>IF(A64=1,G64,O63+G64)</x:f>
        <x:v>975273.75</x:v>
      </x:c>
      <x:c r="P64" s="37" t="n">
        <x:f>EDATE(Dashboard!$B$10,A64)</x:f>
        <x:v>46935</x:v>
      </x:c>
    </x:row>
    <x:row r="65">
      <x:c r="A65" s="33" t="n">
        <x:v>64</x:v>
      </x:c>
      <x:c r="B65" s="33" t="str">
        <x:f>IF(A65&lt;=Dashboard!$F$8,"Holiday",IF(A65&lt;=Dashboard!$F$8+Dashboard!$F$7,"Repayment","Closed"))</x:f>
        <x:v>Repayment</x:v>
      </x:c>
      <x:c r="C65" s="32" t="n">
        <x:f>IF(A65=1,Dashboard!$B$6,IF(B65="Holiday",J64,L64))</x:f>
        <x:v>2349500</x:v>
      </x:c>
      <x:c r="D65" s="32" t="n">
        <x:f>IF(A65=1,0,IF(B65="Holiday",K64,0))</x:f>
        <x:v>0</x:v>
      </x:c>
      <x:c r="E65" s="32" t="n">
        <x:f>C65+D65</x:f>
        <x:v>2349500</x:v>
      </x:c>
      <x:c r="F65" s="32">
        <x:f>IF(B65="Holiday",IF(Dashboard!$B$14="Principal Only",MIN(Dashboard!$B$15,C65),0),0)</x:f>
      </x:c>
      <x:c r="G65" s="32" t="n">
        <x:f>IF(B65="Closed",0,IF(B65="Holiday",IF(Dashboard!$B$14="Interest Only",C65*Dashboard!$F$6,MAX(0,(C65-F65)*Dashboard!$F$6)),E65*Dashboard!$F$6))</x:f>
        <x:v>17621.25</x:v>
      </x:c>
      <x:c r="H65" s="32" t="n">
        <x:f>IF(B65="Holiday",IF(Dashboard!$B$14="Interest Only",G65,F65),IF(B65="Closed",0,MIN(Dashboard!$F$10,E65+G65)))</x:f>
        <x:v>0</x:v>
      </x:c>
      <x:c r="I65" s="32" t="n">
        <x:f>IF(B65="Holiday",F65,IF(B65="Closed",0,MAX(0,H65-G65)))</x:f>
        <x:v>0</x:v>
      </x:c>
      <x:c r="J65" s="32" t="n">
        <x:f>IF(B65="Holiday",MAX(0,C65-F65),IF(B65="Closed",0,MAX(0,E65-I65)))</x:f>
        <x:v>2349500</x:v>
      </x:c>
      <x:c r="K65" s="32" t="n">
        <x:f>IF(B65="Holiday",IF(Dashboard!$B$14="Interest Only",D65,D65+G65),0)</x:f>
        <x:v>0</x:v>
      </x:c>
      <x:c r="L65" s="32" t="n">
        <x:f>J65+K65</x:f>
        <x:v>2349500</x:v>
      </x:c>
      <x:c r="M65" s="32" t="n">
        <x:f>IF(A65=1,H65,M64+H65)</x:f>
        <x:v>0</x:v>
      </x:c>
      <x:c r="N65" s="32" t="n">
        <x:f>IF(A65=1,I65,N64+I65)</x:f>
        <x:v>0</x:v>
      </x:c>
      <x:c r="O65" s="32" t="n">
        <x:f>IF(A65=1,G65,O64+G65)</x:f>
        <x:v>992895</x:v>
      </x:c>
      <x:c r="P65" s="37" t="n">
        <x:f>EDATE(Dashboard!$B$10,A65)</x:f>
        <x:v>46966</x:v>
      </x:c>
    </x:row>
    <x:row r="66">
      <x:c r="A66" s="33" t="n">
        <x:v>65</x:v>
      </x:c>
      <x:c r="B66" s="33" t="str">
        <x:f>IF(A66&lt;=Dashboard!$F$8,"Holiday",IF(A66&lt;=Dashboard!$F$8+Dashboard!$F$7,"Repayment","Closed"))</x:f>
        <x:v>Repayment</x:v>
      </x:c>
      <x:c r="C66" s="32" t="n">
        <x:f>IF(A66=1,Dashboard!$B$6,IF(B66="Holiday",J65,L65))</x:f>
        <x:v>2349500</x:v>
      </x:c>
      <x:c r="D66" s="32" t="n">
        <x:f>IF(A66=1,0,IF(B66="Holiday",K65,0))</x:f>
        <x:v>0</x:v>
      </x:c>
      <x:c r="E66" s="32" t="n">
        <x:f>C66+D66</x:f>
        <x:v>2349500</x:v>
      </x:c>
      <x:c r="F66" s="32">
        <x:f>IF(B66="Holiday",IF(Dashboard!$B$14="Principal Only",MIN(Dashboard!$B$15,C66),0),0)</x:f>
      </x:c>
      <x:c r="G66" s="32" t="n">
        <x:f>IF(B66="Closed",0,IF(B66="Holiday",IF(Dashboard!$B$14="Interest Only",C66*Dashboard!$F$6,MAX(0,(C66-F66)*Dashboard!$F$6)),E66*Dashboard!$F$6))</x:f>
        <x:v>17621.25</x:v>
      </x:c>
      <x:c r="H66" s="32" t="n">
        <x:f>IF(B66="Holiday",IF(Dashboard!$B$14="Interest Only",G66,F66),IF(B66="Closed",0,MIN(Dashboard!$F$10,E66+G66)))</x:f>
        <x:v>0</x:v>
      </x:c>
      <x:c r="I66" s="32" t="n">
        <x:f>IF(B66="Holiday",F66,IF(B66="Closed",0,MAX(0,H66-G66)))</x:f>
        <x:v>0</x:v>
      </x:c>
      <x:c r="J66" s="32" t="n">
        <x:f>IF(B66="Holiday",MAX(0,C66-F66),IF(B66="Closed",0,MAX(0,E66-I66)))</x:f>
        <x:v>2349500</x:v>
      </x:c>
      <x:c r="K66" s="32" t="n">
        <x:f>IF(B66="Holiday",IF(Dashboard!$B$14="Interest Only",D66,D66+G66),0)</x:f>
        <x:v>0</x:v>
      </x:c>
      <x:c r="L66" s="32" t="n">
        <x:f>J66+K66</x:f>
        <x:v>2349500</x:v>
      </x:c>
      <x:c r="M66" s="32" t="n">
        <x:f>IF(A66=1,H66,M65+H66)</x:f>
        <x:v>0</x:v>
      </x:c>
      <x:c r="N66" s="32" t="n">
        <x:f>IF(A66=1,I66,N65+I66)</x:f>
        <x:v>0</x:v>
      </x:c>
      <x:c r="O66" s="32" t="n">
        <x:f>IF(A66=1,G66,O65+G66)</x:f>
        <x:v>1010516.25</x:v>
      </x:c>
      <x:c r="P66" s="37" t="n">
        <x:f>EDATE(Dashboard!$B$10,A66)</x:f>
        <x:v>46997</x:v>
      </x:c>
    </x:row>
    <x:row r="67">
      <x:c r="A67" s="33" t="n">
        <x:v>66</x:v>
      </x:c>
      <x:c r="B67" s="33" t="str">
        <x:f>IF(A67&lt;=Dashboard!$F$8,"Holiday",IF(A67&lt;=Dashboard!$F$8+Dashboard!$F$7,"Repayment","Closed"))</x:f>
        <x:v>Repayment</x:v>
      </x:c>
      <x:c r="C67" s="32" t="n">
        <x:f>IF(A67=1,Dashboard!$B$6,IF(B67="Holiday",J66,L66))</x:f>
        <x:v>2349500</x:v>
      </x:c>
      <x:c r="D67" s="32" t="n">
        <x:f>IF(A67=1,0,IF(B67="Holiday",K66,0))</x:f>
        <x:v>0</x:v>
      </x:c>
      <x:c r="E67" s="32" t="n">
        <x:f>C67+D67</x:f>
        <x:v>2349500</x:v>
      </x:c>
      <x:c r="F67" s="32">
        <x:f>IF(B67="Holiday",IF(Dashboard!$B$14="Principal Only",MIN(Dashboard!$B$15,C67),0),0)</x:f>
      </x:c>
      <x:c r="G67" s="32" t="n">
        <x:f>IF(B67="Closed",0,IF(B67="Holiday",IF(Dashboard!$B$14="Interest Only",C67*Dashboard!$F$6,MAX(0,(C67-F67)*Dashboard!$F$6)),E67*Dashboard!$F$6))</x:f>
        <x:v>17621.25</x:v>
      </x:c>
      <x:c r="H67" s="32" t="n">
        <x:f>IF(B67="Holiday",IF(Dashboard!$B$14="Interest Only",G67,F67),IF(B67="Closed",0,MIN(Dashboard!$F$10,E67+G67)))</x:f>
        <x:v>0</x:v>
      </x:c>
      <x:c r="I67" s="32" t="n">
        <x:f>IF(B67="Holiday",F67,IF(B67="Closed",0,MAX(0,H67-G67)))</x:f>
        <x:v>0</x:v>
      </x:c>
      <x:c r="J67" s="32" t="n">
        <x:f>IF(B67="Holiday",MAX(0,C67-F67),IF(B67="Closed",0,MAX(0,E67-I67)))</x:f>
        <x:v>2349500</x:v>
      </x:c>
      <x:c r="K67" s="32" t="n">
        <x:f>IF(B67="Holiday",IF(Dashboard!$B$14="Interest Only",D67,D67+G67),0)</x:f>
        <x:v>0</x:v>
      </x:c>
      <x:c r="L67" s="32" t="n">
        <x:f>J67+K67</x:f>
        <x:v>2349500</x:v>
      </x:c>
      <x:c r="M67" s="32" t="n">
        <x:f>IF(A67=1,H67,M66+H67)</x:f>
        <x:v>0</x:v>
      </x:c>
      <x:c r="N67" s="32" t="n">
        <x:f>IF(A67=1,I67,N66+I67)</x:f>
        <x:v>0</x:v>
      </x:c>
      <x:c r="O67" s="32" t="n">
        <x:f>IF(A67=1,G67,O66+G67)</x:f>
        <x:v>1028137.5</x:v>
      </x:c>
      <x:c r="P67" s="37" t="n">
        <x:f>EDATE(Dashboard!$B$10,A67)</x:f>
        <x:v>47027</x:v>
      </x:c>
    </x:row>
    <x:row r="68">
      <x:c r="A68" s="33" t="n">
        <x:v>67</x:v>
      </x:c>
      <x:c r="B68" s="33" t="str">
        <x:f>IF(A68&lt;=Dashboard!$F$8,"Holiday",IF(A68&lt;=Dashboard!$F$8+Dashboard!$F$7,"Repayment","Closed"))</x:f>
        <x:v>Repayment</x:v>
      </x:c>
      <x:c r="C68" s="32" t="n">
        <x:f>IF(A68=1,Dashboard!$B$6,IF(B68="Holiday",J67,L67))</x:f>
        <x:v>2349500</x:v>
      </x:c>
      <x:c r="D68" s="32" t="n">
        <x:f>IF(A68=1,0,IF(B68="Holiday",K67,0))</x:f>
        <x:v>0</x:v>
      </x:c>
      <x:c r="E68" s="32" t="n">
        <x:f>C68+D68</x:f>
        <x:v>2349500</x:v>
      </x:c>
      <x:c r="F68" s="32">
        <x:f>IF(B68="Holiday",IF(Dashboard!$B$14="Principal Only",MIN(Dashboard!$B$15,C68),0),0)</x:f>
      </x:c>
      <x:c r="G68" s="32" t="n">
        <x:f>IF(B68="Closed",0,IF(B68="Holiday",IF(Dashboard!$B$14="Interest Only",C68*Dashboard!$F$6,MAX(0,(C68-F68)*Dashboard!$F$6)),E68*Dashboard!$F$6))</x:f>
        <x:v>17621.25</x:v>
      </x:c>
      <x:c r="H68" s="32" t="n">
        <x:f>IF(B68="Holiday",IF(Dashboard!$B$14="Interest Only",G68,F68),IF(B68="Closed",0,MIN(Dashboard!$F$10,E68+G68)))</x:f>
        <x:v>0</x:v>
      </x:c>
      <x:c r="I68" s="32" t="n">
        <x:f>IF(B68="Holiday",F68,IF(B68="Closed",0,MAX(0,H68-G68)))</x:f>
        <x:v>0</x:v>
      </x:c>
      <x:c r="J68" s="32" t="n">
        <x:f>IF(B68="Holiday",MAX(0,C68-F68),IF(B68="Closed",0,MAX(0,E68-I68)))</x:f>
        <x:v>2349500</x:v>
      </x:c>
      <x:c r="K68" s="32" t="n">
        <x:f>IF(B68="Holiday",IF(Dashboard!$B$14="Interest Only",D68,D68+G68),0)</x:f>
        <x:v>0</x:v>
      </x:c>
      <x:c r="L68" s="32" t="n">
        <x:f>J68+K68</x:f>
        <x:v>2349500</x:v>
      </x:c>
      <x:c r="M68" s="32" t="n">
        <x:f>IF(A68=1,H68,M67+H68)</x:f>
        <x:v>0</x:v>
      </x:c>
      <x:c r="N68" s="32" t="n">
        <x:f>IF(A68=1,I68,N67+I68)</x:f>
        <x:v>0</x:v>
      </x:c>
      <x:c r="O68" s="32" t="n">
        <x:f>IF(A68=1,G68,O67+G68)</x:f>
        <x:v>1045758.75</x:v>
      </x:c>
      <x:c r="P68" s="37" t="n">
        <x:f>EDATE(Dashboard!$B$10,A68)</x:f>
        <x:v>47058</x:v>
      </x:c>
    </x:row>
    <x:row r="69">
      <x:c r="A69" s="33" t="n">
        <x:v>68</x:v>
      </x:c>
      <x:c r="B69" s="33" t="str">
        <x:f>IF(A69&lt;=Dashboard!$F$8,"Holiday",IF(A69&lt;=Dashboard!$F$8+Dashboard!$F$7,"Repayment","Closed"))</x:f>
        <x:v>Repayment</x:v>
      </x:c>
      <x:c r="C69" s="32" t="n">
        <x:f>IF(A69=1,Dashboard!$B$6,IF(B69="Holiday",J68,L68))</x:f>
        <x:v>2349500</x:v>
      </x:c>
      <x:c r="D69" s="32" t="n">
        <x:f>IF(A69=1,0,IF(B69="Holiday",K68,0))</x:f>
        <x:v>0</x:v>
      </x:c>
      <x:c r="E69" s="32" t="n">
        <x:f>C69+D69</x:f>
        <x:v>2349500</x:v>
      </x:c>
      <x:c r="F69" s="32">
        <x:f>IF(B69="Holiday",IF(Dashboard!$B$14="Principal Only",MIN(Dashboard!$B$15,C69),0),0)</x:f>
      </x:c>
      <x:c r="G69" s="32" t="n">
        <x:f>IF(B69="Closed",0,IF(B69="Holiday",IF(Dashboard!$B$14="Interest Only",C69*Dashboard!$F$6,MAX(0,(C69-F69)*Dashboard!$F$6)),E69*Dashboard!$F$6))</x:f>
        <x:v>17621.25</x:v>
      </x:c>
      <x:c r="H69" s="32" t="n">
        <x:f>IF(B69="Holiday",IF(Dashboard!$B$14="Interest Only",G69,F69),IF(B69="Closed",0,MIN(Dashboard!$F$10,E69+G69)))</x:f>
        <x:v>0</x:v>
      </x:c>
      <x:c r="I69" s="32" t="n">
        <x:f>IF(B69="Holiday",F69,IF(B69="Closed",0,MAX(0,H69-G69)))</x:f>
        <x:v>0</x:v>
      </x:c>
      <x:c r="J69" s="32" t="n">
        <x:f>IF(B69="Holiday",MAX(0,C69-F69),IF(B69="Closed",0,MAX(0,E69-I69)))</x:f>
        <x:v>2349500</x:v>
      </x:c>
      <x:c r="K69" s="32" t="n">
        <x:f>IF(B69="Holiday",IF(Dashboard!$B$14="Interest Only",D69,D69+G69),0)</x:f>
        <x:v>0</x:v>
      </x:c>
      <x:c r="L69" s="32" t="n">
        <x:f>J69+K69</x:f>
        <x:v>2349500</x:v>
      </x:c>
      <x:c r="M69" s="32" t="n">
        <x:f>IF(A69=1,H69,M68+H69)</x:f>
        <x:v>0</x:v>
      </x:c>
      <x:c r="N69" s="32" t="n">
        <x:f>IF(A69=1,I69,N68+I69)</x:f>
        <x:v>0</x:v>
      </x:c>
      <x:c r="O69" s="32" t="n">
        <x:f>IF(A69=1,G69,O68+G69)</x:f>
        <x:v>1063380</x:v>
      </x:c>
      <x:c r="P69" s="37" t="n">
        <x:f>EDATE(Dashboard!$B$10,A69)</x:f>
        <x:v>47088</x:v>
      </x:c>
    </x:row>
    <x:row r="70">
      <x:c r="A70" s="33" t="n">
        <x:v>69</x:v>
      </x:c>
      <x:c r="B70" s="33" t="str">
        <x:f>IF(A70&lt;=Dashboard!$F$8,"Holiday",IF(A70&lt;=Dashboard!$F$8+Dashboard!$F$7,"Repayment","Closed"))</x:f>
        <x:v>Repayment</x:v>
      </x:c>
      <x:c r="C70" s="32" t="n">
        <x:f>IF(A70=1,Dashboard!$B$6,IF(B70="Holiday",J69,L69))</x:f>
        <x:v>2349500</x:v>
      </x:c>
      <x:c r="D70" s="32" t="n">
        <x:f>IF(A70=1,0,IF(B70="Holiday",K69,0))</x:f>
        <x:v>0</x:v>
      </x:c>
      <x:c r="E70" s="32" t="n">
        <x:f>C70+D70</x:f>
        <x:v>2349500</x:v>
      </x:c>
      <x:c r="F70" s="32">
        <x:f>IF(B70="Holiday",IF(Dashboard!$B$14="Principal Only",MIN(Dashboard!$B$15,C70),0),0)</x:f>
      </x:c>
      <x:c r="G70" s="32" t="n">
        <x:f>IF(B70="Closed",0,IF(B70="Holiday",IF(Dashboard!$B$14="Interest Only",C70*Dashboard!$F$6,MAX(0,(C70-F70)*Dashboard!$F$6)),E70*Dashboard!$F$6))</x:f>
        <x:v>17621.25</x:v>
      </x:c>
      <x:c r="H70" s="32" t="n">
        <x:f>IF(B70="Holiday",IF(Dashboard!$B$14="Interest Only",G70,F70),IF(B70="Closed",0,MIN(Dashboard!$F$10,E70+G70)))</x:f>
        <x:v>0</x:v>
      </x:c>
      <x:c r="I70" s="32" t="n">
        <x:f>IF(B70="Holiday",F70,IF(B70="Closed",0,MAX(0,H70-G70)))</x:f>
        <x:v>0</x:v>
      </x:c>
      <x:c r="J70" s="32" t="n">
        <x:f>IF(B70="Holiday",MAX(0,C70-F70),IF(B70="Closed",0,MAX(0,E70-I70)))</x:f>
        <x:v>2349500</x:v>
      </x:c>
      <x:c r="K70" s="32" t="n">
        <x:f>IF(B70="Holiday",IF(Dashboard!$B$14="Interest Only",D70,D70+G70),0)</x:f>
        <x:v>0</x:v>
      </x:c>
      <x:c r="L70" s="32" t="n">
        <x:f>J70+K70</x:f>
        <x:v>2349500</x:v>
      </x:c>
      <x:c r="M70" s="32" t="n">
        <x:f>IF(A70=1,H70,M69+H70)</x:f>
        <x:v>0</x:v>
      </x:c>
      <x:c r="N70" s="32" t="n">
        <x:f>IF(A70=1,I70,N69+I70)</x:f>
        <x:v>0</x:v>
      </x:c>
      <x:c r="O70" s="32" t="n">
        <x:f>IF(A70=1,G70,O69+G70)</x:f>
        <x:v>1081001.25</x:v>
      </x:c>
      <x:c r="P70" s="37" t="n">
        <x:f>EDATE(Dashboard!$B$10,A70)</x:f>
        <x:v>47119</x:v>
      </x:c>
    </x:row>
    <x:row r="71">
      <x:c r="A71" s="33" t="n">
        <x:v>70</x:v>
      </x:c>
      <x:c r="B71" s="33" t="str">
        <x:f>IF(A71&lt;=Dashboard!$F$8,"Holiday",IF(A71&lt;=Dashboard!$F$8+Dashboard!$F$7,"Repayment","Closed"))</x:f>
        <x:v>Repayment</x:v>
      </x:c>
      <x:c r="C71" s="32" t="n">
        <x:f>IF(A71=1,Dashboard!$B$6,IF(B71="Holiday",J70,L70))</x:f>
        <x:v>2349500</x:v>
      </x:c>
      <x:c r="D71" s="32" t="n">
        <x:f>IF(A71=1,0,IF(B71="Holiday",K70,0))</x:f>
        <x:v>0</x:v>
      </x:c>
      <x:c r="E71" s="32" t="n">
        <x:f>C71+D71</x:f>
        <x:v>2349500</x:v>
      </x:c>
      <x:c r="F71" s="32">
        <x:f>IF(B71="Holiday",IF(Dashboard!$B$14="Principal Only",MIN(Dashboard!$B$15,C71),0),0)</x:f>
      </x:c>
      <x:c r="G71" s="32" t="n">
        <x:f>IF(B71="Closed",0,IF(B71="Holiday",IF(Dashboard!$B$14="Interest Only",C71*Dashboard!$F$6,MAX(0,(C71-F71)*Dashboard!$F$6)),E71*Dashboard!$F$6))</x:f>
        <x:v>17621.25</x:v>
      </x:c>
      <x:c r="H71" s="32" t="n">
        <x:f>IF(B71="Holiday",IF(Dashboard!$B$14="Interest Only",G71,F71),IF(B71="Closed",0,MIN(Dashboard!$F$10,E71+G71)))</x:f>
        <x:v>0</x:v>
      </x:c>
      <x:c r="I71" s="32" t="n">
        <x:f>IF(B71="Holiday",F71,IF(B71="Closed",0,MAX(0,H71-G71)))</x:f>
        <x:v>0</x:v>
      </x:c>
      <x:c r="J71" s="32" t="n">
        <x:f>IF(B71="Holiday",MAX(0,C71-F71),IF(B71="Closed",0,MAX(0,E71-I71)))</x:f>
        <x:v>2349500</x:v>
      </x:c>
      <x:c r="K71" s="32" t="n">
        <x:f>IF(B71="Holiday",IF(Dashboard!$B$14="Interest Only",D71,D71+G71),0)</x:f>
        <x:v>0</x:v>
      </x:c>
      <x:c r="L71" s="32" t="n">
        <x:f>J71+K71</x:f>
        <x:v>2349500</x:v>
      </x:c>
      <x:c r="M71" s="32" t="n">
        <x:f>IF(A71=1,H71,M70+H71)</x:f>
        <x:v>0</x:v>
      </x:c>
      <x:c r="N71" s="32" t="n">
        <x:f>IF(A71=1,I71,N70+I71)</x:f>
        <x:v>0</x:v>
      </x:c>
      <x:c r="O71" s="32" t="n">
        <x:f>IF(A71=1,G71,O70+G71)</x:f>
        <x:v>1098622.5</x:v>
      </x:c>
      <x:c r="P71" s="37" t="n">
        <x:f>EDATE(Dashboard!$B$10,A71)</x:f>
        <x:v>47150</x:v>
      </x:c>
    </x:row>
    <x:row r="72">
      <x:c r="A72" s="33" t="n">
        <x:v>71</x:v>
      </x:c>
      <x:c r="B72" s="33" t="str">
        <x:f>IF(A72&lt;=Dashboard!$F$8,"Holiday",IF(A72&lt;=Dashboard!$F$8+Dashboard!$F$7,"Repayment","Closed"))</x:f>
        <x:v>Repayment</x:v>
      </x:c>
      <x:c r="C72" s="32" t="n">
        <x:f>IF(A72=1,Dashboard!$B$6,IF(B72="Holiday",J71,L71))</x:f>
        <x:v>2349500</x:v>
      </x:c>
      <x:c r="D72" s="32" t="n">
        <x:f>IF(A72=1,0,IF(B72="Holiday",K71,0))</x:f>
        <x:v>0</x:v>
      </x:c>
      <x:c r="E72" s="32" t="n">
        <x:f>C72+D72</x:f>
        <x:v>2349500</x:v>
      </x:c>
      <x:c r="F72" s="32">
        <x:f>IF(B72="Holiday",IF(Dashboard!$B$14="Principal Only",MIN(Dashboard!$B$15,C72),0),0)</x:f>
      </x:c>
      <x:c r="G72" s="32" t="n">
        <x:f>IF(B72="Closed",0,IF(B72="Holiday",IF(Dashboard!$B$14="Interest Only",C72*Dashboard!$F$6,MAX(0,(C72-F72)*Dashboard!$F$6)),E72*Dashboard!$F$6))</x:f>
        <x:v>17621.25</x:v>
      </x:c>
      <x:c r="H72" s="32" t="n">
        <x:f>IF(B72="Holiday",IF(Dashboard!$B$14="Interest Only",G72,F72),IF(B72="Closed",0,MIN(Dashboard!$F$10,E72+G72)))</x:f>
        <x:v>0</x:v>
      </x:c>
      <x:c r="I72" s="32" t="n">
        <x:f>IF(B72="Holiday",F72,IF(B72="Closed",0,MAX(0,H72-G72)))</x:f>
        <x:v>0</x:v>
      </x:c>
      <x:c r="J72" s="32" t="n">
        <x:f>IF(B72="Holiday",MAX(0,C72-F72),IF(B72="Closed",0,MAX(0,E72-I72)))</x:f>
        <x:v>2349500</x:v>
      </x:c>
      <x:c r="K72" s="32" t="n">
        <x:f>IF(B72="Holiday",IF(Dashboard!$B$14="Interest Only",D72,D72+G72),0)</x:f>
        <x:v>0</x:v>
      </x:c>
      <x:c r="L72" s="32" t="n">
        <x:f>J72+K72</x:f>
        <x:v>2349500</x:v>
      </x:c>
      <x:c r="M72" s="32" t="n">
        <x:f>IF(A72=1,H72,M71+H72)</x:f>
        <x:v>0</x:v>
      </x:c>
      <x:c r="N72" s="32" t="n">
        <x:f>IF(A72=1,I72,N71+I72)</x:f>
        <x:v>0</x:v>
      </x:c>
      <x:c r="O72" s="32" t="n">
        <x:f>IF(A72=1,G72,O71+G72)</x:f>
        <x:v>1116243.75</x:v>
      </x:c>
      <x:c r="P72" s="37" t="n">
        <x:f>EDATE(Dashboard!$B$10,A72)</x:f>
        <x:v>47178</x:v>
      </x:c>
    </x:row>
    <x:row r="73">
      <x:c r="A73" s="33" t="n">
        <x:v>72</x:v>
      </x:c>
      <x:c r="B73" s="33" t="str">
        <x:f>IF(A73&lt;=Dashboard!$F$8,"Holiday",IF(A73&lt;=Dashboard!$F$8+Dashboard!$F$7,"Repayment","Closed"))</x:f>
        <x:v>Repayment</x:v>
      </x:c>
      <x:c r="C73" s="32" t="n">
        <x:f>IF(A73=1,Dashboard!$B$6,IF(B73="Holiday",J72,L72))</x:f>
        <x:v>2349500</x:v>
      </x:c>
      <x:c r="D73" s="32" t="n">
        <x:f>IF(A73=1,0,IF(B73="Holiday",K72,0))</x:f>
        <x:v>0</x:v>
      </x:c>
      <x:c r="E73" s="32" t="n">
        <x:f>C73+D73</x:f>
        <x:v>2349500</x:v>
      </x:c>
      <x:c r="F73" s="32">
        <x:f>IF(B73="Holiday",IF(Dashboard!$B$14="Principal Only",MIN(Dashboard!$B$15,C73),0),0)</x:f>
      </x:c>
      <x:c r="G73" s="32" t="n">
        <x:f>IF(B73="Closed",0,IF(B73="Holiday",IF(Dashboard!$B$14="Interest Only",C73*Dashboard!$F$6,MAX(0,(C73-F73)*Dashboard!$F$6)),E73*Dashboard!$F$6))</x:f>
        <x:v>17621.25</x:v>
      </x:c>
      <x:c r="H73" s="32" t="n">
        <x:f>IF(B73="Holiday",IF(Dashboard!$B$14="Interest Only",G73,F73),IF(B73="Closed",0,MIN(Dashboard!$F$10,E73+G73)))</x:f>
        <x:v>0</x:v>
      </x:c>
      <x:c r="I73" s="32" t="n">
        <x:f>IF(B73="Holiday",F73,IF(B73="Closed",0,MAX(0,H73-G73)))</x:f>
        <x:v>0</x:v>
      </x:c>
      <x:c r="J73" s="32" t="n">
        <x:f>IF(B73="Holiday",MAX(0,C73-F73),IF(B73="Closed",0,MAX(0,E73-I73)))</x:f>
        <x:v>2349500</x:v>
      </x:c>
      <x:c r="K73" s="32" t="n">
        <x:f>IF(B73="Holiday",IF(Dashboard!$B$14="Interest Only",D73,D73+G73),0)</x:f>
        <x:v>0</x:v>
      </x:c>
      <x:c r="L73" s="32" t="n">
        <x:f>J73+K73</x:f>
        <x:v>2349500</x:v>
      </x:c>
      <x:c r="M73" s="32" t="n">
        <x:f>IF(A73=1,H73,M72+H73)</x:f>
        <x:v>0</x:v>
      </x:c>
      <x:c r="N73" s="32" t="n">
        <x:f>IF(A73=1,I73,N72+I73)</x:f>
        <x:v>0</x:v>
      </x:c>
      <x:c r="O73" s="32" t="n">
        <x:f>IF(A73=1,G73,O72+G73)</x:f>
        <x:v>1133865</x:v>
      </x:c>
      <x:c r="P73" s="37" t="n">
        <x:f>EDATE(Dashboard!$B$10,A73)</x:f>
        <x:v>47209</x:v>
      </x:c>
    </x:row>
    <x:row r="74">
      <x:c r="A74" s="33" t="n">
        <x:v>73</x:v>
      </x:c>
      <x:c r="B74" s="33" t="str">
        <x:f>IF(A74&lt;=Dashboard!$F$8,"Holiday",IF(A74&lt;=Dashboard!$F$8+Dashboard!$F$7,"Repayment","Closed"))</x:f>
        <x:v>Repayment</x:v>
      </x:c>
      <x:c r="C74" s="32" t="n">
        <x:f>IF(A74=1,Dashboard!$B$6,IF(B74="Holiday",J73,L73))</x:f>
        <x:v>2349500</x:v>
      </x:c>
      <x:c r="D74" s="32" t="n">
        <x:f>IF(A74=1,0,IF(B74="Holiday",K73,0))</x:f>
        <x:v>0</x:v>
      </x:c>
      <x:c r="E74" s="32" t="n">
        <x:f>C74+D74</x:f>
        <x:v>2349500</x:v>
      </x:c>
      <x:c r="F74" s="32">
        <x:f>IF(B74="Holiday",IF(Dashboard!$B$14="Principal Only",MIN(Dashboard!$B$15,C74),0),0)</x:f>
      </x:c>
      <x:c r="G74" s="32" t="n">
        <x:f>IF(B74="Closed",0,IF(B74="Holiday",IF(Dashboard!$B$14="Interest Only",C74*Dashboard!$F$6,MAX(0,(C74-F74)*Dashboard!$F$6)),E74*Dashboard!$F$6))</x:f>
        <x:v>17621.25</x:v>
      </x:c>
      <x:c r="H74" s="32" t="n">
        <x:f>IF(B74="Holiday",IF(Dashboard!$B$14="Interest Only",G74,F74),IF(B74="Closed",0,MIN(Dashboard!$F$10,E74+G74)))</x:f>
        <x:v>0</x:v>
      </x:c>
      <x:c r="I74" s="32" t="n">
        <x:f>IF(B74="Holiday",F74,IF(B74="Closed",0,MAX(0,H74-G74)))</x:f>
        <x:v>0</x:v>
      </x:c>
      <x:c r="J74" s="32" t="n">
        <x:f>IF(B74="Holiday",MAX(0,C74-F74),IF(B74="Closed",0,MAX(0,E74-I74)))</x:f>
        <x:v>2349500</x:v>
      </x:c>
      <x:c r="K74" s="32" t="n">
        <x:f>IF(B74="Holiday",IF(Dashboard!$B$14="Interest Only",D74,D74+G74),0)</x:f>
        <x:v>0</x:v>
      </x:c>
      <x:c r="L74" s="32" t="n">
        <x:f>J74+K74</x:f>
        <x:v>2349500</x:v>
      </x:c>
      <x:c r="M74" s="32" t="n">
        <x:f>IF(A74=1,H74,M73+H74)</x:f>
        <x:v>0</x:v>
      </x:c>
      <x:c r="N74" s="32" t="n">
        <x:f>IF(A74=1,I74,N73+I74)</x:f>
        <x:v>0</x:v>
      </x:c>
      <x:c r="O74" s="32" t="n">
        <x:f>IF(A74=1,G74,O73+G74)</x:f>
        <x:v>1151486.25</x:v>
      </x:c>
      <x:c r="P74" s="37" t="n">
        <x:f>EDATE(Dashboard!$B$10,A74)</x:f>
        <x:v>47239</x:v>
      </x:c>
    </x:row>
    <x:row r="75">
      <x:c r="A75" s="33" t="n">
        <x:v>74</x:v>
      </x:c>
      <x:c r="B75" s="33" t="str">
        <x:f>IF(A75&lt;=Dashboard!$F$8,"Holiday",IF(A75&lt;=Dashboard!$F$8+Dashboard!$F$7,"Repayment","Closed"))</x:f>
        <x:v>Repayment</x:v>
      </x:c>
      <x:c r="C75" s="32" t="n">
        <x:f>IF(A75=1,Dashboard!$B$6,IF(B75="Holiday",J74,L74))</x:f>
        <x:v>2349500</x:v>
      </x:c>
      <x:c r="D75" s="32" t="n">
        <x:f>IF(A75=1,0,IF(B75="Holiday",K74,0))</x:f>
        <x:v>0</x:v>
      </x:c>
      <x:c r="E75" s="32" t="n">
        <x:f>C75+D75</x:f>
        <x:v>2349500</x:v>
      </x:c>
      <x:c r="F75" s="32">
        <x:f>IF(B75="Holiday",IF(Dashboard!$B$14="Principal Only",MIN(Dashboard!$B$15,C75),0),0)</x:f>
      </x:c>
      <x:c r="G75" s="32" t="n">
        <x:f>IF(B75="Closed",0,IF(B75="Holiday",IF(Dashboard!$B$14="Interest Only",C75*Dashboard!$F$6,MAX(0,(C75-F75)*Dashboard!$F$6)),E75*Dashboard!$F$6))</x:f>
        <x:v>17621.25</x:v>
      </x:c>
      <x:c r="H75" s="32" t="n">
        <x:f>IF(B75="Holiday",IF(Dashboard!$B$14="Interest Only",G75,F75),IF(B75="Closed",0,MIN(Dashboard!$F$10,E75+G75)))</x:f>
        <x:v>0</x:v>
      </x:c>
      <x:c r="I75" s="32" t="n">
        <x:f>IF(B75="Holiday",F75,IF(B75="Closed",0,MAX(0,H75-G75)))</x:f>
        <x:v>0</x:v>
      </x:c>
      <x:c r="J75" s="32" t="n">
        <x:f>IF(B75="Holiday",MAX(0,C75-F75),IF(B75="Closed",0,MAX(0,E75-I75)))</x:f>
        <x:v>2349500</x:v>
      </x:c>
      <x:c r="K75" s="32" t="n">
        <x:f>IF(B75="Holiday",IF(Dashboard!$B$14="Interest Only",D75,D75+G75),0)</x:f>
        <x:v>0</x:v>
      </x:c>
      <x:c r="L75" s="32" t="n">
        <x:f>J75+K75</x:f>
        <x:v>2349500</x:v>
      </x:c>
      <x:c r="M75" s="32" t="n">
        <x:f>IF(A75=1,H75,M74+H75)</x:f>
        <x:v>0</x:v>
      </x:c>
      <x:c r="N75" s="32" t="n">
        <x:f>IF(A75=1,I75,N74+I75)</x:f>
        <x:v>0</x:v>
      </x:c>
      <x:c r="O75" s="32" t="n">
        <x:f>IF(A75=1,G75,O74+G75)</x:f>
        <x:v>1169107.5</x:v>
      </x:c>
      <x:c r="P75" s="37" t="n">
        <x:f>EDATE(Dashboard!$B$10,A75)</x:f>
        <x:v>47270</x:v>
      </x:c>
    </x:row>
    <x:row r="76">
      <x:c r="A76" s="33" t="n">
        <x:v>75</x:v>
      </x:c>
      <x:c r="B76" s="33" t="str">
        <x:f>IF(A76&lt;=Dashboard!$F$8,"Holiday",IF(A76&lt;=Dashboard!$F$8+Dashboard!$F$7,"Repayment","Closed"))</x:f>
        <x:v>Repayment</x:v>
      </x:c>
      <x:c r="C76" s="32" t="n">
        <x:f>IF(A76=1,Dashboard!$B$6,IF(B76="Holiday",J75,L75))</x:f>
        <x:v>2349500</x:v>
      </x:c>
      <x:c r="D76" s="32" t="n">
        <x:f>IF(A76=1,0,IF(B76="Holiday",K75,0))</x:f>
        <x:v>0</x:v>
      </x:c>
      <x:c r="E76" s="32" t="n">
        <x:f>C76+D76</x:f>
        <x:v>2349500</x:v>
      </x:c>
      <x:c r="F76" s="32">
        <x:f>IF(B76="Holiday",IF(Dashboard!$B$14="Principal Only",MIN(Dashboard!$B$15,C76),0),0)</x:f>
      </x:c>
      <x:c r="G76" s="32" t="n">
        <x:f>IF(B76="Closed",0,IF(B76="Holiday",IF(Dashboard!$B$14="Interest Only",C76*Dashboard!$F$6,MAX(0,(C76-F76)*Dashboard!$F$6)),E76*Dashboard!$F$6))</x:f>
        <x:v>17621.25</x:v>
      </x:c>
      <x:c r="H76" s="32" t="n">
        <x:f>IF(B76="Holiday",IF(Dashboard!$B$14="Interest Only",G76,F76),IF(B76="Closed",0,MIN(Dashboard!$F$10,E76+G76)))</x:f>
        <x:v>0</x:v>
      </x:c>
      <x:c r="I76" s="32" t="n">
        <x:f>IF(B76="Holiday",F76,IF(B76="Closed",0,MAX(0,H76-G76)))</x:f>
        <x:v>0</x:v>
      </x:c>
      <x:c r="J76" s="32" t="n">
        <x:f>IF(B76="Holiday",MAX(0,C76-F76),IF(B76="Closed",0,MAX(0,E76-I76)))</x:f>
        <x:v>2349500</x:v>
      </x:c>
      <x:c r="K76" s="32" t="n">
        <x:f>IF(B76="Holiday",IF(Dashboard!$B$14="Interest Only",D76,D76+G76),0)</x:f>
        <x:v>0</x:v>
      </x:c>
      <x:c r="L76" s="32" t="n">
        <x:f>J76+K76</x:f>
        <x:v>2349500</x:v>
      </x:c>
      <x:c r="M76" s="32" t="n">
        <x:f>IF(A76=1,H76,M75+H76)</x:f>
        <x:v>0</x:v>
      </x:c>
      <x:c r="N76" s="32" t="n">
        <x:f>IF(A76=1,I76,N75+I76)</x:f>
        <x:v>0</x:v>
      </x:c>
      <x:c r="O76" s="32" t="n">
        <x:f>IF(A76=1,G76,O75+G76)</x:f>
        <x:v>1186728.75</x:v>
      </x:c>
      <x:c r="P76" s="37" t="n">
        <x:f>EDATE(Dashboard!$B$10,A76)</x:f>
        <x:v>47300</x:v>
      </x:c>
    </x:row>
    <x:row r="77">
      <x:c r="A77" s="33" t="n">
        <x:v>76</x:v>
      </x:c>
      <x:c r="B77" s="33" t="str">
        <x:f>IF(A77&lt;=Dashboard!$F$8,"Holiday",IF(A77&lt;=Dashboard!$F$8+Dashboard!$F$7,"Repayment","Closed"))</x:f>
        <x:v>Repayment</x:v>
      </x:c>
      <x:c r="C77" s="32" t="n">
        <x:f>IF(A77=1,Dashboard!$B$6,IF(B77="Holiday",J76,L76))</x:f>
        <x:v>2349500</x:v>
      </x:c>
      <x:c r="D77" s="32" t="n">
        <x:f>IF(A77=1,0,IF(B77="Holiday",K76,0))</x:f>
        <x:v>0</x:v>
      </x:c>
      <x:c r="E77" s="32" t="n">
        <x:f>C77+D77</x:f>
        <x:v>2349500</x:v>
      </x:c>
      <x:c r="F77" s="32">
        <x:f>IF(B77="Holiday",IF(Dashboard!$B$14="Principal Only",MIN(Dashboard!$B$15,C77),0),0)</x:f>
      </x:c>
      <x:c r="G77" s="32" t="n">
        <x:f>IF(B77="Closed",0,IF(B77="Holiday",IF(Dashboard!$B$14="Interest Only",C77*Dashboard!$F$6,MAX(0,(C77-F77)*Dashboard!$F$6)),E77*Dashboard!$F$6))</x:f>
        <x:v>17621.25</x:v>
      </x:c>
      <x:c r="H77" s="32" t="n">
        <x:f>IF(B77="Holiday",IF(Dashboard!$B$14="Interest Only",G77,F77),IF(B77="Closed",0,MIN(Dashboard!$F$10,E77+G77)))</x:f>
        <x:v>0</x:v>
      </x:c>
      <x:c r="I77" s="32" t="n">
        <x:f>IF(B77="Holiday",F77,IF(B77="Closed",0,MAX(0,H77-G77)))</x:f>
        <x:v>0</x:v>
      </x:c>
      <x:c r="J77" s="32" t="n">
        <x:f>IF(B77="Holiday",MAX(0,C77-F77),IF(B77="Closed",0,MAX(0,E77-I77)))</x:f>
        <x:v>2349500</x:v>
      </x:c>
      <x:c r="K77" s="32" t="n">
        <x:f>IF(B77="Holiday",IF(Dashboard!$B$14="Interest Only",D77,D77+G77),0)</x:f>
        <x:v>0</x:v>
      </x:c>
      <x:c r="L77" s="32" t="n">
        <x:f>J77+K77</x:f>
        <x:v>2349500</x:v>
      </x:c>
      <x:c r="M77" s="32" t="n">
        <x:f>IF(A77=1,H77,M76+H77)</x:f>
        <x:v>0</x:v>
      </x:c>
      <x:c r="N77" s="32" t="n">
        <x:f>IF(A77=1,I77,N76+I77)</x:f>
        <x:v>0</x:v>
      </x:c>
      <x:c r="O77" s="32" t="n">
        <x:f>IF(A77=1,G77,O76+G77)</x:f>
        <x:v>1204350</x:v>
      </x:c>
      <x:c r="P77" s="37" t="n">
        <x:f>EDATE(Dashboard!$B$10,A77)</x:f>
        <x:v>47331</x:v>
      </x:c>
    </x:row>
    <x:row r="78">
      <x:c r="A78" s="33" t="n">
        <x:v>77</x:v>
      </x:c>
      <x:c r="B78" s="33" t="str">
        <x:f>IF(A78&lt;=Dashboard!$F$8,"Holiday",IF(A78&lt;=Dashboard!$F$8+Dashboard!$F$7,"Repayment","Closed"))</x:f>
        <x:v>Repayment</x:v>
      </x:c>
      <x:c r="C78" s="32" t="n">
        <x:f>IF(A78=1,Dashboard!$B$6,IF(B78="Holiday",J77,L77))</x:f>
        <x:v>2349500</x:v>
      </x:c>
      <x:c r="D78" s="32" t="n">
        <x:f>IF(A78=1,0,IF(B78="Holiday",K77,0))</x:f>
        <x:v>0</x:v>
      </x:c>
      <x:c r="E78" s="32" t="n">
        <x:f>C78+D78</x:f>
        <x:v>2349500</x:v>
      </x:c>
      <x:c r="F78" s="32">
        <x:f>IF(B78="Holiday",IF(Dashboard!$B$14="Principal Only",MIN(Dashboard!$B$15,C78),0),0)</x:f>
      </x:c>
      <x:c r="G78" s="32" t="n">
        <x:f>IF(B78="Closed",0,IF(B78="Holiday",IF(Dashboard!$B$14="Interest Only",C78*Dashboard!$F$6,MAX(0,(C78-F78)*Dashboard!$F$6)),E78*Dashboard!$F$6))</x:f>
        <x:v>17621.25</x:v>
      </x:c>
      <x:c r="H78" s="32" t="n">
        <x:f>IF(B78="Holiday",IF(Dashboard!$B$14="Interest Only",G78,F78),IF(B78="Closed",0,MIN(Dashboard!$F$10,E78+G78)))</x:f>
        <x:v>0</x:v>
      </x:c>
      <x:c r="I78" s="32" t="n">
        <x:f>IF(B78="Holiday",F78,IF(B78="Closed",0,MAX(0,H78-G78)))</x:f>
        <x:v>0</x:v>
      </x:c>
      <x:c r="J78" s="32" t="n">
        <x:f>IF(B78="Holiday",MAX(0,C78-F78),IF(B78="Closed",0,MAX(0,E78-I78)))</x:f>
        <x:v>2349500</x:v>
      </x:c>
      <x:c r="K78" s="32" t="n">
        <x:f>IF(B78="Holiday",IF(Dashboard!$B$14="Interest Only",D78,D78+G78),0)</x:f>
        <x:v>0</x:v>
      </x:c>
      <x:c r="L78" s="32" t="n">
        <x:f>J78+K78</x:f>
        <x:v>2349500</x:v>
      </x:c>
      <x:c r="M78" s="32" t="n">
        <x:f>IF(A78=1,H78,M77+H78)</x:f>
        <x:v>0</x:v>
      </x:c>
      <x:c r="N78" s="32" t="n">
        <x:f>IF(A78=1,I78,N77+I78)</x:f>
        <x:v>0</x:v>
      </x:c>
      <x:c r="O78" s="32" t="n">
        <x:f>IF(A78=1,G78,O77+G78)</x:f>
        <x:v>1221971.25</x:v>
      </x:c>
      <x:c r="P78" s="37" t="n">
        <x:f>EDATE(Dashboard!$B$10,A78)</x:f>
        <x:v>47362</x:v>
      </x:c>
    </x:row>
    <x:row r="79">
      <x:c r="A79" s="33" t="n">
        <x:v>78</x:v>
      </x:c>
      <x:c r="B79" s="33" t="str">
        <x:f>IF(A79&lt;=Dashboard!$F$8,"Holiday",IF(A79&lt;=Dashboard!$F$8+Dashboard!$F$7,"Repayment","Closed"))</x:f>
        <x:v>Repayment</x:v>
      </x:c>
      <x:c r="C79" s="32" t="n">
        <x:f>IF(A79=1,Dashboard!$B$6,IF(B79="Holiday",J78,L78))</x:f>
        <x:v>2349500</x:v>
      </x:c>
      <x:c r="D79" s="32" t="n">
        <x:f>IF(A79=1,0,IF(B79="Holiday",K78,0))</x:f>
        <x:v>0</x:v>
      </x:c>
      <x:c r="E79" s="32" t="n">
        <x:f>C79+D79</x:f>
        <x:v>2349500</x:v>
      </x:c>
      <x:c r="F79" s="32">
        <x:f>IF(B79="Holiday",IF(Dashboard!$B$14="Principal Only",MIN(Dashboard!$B$15,C79),0),0)</x:f>
      </x:c>
      <x:c r="G79" s="32" t="n">
        <x:f>IF(B79="Closed",0,IF(B79="Holiday",IF(Dashboard!$B$14="Interest Only",C79*Dashboard!$F$6,MAX(0,(C79-F79)*Dashboard!$F$6)),E79*Dashboard!$F$6))</x:f>
        <x:v>17621.25</x:v>
      </x:c>
      <x:c r="H79" s="32" t="n">
        <x:f>IF(B79="Holiday",IF(Dashboard!$B$14="Interest Only",G79,F79),IF(B79="Closed",0,MIN(Dashboard!$F$10,E79+G79)))</x:f>
        <x:v>0</x:v>
      </x:c>
      <x:c r="I79" s="32" t="n">
        <x:f>IF(B79="Holiday",F79,IF(B79="Closed",0,MAX(0,H79-G79)))</x:f>
        <x:v>0</x:v>
      </x:c>
      <x:c r="J79" s="32" t="n">
        <x:f>IF(B79="Holiday",MAX(0,C79-F79),IF(B79="Closed",0,MAX(0,E79-I79)))</x:f>
        <x:v>2349500</x:v>
      </x:c>
      <x:c r="K79" s="32" t="n">
        <x:f>IF(B79="Holiday",IF(Dashboard!$B$14="Interest Only",D79,D79+G79),0)</x:f>
        <x:v>0</x:v>
      </x:c>
      <x:c r="L79" s="32" t="n">
        <x:f>J79+K79</x:f>
        <x:v>2349500</x:v>
      </x:c>
      <x:c r="M79" s="32" t="n">
        <x:f>IF(A79=1,H79,M78+H79)</x:f>
        <x:v>0</x:v>
      </x:c>
      <x:c r="N79" s="32" t="n">
        <x:f>IF(A79=1,I79,N78+I79)</x:f>
        <x:v>0</x:v>
      </x:c>
      <x:c r="O79" s="32" t="n">
        <x:f>IF(A79=1,G79,O78+G79)</x:f>
        <x:v>1239592.5</x:v>
      </x:c>
      <x:c r="P79" s="37" t="n">
        <x:f>EDATE(Dashboard!$B$10,A79)</x:f>
        <x:v>47392</x:v>
      </x:c>
    </x:row>
    <x:row r="80">
      <x:c r="A80" s="33" t="n">
        <x:v>79</x:v>
      </x:c>
      <x:c r="B80" s="33" t="str">
        <x:f>IF(A80&lt;=Dashboard!$F$8,"Holiday",IF(A80&lt;=Dashboard!$F$8+Dashboard!$F$7,"Repayment","Closed"))</x:f>
        <x:v>Repayment</x:v>
      </x:c>
      <x:c r="C80" s="32" t="n">
        <x:f>IF(A80=1,Dashboard!$B$6,IF(B80="Holiday",J79,L79))</x:f>
        <x:v>2349500</x:v>
      </x:c>
      <x:c r="D80" s="32" t="n">
        <x:f>IF(A80=1,0,IF(B80="Holiday",K79,0))</x:f>
        <x:v>0</x:v>
      </x:c>
      <x:c r="E80" s="32" t="n">
        <x:f>C80+D80</x:f>
        <x:v>2349500</x:v>
      </x:c>
      <x:c r="F80" s="32">
        <x:f>IF(B80="Holiday",IF(Dashboard!$B$14="Principal Only",MIN(Dashboard!$B$15,C80),0),0)</x:f>
      </x:c>
      <x:c r="G80" s="32" t="n">
        <x:f>IF(B80="Closed",0,IF(B80="Holiday",IF(Dashboard!$B$14="Interest Only",C80*Dashboard!$F$6,MAX(0,(C80-F80)*Dashboard!$F$6)),E80*Dashboard!$F$6))</x:f>
        <x:v>17621.25</x:v>
      </x:c>
      <x:c r="H80" s="32" t="n">
        <x:f>IF(B80="Holiday",IF(Dashboard!$B$14="Interest Only",G80,F80),IF(B80="Closed",0,MIN(Dashboard!$F$10,E80+G80)))</x:f>
        <x:v>0</x:v>
      </x:c>
      <x:c r="I80" s="32" t="n">
        <x:f>IF(B80="Holiday",F80,IF(B80="Closed",0,MAX(0,H80-G80)))</x:f>
        <x:v>0</x:v>
      </x:c>
      <x:c r="J80" s="32" t="n">
        <x:f>IF(B80="Holiday",MAX(0,C80-F80),IF(B80="Closed",0,MAX(0,E80-I80)))</x:f>
        <x:v>2349500</x:v>
      </x:c>
      <x:c r="K80" s="32" t="n">
        <x:f>IF(B80="Holiday",IF(Dashboard!$B$14="Interest Only",D80,D80+G80),0)</x:f>
        <x:v>0</x:v>
      </x:c>
      <x:c r="L80" s="32" t="n">
        <x:f>J80+K80</x:f>
        <x:v>2349500</x:v>
      </x:c>
      <x:c r="M80" s="32" t="n">
        <x:f>IF(A80=1,H80,M79+H80)</x:f>
        <x:v>0</x:v>
      </x:c>
      <x:c r="N80" s="32" t="n">
        <x:f>IF(A80=1,I80,N79+I80)</x:f>
        <x:v>0</x:v>
      </x:c>
      <x:c r="O80" s="32" t="n">
        <x:f>IF(A80=1,G80,O79+G80)</x:f>
        <x:v>1257213.75</x:v>
      </x:c>
      <x:c r="P80" s="37" t="n">
        <x:f>EDATE(Dashboard!$B$10,A80)</x:f>
        <x:v>47423</x:v>
      </x:c>
    </x:row>
    <x:row r="81">
      <x:c r="A81" s="33" t="n">
        <x:v>80</x:v>
      </x:c>
      <x:c r="B81" s="33" t="str">
        <x:f>IF(A81&lt;=Dashboard!$F$8,"Holiday",IF(A81&lt;=Dashboard!$F$8+Dashboard!$F$7,"Repayment","Closed"))</x:f>
        <x:v>Repayment</x:v>
      </x:c>
      <x:c r="C81" s="32" t="n">
        <x:f>IF(A81=1,Dashboard!$B$6,IF(B81="Holiday",J80,L80))</x:f>
        <x:v>2349500</x:v>
      </x:c>
      <x:c r="D81" s="32" t="n">
        <x:f>IF(A81=1,0,IF(B81="Holiday",K80,0))</x:f>
        <x:v>0</x:v>
      </x:c>
      <x:c r="E81" s="32" t="n">
        <x:f>C81+D81</x:f>
        <x:v>2349500</x:v>
      </x:c>
      <x:c r="F81" s="32">
        <x:f>IF(B81="Holiday",IF(Dashboard!$B$14="Principal Only",MIN(Dashboard!$B$15,C81),0),0)</x:f>
      </x:c>
      <x:c r="G81" s="32" t="n">
        <x:f>IF(B81="Closed",0,IF(B81="Holiday",IF(Dashboard!$B$14="Interest Only",C81*Dashboard!$F$6,MAX(0,(C81-F81)*Dashboard!$F$6)),E81*Dashboard!$F$6))</x:f>
        <x:v>17621.25</x:v>
      </x:c>
      <x:c r="H81" s="32" t="n">
        <x:f>IF(B81="Holiday",IF(Dashboard!$B$14="Interest Only",G81,F81),IF(B81="Closed",0,MIN(Dashboard!$F$10,E81+G81)))</x:f>
        <x:v>0</x:v>
      </x:c>
      <x:c r="I81" s="32" t="n">
        <x:f>IF(B81="Holiday",F81,IF(B81="Closed",0,MAX(0,H81-G81)))</x:f>
        <x:v>0</x:v>
      </x:c>
      <x:c r="J81" s="32" t="n">
        <x:f>IF(B81="Holiday",MAX(0,C81-F81),IF(B81="Closed",0,MAX(0,E81-I81)))</x:f>
        <x:v>2349500</x:v>
      </x:c>
      <x:c r="K81" s="32" t="n">
        <x:f>IF(B81="Holiday",IF(Dashboard!$B$14="Interest Only",D81,D81+G81),0)</x:f>
        <x:v>0</x:v>
      </x:c>
      <x:c r="L81" s="32" t="n">
        <x:f>J81+K81</x:f>
        <x:v>2349500</x:v>
      </x:c>
      <x:c r="M81" s="32" t="n">
        <x:f>IF(A81=1,H81,M80+H81)</x:f>
        <x:v>0</x:v>
      </x:c>
      <x:c r="N81" s="32" t="n">
        <x:f>IF(A81=1,I81,N80+I81)</x:f>
        <x:v>0</x:v>
      </x:c>
      <x:c r="O81" s="32" t="n">
        <x:f>IF(A81=1,G81,O80+G81)</x:f>
        <x:v>1274835</x:v>
      </x:c>
      <x:c r="P81" s="37" t="n">
        <x:f>EDATE(Dashboard!$B$10,A81)</x:f>
        <x:v>47453</x:v>
      </x:c>
    </x:row>
    <x:row r="82">
      <x:c r="A82" s="33" t="n">
        <x:v>81</x:v>
      </x:c>
      <x:c r="B82" s="33" t="str">
        <x:f>IF(A82&lt;=Dashboard!$F$8,"Holiday",IF(A82&lt;=Dashboard!$F$8+Dashboard!$F$7,"Repayment","Closed"))</x:f>
        <x:v>Repayment</x:v>
      </x:c>
      <x:c r="C82" s="32" t="n">
        <x:f>IF(A82=1,Dashboard!$B$6,IF(B82="Holiday",J81,L81))</x:f>
        <x:v>2349500</x:v>
      </x:c>
      <x:c r="D82" s="32" t="n">
        <x:f>IF(A82=1,0,IF(B82="Holiday",K81,0))</x:f>
        <x:v>0</x:v>
      </x:c>
      <x:c r="E82" s="32" t="n">
        <x:f>C82+D82</x:f>
        <x:v>2349500</x:v>
      </x:c>
      <x:c r="F82" s="32">
        <x:f>IF(B82="Holiday",IF(Dashboard!$B$14="Principal Only",MIN(Dashboard!$B$15,C82),0),0)</x:f>
      </x:c>
      <x:c r="G82" s="32" t="n">
        <x:f>IF(B82="Closed",0,IF(B82="Holiday",IF(Dashboard!$B$14="Interest Only",C82*Dashboard!$F$6,MAX(0,(C82-F82)*Dashboard!$F$6)),E82*Dashboard!$F$6))</x:f>
        <x:v>17621.25</x:v>
      </x:c>
      <x:c r="H82" s="32" t="n">
        <x:f>IF(B82="Holiday",IF(Dashboard!$B$14="Interest Only",G82,F82),IF(B82="Closed",0,MIN(Dashboard!$F$10,E82+G82)))</x:f>
        <x:v>0</x:v>
      </x:c>
      <x:c r="I82" s="32" t="n">
        <x:f>IF(B82="Holiday",F82,IF(B82="Closed",0,MAX(0,H82-G82)))</x:f>
        <x:v>0</x:v>
      </x:c>
      <x:c r="J82" s="32" t="n">
        <x:f>IF(B82="Holiday",MAX(0,C82-F82),IF(B82="Closed",0,MAX(0,E82-I82)))</x:f>
        <x:v>2349500</x:v>
      </x:c>
      <x:c r="K82" s="32" t="n">
        <x:f>IF(B82="Holiday",IF(Dashboard!$B$14="Interest Only",D82,D82+G82),0)</x:f>
        <x:v>0</x:v>
      </x:c>
      <x:c r="L82" s="32" t="n">
        <x:f>J82+K82</x:f>
        <x:v>2349500</x:v>
      </x:c>
      <x:c r="M82" s="32" t="n">
        <x:f>IF(A82=1,H82,M81+H82)</x:f>
        <x:v>0</x:v>
      </x:c>
      <x:c r="N82" s="32" t="n">
        <x:f>IF(A82=1,I82,N81+I82)</x:f>
        <x:v>0</x:v>
      </x:c>
      <x:c r="O82" s="32" t="n">
        <x:f>IF(A82=1,G82,O81+G82)</x:f>
        <x:v>1292456.25</x:v>
      </x:c>
      <x:c r="P82" s="37" t="n">
        <x:f>EDATE(Dashboard!$B$10,A82)</x:f>
        <x:v>47484</x:v>
      </x:c>
    </x:row>
    <x:row r="83">
      <x:c r="A83" s="33" t="n">
        <x:v>82</x:v>
      </x:c>
      <x:c r="B83" s="33" t="str">
        <x:f>IF(A83&lt;=Dashboard!$F$8,"Holiday",IF(A83&lt;=Dashboard!$F$8+Dashboard!$F$7,"Repayment","Closed"))</x:f>
        <x:v>Repayment</x:v>
      </x:c>
      <x:c r="C83" s="32" t="n">
        <x:f>IF(A83=1,Dashboard!$B$6,IF(B83="Holiday",J82,L82))</x:f>
        <x:v>2349500</x:v>
      </x:c>
      <x:c r="D83" s="32" t="n">
        <x:f>IF(A83=1,0,IF(B83="Holiday",K82,0))</x:f>
        <x:v>0</x:v>
      </x:c>
      <x:c r="E83" s="32" t="n">
        <x:f>C83+D83</x:f>
        <x:v>2349500</x:v>
      </x:c>
      <x:c r="F83" s="32">
        <x:f>IF(B83="Holiday",IF(Dashboard!$B$14="Principal Only",MIN(Dashboard!$B$15,C83),0),0)</x:f>
      </x:c>
      <x:c r="G83" s="32" t="n">
        <x:f>IF(B83="Closed",0,IF(B83="Holiday",IF(Dashboard!$B$14="Interest Only",C83*Dashboard!$F$6,MAX(0,(C83-F83)*Dashboard!$F$6)),E83*Dashboard!$F$6))</x:f>
        <x:v>17621.25</x:v>
      </x:c>
      <x:c r="H83" s="32" t="n">
        <x:f>IF(B83="Holiday",IF(Dashboard!$B$14="Interest Only",G83,F83),IF(B83="Closed",0,MIN(Dashboard!$F$10,E83+G83)))</x:f>
        <x:v>0</x:v>
      </x:c>
      <x:c r="I83" s="32" t="n">
        <x:f>IF(B83="Holiday",F83,IF(B83="Closed",0,MAX(0,H83-G83)))</x:f>
        <x:v>0</x:v>
      </x:c>
      <x:c r="J83" s="32" t="n">
        <x:f>IF(B83="Holiday",MAX(0,C83-F83),IF(B83="Closed",0,MAX(0,E83-I83)))</x:f>
        <x:v>2349500</x:v>
      </x:c>
      <x:c r="K83" s="32" t="n">
        <x:f>IF(B83="Holiday",IF(Dashboard!$B$14="Interest Only",D83,D83+G83),0)</x:f>
        <x:v>0</x:v>
      </x:c>
      <x:c r="L83" s="32" t="n">
        <x:f>J83+K83</x:f>
        <x:v>2349500</x:v>
      </x:c>
      <x:c r="M83" s="32" t="n">
        <x:f>IF(A83=1,H83,M82+H83)</x:f>
        <x:v>0</x:v>
      </x:c>
      <x:c r="N83" s="32" t="n">
        <x:f>IF(A83=1,I83,N82+I83)</x:f>
        <x:v>0</x:v>
      </x:c>
      <x:c r="O83" s="32" t="n">
        <x:f>IF(A83=1,G83,O82+G83)</x:f>
        <x:v>1310077.5</x:v>
      </x:c>
      <x:c r="P83" s="37" t="n">
        <x:f>EDATE(Dashboard!$B$10,A83)</x:f>
        <x:v>47515</x:v>
      </x:c>
    </x:row>
    <x:row r="84">
      <x:c r="A84" s="33" t="n">
        <x:v>83</x:v>
      </x:c>
      <x:c r="B84" s="33" t="str">
        <x:f>IF(A84&lt;=Dashboard!$F$8,"Holiday",IF(A84&lt;=Dashboard!$F$8+Dashboard!$F$7,"Repayment","Closed"))</x:f>
        <x:v>Repayment</x:v>
      </x:c>
      <x:c r="C84" s="32" t="n">
        <x:f>IF(A84=1,Dashboard!$B$6,IF(B84="Holiday",J83,L83))</x:f>
        <x:v>2349500</x:v>
      </x:c>
      <x:c r="D84" s="32" t="n">
        <x:f>IF(A84=1,0,IF(B84="Holiday",K83,0))</x:f>
        <x:v>0</x:v>
      </x:c>
      <x:c r="E84" s="32" t="n">
        <x:f>C84+D84</x:f>
        <x:v>2349500</x:v>
      </x:c>
      <x:c r="F84" s="32">
        <x:f>IF(B84="Holiday",IF(Dashboard!$B$14="Principal Only",MIN(Dashboard!$B$15,C84),0),0)</x:f>
      </x:c>
      <x:c r="G84" s="32" t="n">
        <x:f>IF(B84="Closed",0,IF(B84="Holiday",IF(Dashboard!$B$14="Interest Only",C84*Dashboard!$F$6,MAX(0,(C84-F84)*Dashboard!$F$6)),E84*Dashboard!$F$6))</x:f>
        <x:v>17621.25</x:v>
      </x:c>
      <x:c r="H84" s="32" t="n">
        <x:f>IF(B84="Holiday",IF(Dashboard!$B$14="Interest Only",G84,F84),IF(B84="Closed",0,MIN(Dashboard!$F$10,E84+G84)))</x:f>
        <x:v>0</x:v>
      </x:c>
      <x:c r="I84" s="32" t="n">
        <x:f>IF(B84="Holiday",F84,IF(B84="Closed",0,MAX(0,H84-G84)))</x:f>
        <x:v>0</x:v>
      </x:c>
      <x:c r="J84" s="32" t="n">
        <x:f>IF(B84="Holiday",MAX(0,C84-F84),IF(B84="Closed",0,MAX(0,E84-I84)))</x:f>
        <x:v>2349500</x:v>
      </x:c>
      <x:c r="K84" s="32" t="n">
        <x:f>IF(B84="Holiday",IF(Dashboard!$B$14="Interest Only",D84,D84+G84),0)</x:f>
        <x:v>0</x:v>
      </x:c>
      <x:c r="L84" s="32" t="n">
        <x:f>J84+K84</x:f>
        <x:v>2349500</x:v>
      </x:c>
      <x:c r="M84" s="32" t="n">
        <x:f>IF(A84=1,H84,M83+H84)</x:f>
        <x:v>0</x:v>
      </x:c>
      <x:c r="N84" s="32" t="n">
        <x:f>IF(A84=1,I84,N83+I84)</x:f>
        <x:v>0</x:v>
      </x:c>
      <x:c r="O84" s="32" t="n">
        <x:f>IF(A84=1,G84,O83+G84)</x:f>
        <x:v>1327698.75</x:v>
      </x:c>
      <x:c r="P84" s="37" t="n">
        <x:f>EDATE(Dashboard!$B$10,A84)</x:f>
        <x:v>47543</x:v>
      </x:c>
    </x:row>
    <x:row r="85">
      <x:c r="A85" s="33" t="n">
        <x:v>84</x:v>
      </x:c>
      <x:c r="B85" s="33" t="str">
        <x:f>IF(A85&lt;=Dashboard!$F$8,"Holiday",IF(A85&lt;=Dashboard!$F$8+Dashboard!$F$7,"Repayment","Closed"))</x:f>
        <x:v>Repayment</x:v>
      </x:c>
      <x:c r="C85" s="32" t="n">
        <x:f>IF(A85=1,Dashboard!$B$6,IF(B85="Holiday",J84,L84))</x:f>
        <x:v>2349500</x:v>
      </x:c>
      <x:c r="D85" s="32" t="n">
        <x:f>IF(A85=1,0,IF(B85="Holiday",K84,0))</x:f>
        <x:v>0</x:v>
      </x:c>
      <x:c r="E85" s="32" t="n">
        <x:f>C85+D85</x:f>
        <x:v>2349500</x:v>
      </x:c>
      <x:c r="F85" s="32">
        <x:f>IF(B85="Holiday",IF(Dashboard!$B$14="Principal Only",MIN(Dashboard!$B$15,C85),0),0)</x:f>
      </x:c>
      <x:c r="G85" s="32" t="n">
        <x:f>IF(B85="Closed",0,IF(B85="Holiday",IF(Dashboard!$B$14="Interest Only",C85*Dashboard!$F$6,MAX(0,(C85-F85)*Dashboard!$F$6)),E85*Dashboard!$F$6))</x:f>
        <x:v>17621.25</x:v>
      </x:c>
      <x:c r="H85" s="32" t="n">
        <x:f>IF(B85="Holiday",IF(Dashboard!$B$14="Interest Only",G85,F85),IF(B85="Closed",0,MIN(Dashboard!$F$10,E85+G85)))</x:f>
        <x:v>0</x:v>
      </x:c>
      <x:c r="I85" s="32" t="n">
        <x:f>IF(B85="Holiday",F85,IF(B85="Closed",0,MAX(0,H85-G85)))</x:f>
        <x:v>0</x:v>
      </x:c>
      <x:c r="J85" s="32" t="n">
        <x:f>IF(B85="Holiday",MAX(0,C85-F85),IF(B85="Closed",0,MAX(0,E85-I85)))</x:f>
        <x:v>2349500</x:v>
      </x:c>
      <x:c r="K85" s="32" t="n">
        <x:f>IF(B85="Holiday",IF(Dashboard!$B$14="Interest Only",D85,D85+G85),0)</x:f>
        <x:v>0</x:v>
      </x:c>
      <x:c r="L85" s="32" t="n">
        <x:f>J85+K85</x:f>
        <x:v>2349500</x:v>
      </x:c>
      <x:c r="M85" s="32" t="n">
        <x:f>IF(A85=1,H85,M84+H85)</x:f>
        <x:v>0</x:v>
      </x:c>
      <x:c r="N85" s="32" t="n">
        <x:f>IF(A85=1,I85,N84+I85)</x:f>
        <x:v>0</x:v>
      </x:c>
      <x:c r="O85" s="32" t="n">
        <x:f>IF(A85=1,G85,O84+G85)</x:f>
        <x:v>1345320</x:v>
      </x:c>
      <x:c r="P85" s="37" t="n">
        <x:f>EDATE(Dashboard!$B$10,A85)</x:f>
        <x:v>47574</x:v>
      </x:c>
    </x:row>
    <x:row r="86">
      <x:c r="A86" s="33" t="n">
        <x:v>85</x:v>
      </x:c>
      <x:c r="B86" s="33" t="str">
        <x:f>IF(A86&lt;=Dashboard!$F$8,"Holiday",IF(A86&lt;=Dashboard!$F$8+Dashboard!$F$7,"Repayment","Closed"))</x:f>
        <x:v>Repayment</x:v>
      </x:c>
      <x:c r="C86" s="32" t="n">
        <x:f>IF(A86=1,Dashboard!$B$6,IF(B86="Holiday",J85,L85))</x:f>
        <x:v>2349500</x:v>
      </x:c>
      <x:c r="D86" s="32" t="n">
        <x:f>IF(A86=1,0,IF(B86="Holiday",K85,0))</x:f>
        <x:v>0</x:v>
      </x:c>
      <x:c r="E86" s="32" t="n">
        <x:f>C86+D86</x:f>
        <x:v>2349500</x:v>
      </x:c>
      <x:c r="F86" s="32">
        <x:f>IF(B86="Holiday",IF(Dashboard!$B$14="Principal Only",MIN(Dashboard!$B$15,C86),0),0)</x:f>
      </x:c>
      <x:c r="G86" s="32" t="n">
        <x:f>IF(B86="Closed",0,IF(B86="Holiday",IF(Dashboard!$B$14="Interest Only",C86*Dashboard!$F$6,MAX(0,(C86-F86)*Dashboard!$F$6)),E86*Dashboard!$F$6))</x:f>
        <x:v>17621.25</x:v>
      </x:c>
      <x:c r="H86" s="32" t="n">
        <x:f>IF(B86="Holiday",IF(Dashboard!$B$14="Interest Only",G86,F86),IF(B86="Closed",0,MIN(Dashboard!$F$10,E86+G86)))</x:f>
        <x:v>0</x:v>
      </x:c>
      <x:c r="I86" s="32" t="n">
        <x:f>IF(B86="Holiday",F86,IF(B86="Closed",0,MAX(0,H86-G86)))</x:f>
        <x:v>0</x:v>
      </x:c>
      <x:c r="J86" s="32" t="n">
        <x:f>IF(B86="Holiday",MAX(0,C86-F86),IF(B86="Closed",0,MAX(0,E86-I86)))</x:f>
        <x:v>2349500</x:v>
      </x:c>
      <x:c r="K86" s="32" t="n">
        <x:f>IF(B86="Holiday",IF(Dashboard!$B$14="Interest Only",D86,D86+G86),0)</x:f>
        <x:v>0</x:v>
      </x:c>
      <x:c r="L86" s="32" t="n">
        <x:f>J86+K86</x:f>
        <x:v>2349500</x:v>
      </x:c>
      <x:c r="M86" s="32" t="n">
        <x:f>IF(A86=1,H86,M85+H86)</x:f>
        <x:v>0</x:v>
      </x:c>
      <x:c r="N86" s="32" t="n">
        <x:f>IF(A86=1,I86,N85+I86)</x:f>
        <x:v>0</x:v>
      </x:c>
      <x:c r="O86" s="32" t="n">
        <x:f>IF(A86=1,G86,O85+G86)</x:f>
        <x:v>1362941.25</x:v>
      </x:c>
      <x:c r="P86" s="37" t="n">
        <x:f>EDATE(Dashboard!$B$10,A86)</x:f>
        <x:v>47604</x:v>
      </x:c>
    </x:row>
    <x:row r="87">
      <x:c r="A87" s="33" t="n">
        <x:v>86</x:v>
      </x:c>
      <x:c r="B87" s="33" t="str">
        <x:f>IF(A87&lt;=Dashboard!$F$8,"Holiday",IF(A87&lt;=Dashboard!$F$8+Dashboard!$F$7,"Repayment","Closed"))</x:f>
        <x:v>Repayment</x:v>
      </x:c>
      <x:c r="C87" s="32" t="n">
        <x:f>IF(A87=1,Dashboard!$B$6,IF(B87="Holiday",J86,L86))</x:f>
        <x:v>2349500</x:v>
      </x:c>
      <x:c r="D87" s="32" t="n">
        <x:f>IF(A87=1,0,IF(B87="Holiday",K86,0))</x:f>
        <x:v>0</x:v>
      </x:c>
      <x:c r="E87" s="32" t="n">
        <x:f>C87+D87</x:f>
        <x:v>2349500</x:v>
      </x:c>
      <x:c r="F87" s="32">
        <x:f>IF(B87="Holiday",IF(Dashboard!$B$14="Principal Only",MIN(Dashboard!$B$15,C87),0),0)</x:f>
      </x:c>
      <x:c r="G87" s="32" t="n">
        <x:f>IF(B87="Closed",0,IF(B87="Holiday",IF(Dashboard!$B$14="Interest Only",C87*Dashboard!$F$6,MAX(0,(C87-F87)*Dashboard!$F$6)),E87*Dashboard!$F$6))</x:f>
        <x:v>17621.25</x:v>
      </x:c>
      <x:c r="H87" s="32" t="n">
        <x:f>IF(B87="Holiday",IF(Dashboard!$B$14="Interest Only",G87,F87),IF(B87="Closed",0,MIN(Dashboard!$F$10,E87+G87)))</x:f>
        <x:v>0</x:v>
      </x:c>
      <x:c r="I87" s="32" t="n">
        <x:f>IF(B87="Holiday",F87,IF(B87="Closed",0,MAX(0,H87-G87)))</x:f>
        <x:v>0</x:v>
      </x:c>
      <x:c r="J87" s="32" t="n">
        <x:f>IF(B87="Holiday",MAX(0,C87-F87),IF(B87="Closed",0,MAX(0,E87-I87)))</x:f>
        <x:v>2349500</x:v>
      </x:c>
      <x:c r="K87" s="32" t="n">
        <x:f>IF(B87="Holiday",IF(Dashboard!$B$14="Interest Only",D87,D87+G87),0)</x:f>
        <x:v>0</x:v>
      </x:c>
      <x:c r="L87" s="32" t="n">
        <x:f>J87+K87</x:f>
        <x:v>2349500</x:v>
      </x:c>
      <x:c r="M87" s="32" t="n">
        <x:f>IF(A87=1,H87,M86+H87)</x:f>
        <x:v>0</x:v>
      </x:c>
      <x:c r="N87" s="32" t="n">
        <x:f>IF(A87=1,I87,N86+I87)</x:f>
        <x:v>0</x:v>
      </x:c>
      <x:c r="O87" s="32" t="n">
        <x:f>IF(A87=1,G87,O86+G87)</x:f>
        <x:v>1380562.5</x:v>
      </x:c>
      <x:c r="P87" s="37" t="n">
        <x:f>EDATE(Dashboard!$B$10,A87)</x:f>
        <x:v>47635</x:v>
      </x:c>
    </x:row>
    <x:row r="88">
      <x:c r="A88" s="33" t="n">
        <x:v>87</x:v>
      </x:c>
      <x:c r="B88" s="33" t="str">
        <x:f>IF(A88&lt;=Dashboard!$F$8,"Holiday",IF(A88&lt;=Dashboard!$F$8+Dashboard!$F$7,"Repayment","Closed"))</x:f>
        <x:v>Repayment</x:v>
      </x:c>
      <x:c r="C88" s="32" t="n">
        <x:f>IF(A88=1,Dashboard!$B$6,IF(B88="Holiday",J87,L87))</x:f>
        <x:v>2349500</x:v>
      </x:c>
      <x:c r="D88" s="32" t="n">
        <x:f>IF(A88=1,0,IF(B88="Holiday",K87,0))</x:f>
        <x:v>0</x:v>
      </x:c>
      <x:c r="E88" s="32" t="n">
        <x:f>C88+D88</x:f>
        <x:v>2349500</x:v>
      </x:c>
      <x:c r="F88" s="32">
        <x:f>IF(B88="Holiday",IF(Dashboard!$B$14="Principal Only",MIN(Dashboard!$B$15,C88),0),0)</x:f>
      </x:c>
      <x:c r="G88" s="32" t="n">
        <x:f>IF(B88="Closed",0,IF(B88="Holiday",IF(Dashboard!$B$14="Interest Only",C88*Dashboard!$F$6,MAX(0,(C88-F88)*Dashboard!$F$6)),E88*Dashboard!$F$6))</x:f>
        <x:v>17621.25</x:v>
      </x:c>
      <x:c r="H88" s="32" t="n">
        <x:f>IF(B88="Holiday",IF(Dashboard!$B$14="Interest Only",G88,F88),IF(B88="Closed",0,MIN(Dashboard!$F$10,E88+G88)))</x:f>
        <x:v>0</x:v>
      </x:c>
      <x:c r="I88" s="32" t="n">
        <x:f>IF(B88="Holiday",F88,IF(B88="Closed",0,MAX(0,H88-G88)))</x:f>
        <x:v>0</x:v>
      </x:c>
      <x:c r="J88" s="32" t="n">
        <x:f>IF(B88="Holiday",MAX(0,C88-F88),IF(B88="Closed",0,MAX(0,E88-I88)))</x:f>
        <x:v>2349500</x:v>
      </x:c>
      <x:c r="K88" s="32" t="n">
        <x:f>IF(B88="Holiday",IF(Dashboard!$B$14="Interest Only",D88,D88+G88),0)</x:f>
        <x:v>0</x:v>
      </x:c>
      <x:c r="L88" s="32" t="n">
        <x:f>J88+K88</x:f>
        <x:v>2349500</x:v>
      </x:c>
      <x:c r="M88" s="32" t="n">
        <x:f>IF(A88=1,H88,M87+H88)</x:f>
        <x:v>0</x:v>
      </x:c>
      <x:c r="N88" s="32" t="n">
        <x:f>IF(A88=1,I88,N87+I88)</x:f>
        <x:v>0</x:v>
      </x:c>
      <x:c r="O88" s="32" t="n">
        <x:f>IF(A88=1,G88,O87+G88)</x:f>
        <x:v>1398183.75</x:v>
      </x:c>
      <x:c r="P88" s="37" t="n">
        <x:f>EDATE(Dashboard!$B$10,A88)</x:f>
        <x:v>47665</x:v>
      </x:c>
    </x:row>
    <x:row r="89">
      <x:c r="A89" s="33" t="n">
        <x:v>88</x:v>
      </x:c>
      <x:c r="B89" s="33" t="str">
        <x:f>IF(A89&lt;=Dashboard!$F$8,"Holiday",IF(A89&lt;=Dashboard!$F$8+Dashboard!$F$7,"Repayment","Closed"))</x:f>
        <x:v>Repayment</x:v>
      </x:c>
      <x:c r="C89" s="32" t="n">
        <x:f>IF(A89=1,Dashboard!$B$6,IF(B89="Holiday",J88,L88))</x:f>
        <x:v>2349500</x:v>
      </x:c>
      <x:c r="D89" s="32" t="n">
        <x:f>IF(A89=1,0,IF(B89="Holiday",K88,0))</x:f>
        <x:v>0</x:v>
      </x:c>
      <x:c r="E89" s="32" t="n">
        <x:f>C89+D89</x:f>
        <x:v>2349500</x:v>
      </x:c>
      <x:c r="F89" s="32">
        <x:f>IF(B89="Holiday",IF(Dashboard!$B$14="Principal Only",MIN(Dashboard!$B$15,C89),0),0)</x:f>
      </x:c>
      <x:c r="G89" s="32" t="n">
        <x:f>IF(B89="Closed",0,IF(B89="Holiday",IF(Dashboard!$B$14="Interest Only",C89*Dashboard!$F$6,MAX(0,(C89-F89)*Dashboard!$F$6)),E89*Dashboard!$F$6))</x:f>
        <x:v>17621.25</x:v>
      </x:c>
      <x:c r="H89" s="32" t="n">
        <x:f>IF(B89="Holiday",IF(Dashboard!$B$14="Interest Only",G89,F89),IF(B89="Closed",0,MIN(Dashboard!$F$10,E89+G89)))</x:f>
        <x:v>0</x:v>
      </x:c>
      <x:c r="I89" s="32" t="n">
        <x:f>IF(B89="Holiday",F89,IF(B89="Closed",0,MAX(0,H89-G89)))</x:f>
        <x:v>0</x:v>
      </x:c>
      <x:c r="J89" s="32" t="n">
        <x:f>IF(B89="Holiday",MAX(0,C89-F89),IF(B89="Closed",0,MAX(0,E89-I89)))</x:f>
        <x:v>2349500</x:v>
      </x:c>
      <x:c r="K89" s="32" t="n">
        <x:f>IF(B89="Holiday",IF(Dashboard!$B$14="Interest Only",D89,D89+G89),0)</x:f>
        <x:v>0</x:v>
      </x:c>
      <x:c r="L89" s="32" t="n">
        <x:f>J89+K89</x:f>
        <x:v>2349500</x:v>
      </x:c>
      <x:c r="M89" s="32" t="n">
        <x:f>IF(A89=1,H89,M88+H89)</x:f>
        <x:v>0</x:v>
      </x:c>
      <x:c r="N89" s="32" t="n">
        <x:f>IF(A89=1,I89,N88+I89)</x:f>
        <x:v>0</x:v>
      </x:c>
      <x:c r="O89" s="32" t="n">
        <x:f>IF(A89=1,G89,O88+G89)</x:f>
        <x:v>1415805</x:v>
      </x:c>
      <x:c r="P89" s="37" t="n">
        <x:f>EDATE(Dashboard!$B$10,A89)</x:f>
        <x:v>47696</x:v>
      </x:c>
    </x:row>
    <x:row r="90">
      <x:c r="A90" s="33" t="n">
        <x:v>89</x:v>
      </x:c>
      <x:c r="B90" s="33" t="str">
        <x:f>IF(A90&lt;=Dashboard!$F$8,"Holiday",IF(A90&lt;=Dashboard!$F$8+Dashboard!$F$7,"Repayment","Closed"))</x:f>
        <x:v>Repayment</x:v>
      </x:c>
      <x:c r="C90" s="32" t="n">
        <x:f>IF(A90=1,Dashboard!$B$6,IF(B90="Holiday",J89,L89))</x:f>
        <x:v>2349500</x:v>
      </x:c>
      <x:c r="D90" s="32" t="n">
        <x:f>IF(A90=1,0,IF(B90="Holiday",K89,0))</x:f>
        <x:v>0</x:v>
      </x:c>
      <x:c r="E90" s="32" t="n">
        <x:f>C90+D90</x:f>
        <x:v>2349500</x:v>
      </x:c>
      <x:c r="F90" s="32">
        <x:f>IF(B90="Holiday",IF(Dashboard!$B$14="Principal Only",MIN(Dashboard!$B$15,C90),0),0)</x:f>
      </x:c>
      <x:c r="G90" s="32" t="n">
        <x:f>IF(B90="Closed",0,IF(B90="Holiday",IF(Dashboard!$B$14="Interest Only",C90*Dashboard!$F$6,MAX(0,(C90-F90)*Dashboard!$F$6)),E90*Dashboard!$F$6))</x:f>
        <x:v>17621.25</x:v>
      </x:c>
      <x:c r="H90" s="32" t="n">
        <x:f>IF(B90="Holiday",IF(Dashboard!$B$14="Interest Only",G90,F90),IF(B90="Closed",0,MIN(Dashboard!$F$10,E90+G90)))</x:f>
        <x:v>0</x:v>
      </x:c>
      <x:c r="I90" s="32" t="n">
        <x:f>IF(B90="Holiday",F90,IF(B90="Closed",0,MAX(0,H90-G90)))</x:f>
        <x:v>0</x:v>
      </x:c>
      <x:c r="J90" s="32" t="n">
        <x:f>IF(B90="Holiday",MAX(0,C90-F90),IF(B90="Closed",0,MAX(0,E90-I90)))</x:f>
        <x:v>2349500</x:v>
      </x:c>
      <x:c r="K90" s="32" t="n">
        <x:f>IF(B90="Holiday",IF(Dashboard!$B$14="Interest Only",D90,D90+G90),0)</x:f>
        <x:v>0</x:v>
      </x:c>
      <x:c r="L90" s="32" t="n">
        <x:f>J90+K90</x:f>
        <x:v>2349500</x:v>
      </x:c>
      <x:c r="M90" s="32" t="n">
        <x:f>IF(A90=1,H90,M89+H90)</x:f>
        <x:v>0</x:v>
      </x:c>
      <x:c r="N90" s="32" t="n">
        <x:f>IF(A90=1,I90,N89+I90)</x:f>
        <x:v>0</x:v>
      </x:c>
      <x:c r="O90" s="32" t="n">
        <x:f>IF(A90=1,G90,O89+G90)</x:f>
        <x:v>1433426.25</x:v>
      </x:c>
      <x:c r="P90" s="37" t="n">
        <x:f>EDATE(Dashboard!$B$10,A90)</x:f>
        <x:v>47727</x:v>
      </x:c>
    </x:row>
    <x:row r="91">
      <x:c r="A91" s="33" t="n">
        <x:v>90</x:v>
      </x:c>
      <x:c r="B91" s="33" t="str">
        <x:f>IF(A91&lt;=Dashboard!$F$8,"Holiday",IF(A91&lt;=Dashboard!$F$8+Dashboard!$F$7,"Repayment","Closed"))</x:f>
        <x:v>Repayment</x:v>
      </x:c>
      <x:c r="C91" s="32" t="n">
        <x:f>IF(A91=1,Dashboard!$B$6,IF(B91="Holiday",J90,L90))</x:f>
        <x:v>2349500</x:v>
      </x:c>
      <x:c r="D91" s="32" t="n">
        <x:f>IF(A91=1,0,IF(B91="Holiday",K90,0))</x:f>
        <x:v>0</x:v>
      </x:c>
      <x:c r="E91" s="32" t="n">
        <x:f>C91+D91</x:f>
        <x:v>2349500</x:v>
      </x:c>
      <x:c r="F91" s="32">
        <x:f>IF(B91="Holiday",IF(Dashboard!$B$14="Principal Only",MIN(Dashboard!$B$15,C91),0),0)</x:f>
      </x:c>
      <x:c r="G91" s="32" t="n">
        <x:f>IF(B91="Closed",0,IF(B91="Holiday",IF(Dashboard!$B$14="Interest Only",C91*Dashboard!$F$6,MAX(0,(C91-F91)*Dashboard!$F$6)),E91*Dashboard!$F$6))</x:f>
        <x:v>17621.25</x:v>
      </x:c>
      <x:c r="H91" s="32" t="n">
        <x:f>IF(B91="Holiday",IF(Dashboard!$B$14="Interest Only",G91,F91),IF(B91="Closed",0,MIN(Dashboard!$F$10,E91+G91)))</x:f>
        <x:v>0</x:v>
      </x:c>
      <x:c r="I91" s="32" t="n">
        <x:f>IF(B91="Holiday",F91,IF(B91="Closed",0,MAX(0,H91-G91)))</x:f>
        <x:v>0</x:v>
      </x:c>
      <x:c r="J91" s="32" t="n">
        <x:f>IF(B91="Holiday",MAX(0,C91-F91),IF(B91="Closed",0,MAX(0,E91-I91)))</x:f>
        <x:v>2349500</x:v>
      </x:c>
      <x:c r="K91" s="32" t="n">
        <x:f>IF(B91="Holiday",IF(Dashboard!$B$14="Interest Only",D91,D91+G91),0)</x:f>
        <x:v>0</x:v>
      </x:c>
      <x:c r="L91" s="32" t="n">
        <x:f>J91+K91</x:f>
        <x:v>2349500</x:v>
      </x:c>
      <x:c r="M91" s="32" t="n">
        <x:f>IF(A91=1,H91,M90+H91)</x:f>
        <x:v>0</x:v>
      </x:c>
      <x:c r="N91" s="32" t="n">
        <x:f>IF(A91=1,I91,N90+I91)</x:f>
        <x:v>0</x:v>
      </x:c>
      <x:c r="O91" s="32" t="n">
        <x:f>IF(A91=1,G91,O90+G91)</x:f>
        <x:v>1451047.5</x:v>
      </x:c>
      <x:c r="P91" s="37" t="n">
        <x:f>EDATE(Dashboard!$B$10,A91)</x:f>
        <x:v>47757</x:v>
      </x:c>
    </x:row>
    <x:row r="92">
      <x:c r="A92" s="33" t="n">
        <x:v>91</x:v>
      </x:c>
      <x:c r="B92" s="33" t="str">
        <x:f>IF(A92&lt;=Dashboard!$F$8,"Holiday",IF(A92&lt;=Dashboard!$F$8+Dashboard!$F$7,"Repayment","Closed"))</x:f>
        <x:v>Repayment</x:v>
      </x:c>
      <x:c r="C92" s="32" t="n">
        <x:f>IF(A92=1,Dashboard!$B$6,IF(B92="Holiday",J91,L91))</x:f>
        <x:v>2349500</x:v>
      </x:c>
      <x:c r="D92" s="32" t="n">
        <x:f>IF(A92=1,0,IF(B92="Holiday",K91,0))</x:f>
        <x:v>0</x:v>
      </x:c>
      <x:c r="E92" s="32" t="n">
        <x:f>C92+D92</x:f>
        <x:v>2349500</x:v>
      </x:c>
      <x:c r="F92" s="32">
        <x:f>IF(B92="Holiday",IF(Dashboard!$B$14="Principal Only",MIN(Dashboard!$B$15,C92),0),0)</x:f>
      </x:c>
      <x:c r="G92" s="32" t="n">
        <x:f>IF(B92="Closed",0,IF(B92="Holiday",IF(Dashboard!$B$14="Interest Only",C92*Dashboard!$F$6,MAX(0,(C92-F92)*Dashboard!$F$6)),E92*Dashboard!$F$6))</x:f>
        <x:v>17621.25</x:v>
      </x:c>
      <x:c r="H92" s="32" t="n">
        <x:f>IF(B92="Holiday",IF(Dashboard!$B$14="Interest Only",G92,F92),IF(B92="Closed",0,MIN(Dashboard!$F$10,E92+G92)))</x:f>
        <x:v>0</x:v>
      </x:c>
      <x:c r="I92" s="32" t="n">
        <x:f>IF(B92="Holiday",F92,IF(B92="Closed",0,MAX(0,H92-G92)))</x:f>
        <x:v>0</x:v>
      </x:c>
      <x:c r="J92" s="32" t="n">
        <x:f>IF(B92="Holiday",MAX(0,C92-F92),IF(B92="Closed",0,MAX(0,E92-I92)))</x:f>
        <x:v>2349500</x:v>
      </x:c>
      <x:c r="K92" s="32" t="n">
        <x:f>IF(B92="Holiday",IF(Dashboard!$B$14="Interest Only",D92,D92+G92),0)</x:f>
        <x:v>0</x:v>
      </x:c>
      <x:c r="L92" s="32" t="n">
        <x:f>J92+K92</x:f>
        <x:v>2349500</x:v>
      </x:c>
      <x:c r="M92" s="32" t="n">
        <x:f>IF(A92=1,H92,M91+H92)</x:f>
        <x:v>0</x:v>
      </x:c>
      <x:c r="N92" s="32" t="n">
        <x:f>IF(A92=1,I92,N91+I92)</x:f>
        <x:v>0</x:v>
      </x:c>
      <x:c r="O92" s="32" t="n">
        <x:f>IF(A92=1,G92,O91+G92)</x:f>
        <x:v>1468668.75</x:v>
      </x:c>
      <x:c r="P92" s="37" t="n">
        <x:f>EDATE(Dashboard!$B$10,A92)</x:f>
        <x:v>47788</x:v>
      </x:c>
    </x:row>
    <x:row r="93">
      <x:c r="A93" s="33" t="n">
        <x:v>92</x:v>
      </x:c>
      <x:c r="B93" s="33" t="str">
        <x:f>IF(A93&lt;=Dashboard!$F$8,"Holiday",IF(A93&lt;=Dashboard!$F$8+Dashboard!$F$7,"Repayment","Closed"))</x:f>
        <x:v>Repayment</x:v>
      </x:c>
      <x:c r="C93" s="32" t="n">
        <x:f>IF(A93=1,Dashboard!$B$6,IF(B93="Holiday",J92,L92))</x:f>
        <x:v>2349500</x:v>
      </x:c>
      <x:c r="D93" s="32" t="n">
        <x:f>IF(A93=1,0,IF(B93="Holiday",K92,0))</x:f>
        <x:v>0</x:v>
      </x:c>
      <x:c r="E93" s="32" t="n">
        <x:f>C93+D93</x:f>
        <x:v>2349500</x:v>
      </x:c>
      <x:c r="F93" s="32">
        <x:f>IF(B93="Holiday",IF(Dashboard!$B$14="Principal Only",MIN(Dashboard!$B$15,C93),0),0)</x:f>
      </x:c>
      <x:c r="G93" s="32" t="n">
        <x:f>IF(B93="Closed",0,IF(B93="Holiday",IF(Dashboard!$B$14="Interest Only",C93*Dashboard!$F$6,MAX(0,(C93-F93)*Dashboard!$F$6)),E93*Dashboard!$F$6))</x:f>
        <x:v>17621.25</x:v>
      </x:c>
      <x:c r="H93" s="32" t="n">
        <x:f>IF(B93="Holiday",IF(Dashboard!$B$14="Interest Only",G93,F93),IF(B93="Closed",0,MIN(Dashboard!$F$10,E93+G93)))</x:f>
        <x:v>0</x:v>
      </x:c>
      <x:c r="I93" s="32" t="n">
        <x:f>IF(B93="Holiday",F93,IF(B93="Closed",0,MAX(0,H93-G93)))</x:f>
        <x:v>0</x:v>
      </x:c>
      <x:c r="J93" s="32" t="n">
        <x:f>IF(B93="Holiday",MAX(0,C93-F93),IF(B93="Closed",0,MAX(0,E93-I93)))</x:f>
        <x:v>2349500</x:v>
      </x:c>
      <x:c r="K93" s="32" t="n">
        <x:f>IF(B93="Holiday",IF(Dashboard!$B$14="Interest Only",D93,D93+G93),0)</x:f>
        <x:v>0</x:v>
      </x:c>
      <x:c r="L93" s="32" t="n">
        <x:f>J93+K93</x:f>
        <x:v>2349500</x:v>
      </x:c>
      <x:c r="M93" s="32" t="n">
        <x:f>IF(A93=1,H93,M92+H93)</x:f>
        <x:v>0</x:v>
      </x:c>
      <x:c r="N93" s="32" t="n">
        <x:f>IF(A93=1,I93,N92+I93)</x:f>
        <x:v>0</x:v>
      </x:c>
      <x:c r="O93" s="32" t="n">
        <x:f>IF(A93=1,G93,O92+G93)</x:f>
        <x:v>1486290</x:v>
      </x:c>
      <x:c r="P93" s="37" t="n">
        <x:f>EDATE(Dashboard!$B$10,A93)</x:f>
        <x:v>47818</x:v>
      </x:c>
    </x:row>
    <x:row r="94">
      <x:c r="A94" s="33" t="n">
        <x:v>93</x:v>
      </x:c>
      <x:c r="B94" s="33" t="str">
        <x:f>IF(A94&lt;=Dashboard!$F$8,"Holiday",IF(A94&lt;=Dashboard!$F$8+Dashboard!$F$7,"Repayment","Closed"))</x:f>
        <x:v>Repayment</x:v>
      </x:c>
      <x:c r="C94" s="32" t="n">
        <x:f>IF(A94=1,Dashboard!$B$6,IF(B94="Holiday",J93,L93))</x:f>
        <x:v>2349500</x:v>
      </x:c>
      <x:c r="D94" s="32" t="n">
        <x:f>IF(A94=1,0,IF(B94="Holiday",K93,0))</x:f>
        <x:v>0</x:v>
      </x:c>
      <x:c r="E94" s="32" t="n">
        <x:f>C94+D94</x:f>
        <x:v>2349500</x:v>
      </x:c>
      <x:c r="F94" s="32">
        <x:f>IF(B94="Holiday",IF(Dashboard!$B$14="Principal Only",MIN(Dashboard!$B$15,C94),0),0)</x:f>
      </x:c>
      <x:c r="G94" s="32" t="n">
        <x:f>IF(B94="Closed",0,IF(B94="Holiday",IF(Dashboard!$B$14="Interest Only",C94*Dashboard!$F$6,MAX(0,(C94-F94)*Dashboard!$F$6)),E94*Dashboard!$F$6))</x:f>
        <x:v>17621.25</x:v>
      </x:c>
      <x:c r="H94" s="32" t="n">
        <x:f>IF(B94="Holiday",IF(Dashboard!$B$14="Interest Only",G94,F94),IF(B94="Closed",0,MIN(Dashboard!$F$10,E94+G94)))</x:f>
        <x:v>0</x:v>
      </x:c>
      <x:c r="I94" s="32" t="n">
        <x:f>IF(B94="Holiday",F94,IF(B94="Closed",0,MAX(0,H94-G94)))</x:f>
        <x:v>0</x:v>
      </x:c>
      <x:c r="J94" s="32" t="n">
        <x:f>IF(B94="Holiday",MAX(0,C94-F94),IF(B94="Closed",0,MAX(0,E94-I94)))</x:f>
        <x:v>2349500</x:v>
      </x:c>
      <x:c r="K94" s="32" t="n">
        <x:f>IF(B94="Holiday",IF(Dashboard!$B$14="Interest Only",D94,D94+G94),0)</x:f>
        <x:v>0</x:v>
      </x:c>
      <x:c r="L94" s="32" t="n">
        <x:f>J94+K94</x:f>
        <x:v>2349500</x:v>
      </x:c>
      <x:c r="M94" s="32" t="n">
        <x:f>IF(A94=1,H94,M93+H94)</x:f>
        <x:v>0</x:v>
      </x:c>
      <x:c r="N94" s="32" t="n">
        <x:f>IF(A94=1,I94,N93+I94)</x:f>
        <x:v>0</x:v>
      </x:c>
      <x:c r="O94" s="32" t="n">
        <x:f>IF(A94=1,G94,O93+G94)</x:f>
        <x:v>1503911.25</x:v>
      </x:c>
      <x:c r="P94" s="37" t="n">
        <x:f>EDATE(Dashboard!$B$10,A94)</x:f>
        <x:v>47849</x:v>
      </x:c>
    </x:row>
    <x:row r="95">
      <x:c r="A95" s="33" t="n">
        <x:v>94</x:v>
      </x:c>
      <x:c r="B95" s="33" t="str">
        <x:f>IF(A95&lt;=Dashboard!$F$8,"Holiday",IF(A95&lt;=Dashboard!$F$8+Dashboard!$F$7,"Repayment","Closed"))</x:f>
        <x:v>Repayment</x:v>
      </x:c>
      <x:c r="C95" s="32" t="n">
        <x:f>IF(A95=1,Dashboard!$B$6,IF(B95="Holiday",J94,L94))</x:f>
        <x:v>2349500</x:v>
      </x:c>
      <x:c r="D95" s="32" t="n">
        <x:f>IF(A95=1,0,IF(B95="Holiday",K94,0))</x:f>
        <x:v>0</x:v>
      </x:c>
      <x:c r="E95" s="32" t="n">
        <x:f>C95+D95</x:f>
        <x:v>2349500</x:v>
      </x:c>
      <x:c r="F95" s="32">
        <x:f>IF(B95="Holiday",IF(Dashboard!$B$14="Principal Only",MIN(Dashboard!$B$15,C95),0),0)</x:f>
      </x:c>
      <x:c r="G95" s="32" t="n">
        <x:f>IF(B95="Closed",0,IF(B95="Holiday",IF(Dashboard!$B$14="Interest Only",C95*Dashboard!$F$6,MAX(0,(C95-F95)*Dashboard!$F$6)),E95*Dashboard!$F$6))</x:f>
        <x:v>17621.25</x:v>
      </x:c>
      <x:c r="H95" s="32" t="n">
        <x:f>IF(B95="Holiday",IF(Dashboard!$B$14="Interest Only",G95,F95),IF(B95="Closed",0,MIN(Dashboard!$F$10,E95+G95)))</x:f>
        <x:v>0</x:v>
      </x:c>
      <x:c r="I95" s="32" t="n">
        <x:f>IF(B95="Holiday",F95,IF(B95="Closed",0,MAX(0,H95-G95)))</x:f>
        <x:v>0</x:v>
      </x:c>
      <x:c r="J95" s="32" t="n">
        <x:f>IF(B95="Holiday",MAX(0,C95-F95),IF(B95="Closed",0,MAX(0,E95-I95)))</x:f>
        <x:v>2349500</x:v>
      </x:c>
      <x:c r="K95" s="32" t="n">
        <x:f>IF(B95="Holiday",IF(Dashboard!$B$14="Interest Only",D95,D95+G95),0)</x:f>
        <x:v>0</x:v>
      </x:c>
      <x:c r="L95" s="32" t="n">
        <x:f>J95+K95</x:f>
        <x:v>2349500</x:v>
      </x:c>
      <x:c r="M95" s="32" t="n">
        <x:f>IF(A95=1,H95,M94+H95)</x:f>
        <x:v>0</x:v>
      </x:c>
      <x:c r="N95" s="32" t="n">
        <x:f>IF(A95=1,I95,N94+I95)</x:f>
        <x:v>0</x:v>
      </x:c>
      <x:c r="O95" s="32" t="n">
        <x:f>IF(A95=1,G95,O94+G95)</x:f>
        <x:v>1521532.5</x:v>
      </x:c>
      <x:c r="P95" s="37" t="n">
        <x:f>EDATE(Dashboard!$B$10,A95)</x:f>
        <x:v>47880</x:v>
      </x:c>
    </x:row>
    <x:row r="96">
      <x:c r="A96" s="33" t="n">
        <x:v>95</x:v>
      </x:c>
      <x:c r="B96" s="33" t="str">
        <x:f>IF(A96&lt;=Dashboard!$F$8,"Holiday",IF(A96&lt;=Dashboard!$F$8+Dashboard!$F$7,"Repayment","Closed"))</x:f>
        <x:v>Repayment</x:v>
      </x:c>
      <x:c r="C96" s="32" t="n">
        <x:f>IF(A96=1,Dashboard!$B$6,IF(B96="Holiday",J95,L95))</x:f>
        <x:v>2349500</x:v>
      </x:c>
      <x:c r="D96" s="32" t="n">
        <x:f>IF(A96=1,0,IF(B96="Holiday",K95,0))</x:f>
        <x:v>0</x:v>
      </x:c>
      <x:c r="E96" s="32" t="n">
        <x:f>C96+D96</x:f>
        <x:v>2349500</x:v>
      </x:c>
      <x:c r="F96" s="32">
        <x:f>IF(B96="Holiday",IF(Dashboard!$B$14="Principal Only",MIN(Dashboard!$B$15,C96),0),0)</x:f>
      </x:c>
      <x:c r="G96" s="32" t="n">
        <x:f>IF(B96="Closed",0,IF(B96="Holiday",IF(Dashboard!$B$14="Interest Only",C96*Dashboard!$F$6,MAX(0,(C96-F96)*Dashboard!$F$6)),E96*Dashboard!$F$6))</x:f>
        <x:v>17621.25</x:v>
      </x:c>
      <x:c r="H96" s="32" t="n">
        <x:f>IF(B96="Holiday",IF(Dashboard!$B$14="Interest Only",G96,F96),IF(B96="Closed",0,MIN(Dashboard!$F$10,E96+G96)))</x:f>
        <x:v>0</x:v>
      </x:c>
      <x:c r="I96" s="32" t="n">
        <x:f>IF(B96="Holiday",F96,IF(B96="Closed",0,MAX(0,H96-G96)))</x:f>
        <x:v>0</x:v>
      </x:c>
      <x:c r="J96" s="32" t="n">
        <x:f>IF(B96="Holiday",MAX(0,C96-F96),IF(B96="Closed",0,MAX(0,E96-I96)))</x:f>
        <x:v>2349500</x:v>
      </x:c>
      <x:c r="K96" s="32" t="n">
        <x:f>IF(B96="Holiday",IF(Dashboard!$B$14="Interest Only",D96,D96+G96),0)</x:f>
        <x:v>0</x:v>
      </x:c>
      <x:c r="L96" s="32" t="n">
        <x:f>J96+K96</x:f>
        <x:v>2349500</x:v>
      </x:c>
      <x:c r="M96" s="32" t="n">
        <x:f>IF(A96=1,H96,M95+H96)</x:f>
        <x:v>0</x:v>
      </x:c>
      <x:c r="N96" s="32" t="n">
        <x:f>IF(A96=1,I96,N95+I96)</x:f>
        <x:v>0</x:v>
      </x:c>
      <x:c r="O96" s="32" t="n">
        <x:f>IF(A96=1,G96,O95+G96)</x:f>
        <x:v>1539153.75</x:v>
      </x:c>
      <x:c r="P96" s="37" t="n">
        <x:f>EDATE(Dashboard!$B$10,A96)</x:f>
        <x:v>47908</x:v>
      </x:c>
    </x:row>
    <x:row r="97">
      <x:c r="A97" s="33" t="n">
        <x:v>96</x:v>
      </x:c>
      <x:c r="B97" s="33" t="str">
        <x:f>IF(A97&lt;=Dashboard!$F$8,"Holiday",IF(A97&lt;=Dashboard!$F$8+Dashboard!$F$7,"Repayment","Closed"))</x:f>
        <x:v>Repayment</x:v>
      </x:c>
      <x:c r="C97" s="32" t="n">
        <x:f>IF(A97=1,Dashboard!$B$6,IF(B97="Holiday",J96,L96))</x:f>
        <x:v>2349500</x:v>
      </x:c>
      <x:c r="D97" s="32" t="n">
        <x:f>IF(A97=1,0,IF(B97="Holiday",K96,0))</x:f>
        <x:v>0</x:v>
      </x:c>
      <x:c r="E97" s="32" t="n">
        <x:f>C97+D97</x:f>
        <x:v>2349500</x:v>
      </x:c>
      <x:c r="F97" s="32">
        <x:f>IF(B97="Holiday",IF(Dashboard!$B$14="Principal Only",MIN(Dashboard!$B$15,C97),0),0)</x:f>
      </x:c>
      <x:c r="G97" s="32" t="n">
        <x:f>IF(B97="Closed",0,IF(B97="Holiday",IF(Dashboard!$B$14="Interest Only",C97*Dashboard!$F$6,MAX(0,(C97-F97)*Dashboard!$F$6)),E97*Dashboard!$F$6))</x:f>
        <x:v>17621.25</x:v>
      </x:c>
      <x:c r="H97" s="32" t="n">
        <x:f>IF(B97="Holiday",IF(Dashboard!$B$14="Interest Only",G97,F97),IF(B97="Closed",0,MIN(Dashboard!$F$10,E97+G97)))</x:f>
        <x:v>0</x:v>
      </x:c>
      <x:c r="I97" s="32" t="n">
        <x:f>IF(B97="Holiday",F97,IF(B97="Closed",0,MAX(0,H97-G97)))</x:f>
        <x:v>0</x:v>
      </x:c>
      <x:c r="J97" s="32" t="n">
        <x:f>IF(B97="Holiday",MAX(0,C97-F97),IF(B97="Closed",0,MAX(0,E97-I97)))</x:f>
        <x:v>2349500</x:v>
      </x:c>
      <x:c r="K97" s="32" t="n">
        <x:f>IF(B97="Holiday",IF(Dashboard!$B$14="Interest Only",D97,D97+G97),0)</x:f>
        <x:v>0</x:v>
      </x:c>
      <x:c r="L97" s="32" t="n">
        <x:f>J97+K97</x:f>
        <x:v>2349500</x:v>
      </x:c>
      <x:c r="M97" s="32" t="n">
        <x:f>IF(A97=1,H97,M96+H97)</x:f>
        <x:v>0</x:v>
      </x:c>
      <x:c r="N97" s="32" t="n">
        <x:f>IF(A97=1,I97,N96+I97)</x:f>
        <x:v>0</x:v>
      </x:c>
      <x:c r="O97" s="32" t="n">
        <x:f>IF(A97=1,G97,O96+G97)</x:f>
        <x:v>1556775</x:v>
      </x:c>
      <x:c r="P97" s="37" t="n">
        <x:f>EDATE(Dashboard!$B$10,A97)</x:f>
        <x:v>47939</x:v>
      </x:c>
    </x:row>
    <x:row r="98">
      <x:c r="A98" s="33" t="n">
        <x:v>97</x:v>
      </x:c>
      <x:c r="B98" s="33" t="str">
        <x:f>IF(A98&lt;=Dashboard!$F$8,"Holiday",IF(A98&lt;=Dashboard!$F$8+Dashboard!$F$7,"Repayment","Closed"))</x:f>
        <x:v>Repayment</x:v>
      </x:c>
      <x:c r="C98" s="32" t="n">
        <x:f>IF(A98=1,Dashboard!$B$6,IF(B98="Holiday",J97,L97))</x:f>
        <x:v>2349500</x:v>
      </x:c>
      <x:c r="D98" s="32" t="n">
        <x:f>IF(A98=1,0,IF(B98="Holiday",K97,0))</x:f>
        <x:v>0</x:v>
      </x:c>
      <x:c r="E98" s="32" t="n">
        <x:f>C98+D98</x:f>
        <x:v>2349500</x:v>
      </x:c>
      <x:c r="F98" s="32">
        <x:f>IF(B98="Holiday",IF(Dashboard!$B$14="Principal Only",MIN(Dashboard!$B$15,C98),0),0)</x:f>
      </x:c>
      <x:c r="G98" s="32" t="n">
        <x:f>IF(B98="Closed",0,IF(B98="Holiday",IF(Dashboard!$B$14="Interest Only",C98*Dashboard!$F$6,MAX(0,(C98-F98)*Dashboard!$F$6)),E98*Dashboard!$F$6))</x:f>
        <x:v>17621.25</x:v>
      </x:c>
      <x:c r="H98" s="32" t="n">
        <x:f>IF(B98="Holiday",IF(Dashboard!$B$14="Interest Only",G98,F98),IF(B98="Closed",0,MIN(Dashboard!$F$10,E98+G98)))</x:f>
        <x:v>0</x:v>
      </x:c>
      <x:c r="I98" s="32" t="n">
        <x:f>IF(B98="Holiday",F98,IF(B98="Closed",0,MAX(0,H98-G98)))</x:f>
        <x:v>0</x:v>
      </x:c>
      <x:c r="J98" s="32" t="n">
        <x:f>IF(B98="Holiday",MAX(0,C98-F98),IF(B98="Closed",0,MAX(0,E98-I98)))</x:f>
        <x:v>2349500</x:v>
      </x:c>
      <x:c r="K98" s="32" t="n">
        <x:f>IF(B98="Holiday",IF(Dashboard!$B$14="Interest Only",D98,D98+G98),0)</x:f>
        <x:v>0</x:v>
      </x:c>
      <x:c r="L98" s="32" t="n">
        <x:f>J98+K98</x:f>
        <x:v>2349500</x:v>
      </x:c>
      <x:c r="M98" s="32" t="n">
        <x:f>IF(A98=1,H98,M97+H98)</x:f>
        <x:v>0</x:v>
      </x:c>
      <x:c r="N98" s="32" t="n">
        <x:f>IF(A98=1,I98,N97+I98)</x:f>
        <x:v>0</x:v>
      </x:c>
      <x:c r="O98" s="32" t="n">
        <x:f>IF(A98=1,G98,O97+G98)</x:f>
        <x:v>1574396.25</x:v>
      </x:c>
      <x:c r="P98" s="37" t="n">
        <x:f>EDATE(Dashboard!$B$10,A98)</x:f>
        <x:v>47969</x:v>
      </x:c>
    </x:row>
    <x:row r="99">
      <x:c r="A99" s="33" t="n">
        <x:v>98</x:v>
      </x:c>
      <x:c r="B99" s="33" t="str">
        <x:f>IF(A99&lt;=Dashboard!$F$8,"Holiday",IF(A99&lt;=Dashboard!$F$8+Dashboard!$F$7,"Repayment","Closed"))</x:f>
        <x:v>Repayment</x:v>
      </x:c>
      <x:c r="C99" s="32" t="n">
        <x:f>IF(A99=1,Dashboard!$B$6,IF(B99="Holiday",J98,L98))</x:f>
        <x:v>2349500</x:v>
      </x:c>
      <x:c r="D99" s="32" t="n">
        <x:f>IF(A99=1,0,IF(B99="Holiday",K98,0))</x:f>
        <x:v>0</x:v>
      </x:c>
      <x:c r="E99" s="32" t="n">
        <x:f>C99+D99</x:f>
        <x:v>2349500</x:v>
      </x:c>
      <x:c r="F99" s="32">
        <x:f>IF(B99="Holiday",IF(Dashboard!$B$14="Principal Only",MIN(Dashboard!$B$15,C99),0),0)</x:f>
      </x:c>
      <x:c r="G99" s="32" t="n">
        <x:f>IF(B99="Closed",0,IF(B99="Holiday",IF(Dashboard!$B$14="Interest Only",C99*Dashboard!$F$6,MAX(0,(C99-F99)*Dashboard!$F$6)),E99*Dashboard!$F$6))</x:f>
        <x:v>17621.25</x:v>
      </x:c>
      <x:c r="H99" s="32" t="n">
        <x:f>IF(B99="Holiday",IF(Dashboard!$B$14="Interest Only",G99,F99),IF(B99="Closed",0,MIN(Dashboard!$F$10,E99+G99)))</x:f>
        <x:v>0</x:v>
      </x:c>
      <x:c r="I99" s="32" t="n">
        <x:f>IF(B99="Holiday",F99,IF(B99="Closed",0,MAX(0,H99-G99)))</x:f>
        <x:v>0</x:v>
      </x:c>
      <x:c r="J99" s="32" t="n">
        <x:f>IF(B99="Holiday",MAX(0,C99-F99),IF(B99="Closed",0,MAX(0,E99-I99)))</x:f>
        <x:v>2349500</x:v>
      </x:c>
      <x:c r="K99" s="32" t="n">
        <x:f>IF(B99="Holiday",IF(Dashboard!$B$14="Interest Only",D99,D99+G99),0)</x:f>
        <x:v>0</x:v>
      </x:c>
      <x:c r="L99" s="32" t="n">
        <x:f>J99+K99</x:f>
        <x:v>2349500</x:v>
      </x:c>
      <x:c r="M99" s="32" t="n">
        <x:f>IF(A99=1,H99,M98+H99)</x:f>
        <x:v>0</x:v>
      </x:c>
      <x:c r="N99" s="32" t="n">
        <x:f>IF(A99=1,I99,N98+I99)</x:f>
        <x:v>0</x:v>
      </x:c>
      <x:c r="O99" s="32" t="n">
        <x:f>IF(A99=1,G99,O98+G99)</x:f>
        <x:v>1592017.5</x:v>
      </x:c>
      <x:c r="P99" s="37" t="n">
        <x:f>EDATE(Dashboard!$B$10,A99)</x:f>
        <x:v>48000</x:v>
      </x:c>
    </x:row>
    <x:row r="100">
      <x:c r="A100" s="33" t="n">
        <x:v>99</x:v>
      </x:c>
      <x:c r="B100" s="33" t="str">
        <x:f>IF(A100&lt;=Dashboard!$F$8,"Holiday",IF(A100&lt;=Dashboard!$F$8+Dashboard!$F$7,"Repayment","Closed"))</x:f>
        <x:v>Repayment</x:v>
      </x:c>
      <x:c r="C100" s="32" t="n">
        <x:f>IF(A100=1,Dashboard!$B$6,IF(B100="Holiday",J99,L99))</x:f>
        <x:v>2349500</x:v>
      </x:c>
      <x:c r="D100" s="32" t="n">
        <x:f>IF(A100=1,0,IF(B100="Holiday",K99,0))</x:f>
        <x:v>0</x:v>
      </x:c>
      <x:c r="E100" s="32" t="n">
        <x:f>C100+D100</x:f>
        <x:v>2349500</x:v>
      </x:c>
      <x:c r="F100" s="32">
        <x:f>IF(B100="Holiday",IF(Dashboard!$B$14="Principal Only",MIN(Dashboard!$B$15,C100),0),0)</x:f>
      </x:c>
      <x:c r="G100" s="32" t="n">
        <x:f>IF(B100="Closed",0,IF(B100="Holiday",IF(Dashboard!$B$14="Interest Only",C100*Dashboard!$F$6,MAX(0,(C100-F100)*Dashboard!$F$6)),E100*Dashboard!$F$6))</x:f>
        <x:v>17621.25</x:v>
      </x:c>
      <x:c r="H100" s="32" t="n">
        <x:f>IF(B100="Holiday",IF(Dashboard!$B$14="Interest Only",G100,F100),IF(B100="Closed",0,MIN(Dashboard!$F$10,E100+G100)))</x:f>
        <x:v>0</x:v>
      </x:c>
      <x:c r="I100" s="32" t="n">
        <x:f>IF(B100="Holiday",F100,IF(B100="Closed",0,MAX(0,H100-G100)))</x:f>
        <x:v>0</x:v>
      </x:c>
      <x:c r="J100" s="32" t="n">
        <x:f>IF(B100="Holiday",MAX(0,C100-F100),IF(B100="Closed",0,MAX(0,E100-I100)))</x:f>
        <x:v>2349500</x:v>
      </x:c>
      <x:c r="K100" s="32" t="n">
        <x:f>IF(B100="Holiday",IF(Dashboard!$B$14="Interest Only",D100,D100+G100),0)</x:f>
        <x:v>0</x:v>
      </x:c>
      <x:c r="L100" s="32" t="n">
        <x:f>J100+K100</x:f>
        <x:v>2349500</x:v>
      </x:c>
      <x:c r="M100" s="32" t="n">
        <x:f>IF(A100=1,H100,M99+H100)</x:f>
        <x:v>0</x:v>
      </x:c>
      <x:c r="N100" s="32" t="n">
        <x:f>IF(A100=1,I100,N99+I100)</x:f>
        <x:v>0</x:v>
      </x:c>
      <x:c r="O100" s="32" t="n">
        <x:f>IF(A100=1,G100,O99+G100)</x:f>
        <x:v>1609638.75</x:v>
      </x:c>
      <x:c r="P100" s="37" t="n">
        <x:f>EDATE(Dashboard!$B$10,A100)</x:f>
        <x:v>48030</x:v>
      </x:c>
    </x:row>
    <x:row r="101">
      <x:c r="A101" s="33" t="n">
        <x:v>100</x:v>
      </x:c>
      <x:c r="B101" s="33" t="str">
        <x:f>IF(A101&lt;=Dashboard!$F$8,"Holiday",IF(A101&lt;=Dashboard!$F$8+Dashboard!$F$7,"Repayment","Closed"))</x:f>
        <x:v>Repayment</x:v>
      </x:c>
      <x:c r="C101" s="32" t="n">
        <x:f>IF(A101=1,Dashboard!$B$6,IF(B101="Holiday",J100,L100))</x:f>
        <x:v>2349500</x:v>
      </x:c>
      <x:c r="D101" s="32" t="n">
        <x:f>IF(A101=1,0,IF(B101="Holiday",K100,0))</x:f>
        <x:v>0</x:v>
      </x:c>
      <x:c r="E101" s="32" t="n">
        <x:f>C101+D101</x:f>
        <x:v>2349500</x:v>
      </x:c>
      <x:c r="F101" s="32">
        <x:f>IF(B101="Holiday",IF(Dashboard!$B$14="Principal Only",MIN(Dashboard!$B$15,C101),0),0)</x:f>
      </x:c>
      <x:c r="G101" s="32" t="n">
        <x:f>IF(B101="Closed",0,IF(B101="Holiday",IF(Dashboard!$B$14="Interest Only",C101*Dashboard!$F$6,MAX(0,(C101-F101)*Dashboard!$F$6)),E101*Dashboard!$F$6))</x:f>
        <x:v>17621.25</x:v>
      </x:c>
      <x:c r="H101" s="32" t="n">
        <x:f>IF(B101="Holiday",IF(Dashboard!$B$14="Interest Only",G101,F101),IF(B101="Closed",0,MIN(Dashboard!$F$10,E101+G101)))</x:f>
        <x:v>0</x:v>
      </x:c>
      <x:c r="I101" s="32" t="n">
        <x:f>IF(B101="Holiday",F101,IF(B101="Closed",0,MAX(0,H101-G101)))</x:f>
        <x:v>0</x:v>
      </x:c>
      <x:c r="J101" s="32" t="n">
        <x:f>IF(B101="Holiday",MAX(0,C101-F101),IF(B101="Closed",0,MAX(0,E101-I101)))</x:f>
        <x:v>2349500</x:v>
      </x:c>
      <x:c r="K101" s="32" t="n">
        <x:f>IF(B101="Holiday",IF(Dashboard!$B$14="Interest Only",D101,D101+G101),0)</x:f>
        <x:v>0</x:v>
      </x:c>
      <x:c r="L101" s="32" t="n">
        <x:f>J101+K101</x:f>
        <x:v>2349500</x:v>
      </x:c>
      <x:c r="M101" s="32" t="n">
        <x:f>IF(A101=1,H101,M100+H101)</x:f>
        <x:v>0</x:v>
      </x:c>
      <x:c r="N101" s="32" t="n">
        <x:f>IF(A101=1,I101,N100+I101)</x:f>
        <x:v>0</x:v>
      </x:c>
      <x:c r="O101" s="32" t="n">
        <x:f>IF(A101=1,G101,O100+G101)</x:f>
        <x:v>1627260</x:v>
      </x:c>
      <x:c r="P101" s="37" t="n">
        <x:f>EDATE(Dashboard!$B$10,A101)</x:f>
        <x:v>48061</x:v>
      </x:c>
    </x:row>
    <x:row r="102">
      <x:c r="A102" s="33" t="n">
        <x:v>101</x:v>
      </x:c>
      <x:c r="B102" s="33" t="str">
        <x:f>IF(A102&lt;=Dashboard!$F$8,"Holiday",IF(A102&lt;=Dashboard!$F$8+Dashboard!$F$7,"Repayment","Closed"))</x:f>
        <x:v>Repayment</x:v>
      </x:c>
      <x:c r="C102" s="32" t="n">
        <x:f>IF(A102=1,Dashboard!$B$6,IF(B102="Holiday",J101,L101))</x:f>
        <x:v>2349500</x:v>
      </x:c>
      <x:c r="D102" s="32" t="n">
        <x:f>IF(A102=1,0,IF(B102="Holiday",K101,0))</x:f>
        <x:v>0</x:v>
      </x:c>
      <x:c r="E102" s="32" t="n">
        <x:f>C102+D102</x:f>
        <x:v>2349500</x:v>
      </x:c>
      <x:c r="F102" s="32">
        <x:f>IF(B102="Holiday",IF(Dashboard!$B$14="Principal Only",MIN(Dashboard!$B$15,C102),0),0)</x:f>
      </x:c>
      <x:c r="G102" s="32" t="n">
        <x:f>IF(B102="Closed",0,IF(B102="Holiday",IF(Dashboard!$B$14="Interest Only",C102*Dashboard!$F$6,MAX(0,(C102-F102)*Dashboard!$F$6)),E102*Dashboard!$F$6))</x:f>
        <x:v>17621.25</x:v>
      </x:c>
      <x:c r="H102" s="32" t="n">
        <x:f>IF(B102="Holiday",IF(Dashboard!$B$14="Interest Only",G102,F102),IF(B102="Closed",0,MIN(Dashboard!$F$10,E102+G102)))</x:f>
        <x:v>0</x:v>
      </x:c>
      <x:c r="I102" s="32" t="n">
        <x:f>IF(B102="Holiday",F102,IF(B102="Closed",0,MAX(0,H102-G102)))</x:f>
        <x:v>0</x:v>
      </x:c>
      <x:c r="J102" s="32" t="n">
        <x:f>IF(B102="Holiday",MAX(0,C102-F102),IF(B102="Closed",0,MAX(0,E102-I102)))</x:f>
        <x:v>2349500</x:v>
      </x:c>
      <x:c r="K102" s="32" t="n">
        <x:f>IF(B102="Holiday",IF(Dashboard!$B$14="Interest Only",D102,D102+G102),0)</x:f>
        <x:v>0</x:v>
      </x:c>
      <x:c r="L102" s="32" t="n">
        <x:f>J102+K102</x:f>
        <x:v>2349500</x:v>
      </x:c>
      <x:c r="M102" s="32" t="n">
        <x:f>IF(A102=1,H102,M101+H102)</x:f>
        <x:v>0</x:v>
      </x:c>
      <x:c r="N102" s="32" t="n">
        <x:f>IF(A102=1,I102,N101+I102)</x:f>
        <x:v>0</x:v>
      </x:c>
      <x:c r="O102" s="32" t="n">
        <x:f>IF(A102=1,G102,O101+G102)</x:f>
        <x:v>1644881.25</x:v>
      </x:c>
      <x:c r="P102" s="37" t="n">
        <x:f>EDATE(Dashboard!$B$10,A102)</x:f>
        <x:v>48092</x:v>
      </x:c>
    </x:row>
    <x:row r="103">
      <x:c r="A103" s="33" t="n">
        <x:v>102</x:v>
      </x:c>
      <x:c r="B103" s="33" t="str">
        <x:f>IF(A103&lt;=Dashboard!$F$8,"Holiday",IF(A103&lt;=Dashboard!$F$8+Dashboard!$F$7,"Repayment","Closed"))</x:f>
        <x:v>Repayment</x:v>
      </x:c>
      <x:c r="C103" s="32" t="n">
        <x:f>IF(A103=1,Dashboard!$B$6,IF(B103="Holiday",J102,L102))</x:f>
        <x:v>2349500</x:v>
      </x:c>
      <x:c r="D103" s="32" t="n">
        <x:f>IF(A103=1,0,IF(B103="Holiday",K102,0))</x:f>
        <x:v>0</x:v>
      </x:c>
      <x:c r="E103" s="32" t="n">
        <x:f>C103+D103</x:f>
        <x:v>2349500</x:v>
      </x:c>
      <x:c r="F103" s="32">
        <x:f>IF(B103="Holiday",IF(Dashboard!$B$14="Principal Only",MIN(Dashboard!$B$15,C103),0),0)</x:f>
      </x:c>
      <x:c r="G103" s="32" t="n">
        <x:f>IF(B103="Closed",0,IF(B103="Holiday",IF(Dashboard!$B$14="Interest Only",C103*Dashboard!$F$6,MAX(0,(C103-F103)*Dashboard!$F$6)),E103*Dashboard!$F$6))</x:f>
        <x:v>17621.25</x:v>
      </x:c>
      <x:c r="H103" s="32" t="n">
        <x:f>IF(B103="Holiday",IF(Dashboard!$B$14="Interest Only",G103,F103),IF(B103="Closed",0,MIN(Dashboard!$F$10,E103+G103)))</x:f>
        <x:v>0</x:v>
      </x:c>
      <x:c r="I103" s="32" t="n">
        <x:f>IF(B103="Holiday",F103,IF(B103="Closed",0,MAX(0,H103-G103)))</x:f>
        <x:v>0</x:v>
      </x:c>
      <x:c r="J103" s="32" t="n">
        <x:f>IF(B103="Holiday",MAX(0,C103-F103),IF(B103="Closed",0,MAX(0,E103-I103)))</x:f>
        <x:v>2349500</x:v>
      </x:c>
      <x:c r="K103" s="32" t="n">
        <x:f>IF(B103="Holiday",IF(Dashboard!$B$14="Interest Only",D103,D103+G103),0)</x:f>
        <x:v>0</x:v>
      </x:c>
      <x:c r="L103" s="32" t="n">
        <x:f>J103+K103</x:f>
        <x:v>2349500</x:v>
      </x:c>
      <x:c r="M103" s="32" t="n">
        <x:f>IF(A103=1,H103,M102+H103)</x:f>
        <x:v>0</x:v>
      </x:c>
      <x:c r="N103" s="32" t="n">
        <x:f>IF(A103=1,I103,N102+I103)</x:f>
        <x:v>0</x:v>
      </x:c>
      <x:c r="O103" s="32" t="n">
        <x:f>IF(A103=1,G103,O102+G103)</x:f>
        <x:v>1662502.5</x:v>
      </x:c>
      <x:c r="P103" s="37" t="n">
        <x:f>EDATE(Dashboard!$B$10,A103)</x:f>
        <x:v>48122</x:v>
      </x:c>
    </x:row>
    <x:row r="104">
      <x:c r="A104" s="33" t="n">
        <x:v>103</x:v>
      </x:c>
      <x:c r="B104" s="33" t="str">
        <x:f>IF(A104&lt;=Dashboard!$F$8,"Holiday",IF(A104&lt;=Dashboard!$F$8+Dashboard!$F$7,"Repayment","Closed"))</x:f>
        <x:v>Repayment</x:v>
      </x:c>
      <x:c r="C104" s="32" t="n">
        <x:f>IF(A104=1,Dashboard!$B$6,IF(B104="Holiday",J103,L103))</x:f>
        <x:v>2349500</x:v>
      </x:c>
      <x:c r="D104" s="32" t="n">
        <x:f>IF(A104=1,0,IF(B104="Holiday",K103,0))</x:f>
        <x:v>0</x:v>
      </x:c>
      <x:c r="E104" s="32" t="n">
        <x:f>C104+D104</x:f>
        <x:v>2349500</x:v>
      </x:c>
      <x:c r="F104" s="32">
        <x:f>IF(B104="Holiday",IF(Dashboard!$B$14="Principal Only",MIN(Dashboard!$B$15,C104),0),0)</x:f>
      </x:c>
      <x:c r="G104" s="32" t="n">
        <x:f>IF(B104="Closed",0,IF(B104="Holiday",IF(Dashboard!$B$14="Interest Only",C104*Dashboard!$F$6,MAX(0,(C104-F104)*Dashboard!$F$6)),E104*Dashboard!$F$6))</x:f>
        <x:v>17621.25</x:v>
      </x:c>
      <x:c r="H104" s="32" t="n">
        <x:f>IF(B104="Holiday",IF(Dashboard!$B$14="Interest Only",G104,F104),IF(B104="Closed",0,MIN(Dashboard!$F$10,E104+G104)))</x:f>
        <x:v>0</x:v>
      </x:c>
      <x:c r="I104" s="32" t="n">
        <x:f>IF(B104="Holiday",F104,IF(B104="Closed",0,MAX(0,H104-G104)))</x:f>
        <x:v>0</x:v>
      </x:c>
      <x:c r="J104" s="32" t="n">
        <x:f>IF(B104="Holiday",MAX(0,C104-F104),IF(B104="Closed",0,MAX(0,E104-I104)))</x:f>
        <x:v>2349500</x:v>
      </x:c>
      <x:c r="K104" s="32" t="n">
        <x:f>IF(B104="Holiday",IF(Dashboard!$B$14="Interest Only",D104,D104+G104),0)</x:f>
        <x:v>0</x:v>
      </x:c>
      <x:c r="L104" s="32" t="n">
        <x:f>J104+K104</x:f>
        <x:v>2349500</x:v>
      </x:c>
      <x:c r="M104" s="32" t="n">
        <x:f>IF(A104=1,H104,M103+H104)</x:f>
        <x:v>0</x:v>
      </x:c>
      <x:c r="N104" s="32" t="n">
        <x:f>IF(A104=1,I104,N103+I104)</x:f>
        <x:v>0</x:v>
      </x:c>
      <x:c r="O104" s="32" t="n">
        <x:f>IF(A104=1,G104,O103+G104)</x:f>
        <x:v>1680123.75</x:v>
      </x:c>
      <x:c r="P104" s="37" t="n">
        <x:f>EDATE(Dashboard!$B$10,A104)</x:f>
        <x:v>48153</x:v>
      </x:c>
    </x:row>
    <x:row r="105">
      <x:c r="A105" s="33" t="n">
        <x:v>104</x:v>
      </x:c>
      <x:c r="B105" s="33" t="str">
        <x:f>IF(A105&lt;=Dashboard!$F$8,"Holiday",IF(A105&lt;=Dashboard!$F$8+Dashboard!$F$7,"Repayment","Closed"))</x:f>
        <x:v>Repayment</x:v>
      </x:c>
      <x:c r="C105" s="32" t="n">
        <x:f>IF(A105=1,Dashboard!$B$6,IF(B105="Holiday",J104,L104))</x:f>
        <x:v>2349500</x:v>
      </x:c>
      <x:c r="D105" s="32" t="n">
        <x:f>IF(A105=1,0,IF(B105="Holiday",K104,0))</x:f>
        <x:v>0</x:v>
      </x:c>
      <x:c r="E105" s="32" t="n">
        <x:f>C105+D105</x:f>
        <x:v>2349500</x:v>
      </x:c>
      <x:c r="F105" s="32">
        <x:f>IF(B105="Holiday",IF(Dashboard!$B$14="Principal Only",MIN(Dashboard!$B$15,C105),0),0)</x:f>
      </x:c>
      <x:c r="G105" s="32" t="n">
        <x:f>IF(B105="Closed",0,IF(B105="Holiday",IF(Dashboard!$B$14="Interest Only",C105*Dashboard!$F$6,MAX(0,(C105-F105)*Dashboard!$F$6)),E105*Dashboard!$F$6))</x:f>
        <x:v>17621.25</x:v>
      </x:c>
      <x:c r="H105" s="32" t="n">
        <x:f>IF(B105="Holiday",IF(Dashboard!$B$14="Interest Only",G105,F105),IF(B105="Closed",0,MIN(Dashboard!$F$10,E105+G105)))</x:f>
        <x:v>0</x:v>
      </x:c>
      <x:c r="I105" s="32" t="n">
        <x:f>IF(B105="Holiday",F105,IF(B105="Closed",0,MAX(0,H105-G105)))</x:f>
        <x:v>0</x:v>
      </x:c>
      <x:c r="J105" s="32" t="n">
        <x:f>IF(B105="Holiday",MAX(0,C105-F105),IF(B105="Closed",0,MAX(0,E105-I105)))</x:f>
        <x:v>2349500</x:v>
      </x:c>
      <x:c r="K105" s="32" t="n">
        <x:f>IF(B105="Holiday",IF(Dashboard!$B$14="Interest Only",D105,D105+G105),0)</x:f>
        <x:v>0</x:v>
      </x:c>
      <x:c r="L105" s="32" t="n">
        <x:f>J105+K105</x:f>
        <x:v>2349500</x:v>
      </x:c>
      <x:c r="M105" s="32" t="n">
        <x:f>IF(A105=1,H105,M104+H105)</x:f>
        <x:v>0</x:v>
      </x:c>
      <x:c r="N105" s="32" t="n">
        <x:f>IF(A105=1,I105,N104+I105)</x:f>
        <x:v>0</x:v>
      </x:c>
      <x:c r="O105" s="32" t="n">
        <x:f>IF(A105=1,G105,O104+G105)</x:f>
        <x:v>1697745</x:v>
      </x:c>
      <x:c r="P105" s="37" t="n">
        <x:f>EDATE(Dashboard!$B$10,A105)</x:f>
        <x:v>48183</x:v>
      </x:c>
    </x:row>
    <x:row r="106">
      <x:c r="A106" s="33" t="n">
        <x:v>105</x:v>
      </x:c>
      <x:c r="B106" s="33" t="str">
        <x:f>IF(A106&lt;=Dashboard!$F$8,"Holiday",IF(A106&lt;=Dashboard!$F$8+Dashboard!$F$7,"Repayment","Closed"))</x:f>
        <x:v>Repayment</x:v>
      </x:c>
      <x:c r="C106" s="32" t="n">
        <x:f>IF(A106=1,Dashboard!$B$6,IF(B106="Holiday",J105,L105))</x:f>
        <x:v>2349500</x:v>
      </x:c>
      <x:c r="D106" s="32" t="n">
        <x:f>IF(A106=1,0,IF(B106="Holiday",K105,0))</x:f>
        <x:v>0</x:v>
      </x:c>
      <x:c r="E106" s="32" t="n">
        <x:f>C106+D106</x:f>
        <x:v>2349500</x:v>
      </x:c>
      <x:c r="F106" s="32">
        <x:f>IF(B106="Holiday",IF(Dashboard!$B$14="Principal Only",MIN(Dashboard!$B$15,C106),0),0)</x:f>
      </x:c>
      <x:c r="G106" s="32" t="n">
        <x:f>IF(B106="Closed",0,IF(B106="Holiday",IF(Dashboard!$B$14="Interest Only",C106*Dashboard!$F$6,MAX(0,(C106-F106)*Dashboard!$F$6)),E106*Dashboard!$F$6))</x:f>
        <x:v>17621.25</x:v>
      </x:c>
      <x:c r="H106" s="32" t="n">
        <x:f>IF(B106="Holiday",IF(Dashboard!$B$14="Interest Only",G106,F106),IF(B106="Closed",0,MIN(Dashboard!$F$10,E106+G106)))</x:f>
        <x:v>0</x:v>
      </x:c>
      <x:c r="I106" s="32" t="n">
        <x:f>IF(B106="Holiday",F106,IF(B106="Closed",0,MAX(0,H106-G106)))</x:f>
        <x:v>0</x:v>
      </x:c>
      <x:c r="J106" s="32" t="n">
        <x:f>IF(B106="Holiday",MAX(0,C106-F106),IF(B106="Closed",0,MAX(0,E106-I106)))</x:f>
        <x:v>2349500</x:v>
      </x:c>
      <x:c r="K106" s="32" t="n">
        <x:f>IF(B106="Holiday",IF(Dashboard!$B$14="Interest Only",D106,D106+G106),0)</x:f>
        <x:v>0</x:v>
      </x:c>
      <x:c r="L106" s="32" t="n">
        <x:f>J106+K106</x:f>
        <x:v>2349500</x:v>
      </x:c>
      <x:c r="M106" s="32" t="n">
        <x:f>IF(A106=1,H106,M105+H106)</x:f>
        <x:v>0</x:v>
      </x:c>
      <x:c r="N106" s="32" t="n">
        <x:f>IF(A106=1,I106,N105+I106)</x:f>
        <x:v>0</x:v>
      </x:c>
      <x:c r="O106" s="32" t="n">
        <x:f>IF(A106=1,G106,O105+G106)</x:f>
        <x:v>1715366.25</x:v>
      </x:c>
      <x:c r="P106" s="37" t="n">
        <x:f>EDATE(Dashboard!$B$10,A106)</x:f>
        <x:v>48214</x:v>
      </x:c>
    </x:row>
    <x:row r="107">
      <x:c r="A107" s="33" t="n">
        <x:v>106</x:v>
      </x:c>
      <x:c r="B107" s="33" t="str">
        <x:f>IF(A107&lt;=Dashboard!$F$8,"Holiday",IF(A107&lt;=Dashboard!$F$8+Dashboard!$F$7,"Repayment","Closed"))</x:f>
        <x:v>Repayment</x:v>
      </x:c>
      <x:c r="C107" s="32" t="n">
        <x:f>IF(A107=1,Dashboard!$B$6,IF(B107="Holiday",J106,L106))</x:f>
        <x:v>2349500</x:v>
      </x:c>
      <x:c r="D107" s="32" t="n">
        <x:f>IF(A107=1,0,IF(B107="Holiday",K106,0))</x:f>
        <x:v>0</x:v>
      </x:c>
      <x:c r="E107" s="32" t="n">
        <x:f>C107+D107</x:f>
        <x:v>2349500</x:v>
      </x:c>
      <x:c r="F107" s="32">
        <x:f>IF(B107="Holiday",IF(Dashboard!$B$14="Principal Only",MIN(Dashboard!$B$15,C107),0),0)</x:f>
      </x:c>
      <x:c r="G107" s="32" t="n">
        <x:f>IF(B107="Closed",0,IF(B107="Holiday",IF(Dashboard!$B$14="Interest Only",C107*Dashboard!$F$6,MAX(0,(C107-F107)*Dashboard!$F$6)),E107*Dashboard!$F$6))</x:f>
        <x:v>17621.25</x:v>
      </x:c>
      <x:c r="H107" s="32" t="n">
        <x:f>IF(B107="Holiday",IF(Dashboard!$B$14="Interest Only",G107,F107),IF(B107="Closed",0,MIN(Dashboard!$F$10,E107+G107)))</x:f>
        <x:v>0</x:v>
      </x:c>
      <x:c r="I107" s="32" t="n">
        <x:f>IF(B107="Holiday",F107,IF(B107="Closed",0,MAX(0,H107-G107)))</x:f>
        <x:v>0</x:v>
      </x:c>
      <x:c r="J107" s="32" t="n">
        <x:f>IF(B107="Holiday",MAX(0,C107-F107),IF(B107="Closed",0,MAX(0,E107-I107)))</x:f>
        <x:v>2349500</x:v>
      </x:c>
      <x:c r="K107" s="32" t="n">
        <x:f>IF(B107="Holiday",IF(Dashboard!$B$14="Interest Only",D107,D107+G107),0)</x:f>
        <x:v>0</x:v>
      </x:c>
      <x:c r="L107" s="32" t="n">
        <x:f>J107+K107</x:f>
        <x:v>2349500</x:v>
      </x:c>
      <x:c r="M107" s="32" t="n">
        <x:f>IF(A107=1,H107,M106+H107)</x:f>
        <x:v>0</x:v>
      </x:c>
      <x:c r="N107" s="32" t="n">
        <x:f>IF(A107=1,I107,N106+I107)</x:f>
        <x:v>0</x:v>
      </x:c>
      <x:c r="O107" s="32" t="n">
        <x:f>IF(A107=1,G107,O106+G107)</x:f>
        <x:v>1732987.5</x:v>
      </x:c>
      <x:c r="P107" s="37" t="n">
        <x:f>EDATE(Dashboard!$B$10,A107)</x:f>
        <x:v>48245</x:v>
      </x:c>
    </x:row>
    <x:row r="108">
      <x:c r="A108" s="33" t="n">
        <x:v>107</x:v>
      </x:c>
      <x:c r="B108" s="33" t="str">
        <x:f>IF(A108&lt;=Dashboard!$F$8,"Holiday",IF(A108&lt;=Dashboard!$F$8+Dashboard!$F$7,"Repayment","Closed"))</x:f>
        <x:v>Repayment</x:v>
      </x:c>
      <x:c r="C108" s="32" t="n">
        <x:f>IF(A108=1,Dashboard!$B$6,IF(B108="Holiday",J107,L107))</x:f>
        <x:v>2349500</x:v>
      </x:c>
      <x:c r="D108" s="32" t="n">
        <x:f>IF(A108=1,0,IF(B108="Holiday",K107,0))</x:f>
        <x:v>0</x:v>
      </x:c>
      <x:c r="E108" s="32" t="n">
        <x:f>C108+D108</x:f>
        <x:v>2349500</x:v>
      </x:c>
      <x:c r="F108" s="32">
        <x:f>IF(B108="Holiday",IF(Dashboard!$B$14="Principal Only",MIN(Dashboard!$B$15,C108),0),0)</x:f>
      </x:c>
      <x:c r="G108" s="32" t="n">
        <x:f>IF(B108="Closed",0,IF(B108="Holiday",IF(Dashboard!$B$14="Interest Only",C108*Dashboard!$F$6,MAX(0,(C108-F108)*Dashboard!$F$6)),E108*Dashboard!$F$6))</x:f>
        <x:v>17621.25</x:v>
      </x:c>
      <x:c r="H108" s="32" t="n">
        <x:f>IF(B108="Holiday",IF(Dashboard!$B$14="Interest Only",G108,F108),IF(B108="Closed",0,MIN(Dashboard!$F$10,E108+G108)))</x:f>
        <x:v>0</x:v>
      </x:c>
      <x:c r="I108" s="32" t="n">
        <x:f>IF(B108="Holiday",F108,IF(B108="Closed",0,MAX(0,H108-G108)))</x:f>
        <x:v>0</x:v>
      </x:c>
      <x:c r="J108" s="32" t="n">
        <x:f>IF(B108="Holiday",MAX(0,C108-F108),IF(B108="Closed",0,MAX(0,E108-I108)))</x:f>
        <x:v>2349500</x:v>
      </x:c>
      <x:c r="K108" s="32" t="n">
        <x:f>IF(B108="Holiday",IF(Dashboard!$B$14="Interest Only",D108,D108+G108),0)</x:f>
        <x:v>0</x:v>
      </x:c>
      <x:c r="L108" s="32" t="n">
        <x:f>J108+K108</x:f>
        <x:v>2349500</x:v>
      </x:c>
      <x:c r="M108" s="32" t="n">
        <x:f>IF(A108=1,H108,M107+H108)</x:f>
        <x:v>0</x:v>
      </x:c>
      <x:c r="N108" s="32" t="n">
        <x:f>IF(A108=1,I108,N107+I108)</x:f>
        <x:v>0</x:v>
      </x:c>
      <x:c r="O108" s="32" t="n">
        <x:f>IF(A108=1,G108,O107+G108)</x:f>
        <x:v>1750608.75</x:v>
      </x:c>
      <x:c r="P108" s="37" t="n">
        <x:f>EDATE(Dashboard!$B$10,A108)</x:f>
        <x:v>48274</x:v>
      </x:c>
    </x:row>
    <x:row r="109">
      <x:c r="A109" s="33" t="n">
        <x:v>108</x:v>
      </x:c>
      <x:c r="B109" s="33" t="str">
        <x:f>IF(A109&lt;=Dashboard!$F$8,"Holiday",IF(A109&lt;=Dashboard!$F$8+Dashboard!$F$7,"Repayment","Closed"))</x:f>
        <x:v>Repayment</x:v>
      </x:c>
      <x:c r="C109" s="32" t="n">
        <x:f>IF(A109=1,Dashboard!$B$6,IF(B109="Holiday",J108,L108))</x:f>
        <x:v>2349500</x:v>
      </x:c>
      <x:c r="D109" s="32" t="n">
        <x:f>IF(A109=1,0,IF(B109="Holiday",K108,0))</x:f>
        <x:v>0</x:v>
      </x:c>
      <x:c r="E109" s="32" t="n">
        <x:f>C109+D109</x:f>
        <x:v>2349500</x:v>
      </x:c>
      <x:c r="F109" s="32">
        <x:f>IF(B109="Holiday",IF(Dashboard!$B$14="Principal Only",MIN(Dashboard!$B$15,C109),0),0)</x:f>
      </x:c>
      <x:c r="G109" s="32" t="n">
        <x:f>IF(B109="Closed",0,IF(B109="Holiday",IF(Dashboard!$B$14="Interest Only",C109*Dashboard!$F$6,MAX(0,(C109-F109)*Dashboard!$F$6)),E109*Dashboard!$F$6))</x:f>
        <x:v>17621.25</x:v>
      </x:c>
      <x:c r="H109" s="32" t="n">
        <x:f>IF(B109="Holiday",IF(Dashboard!$B$14="Interest Only",G109,F109),IF(B109="Closed",0,MIN(Dashboard!$F$10,E109+G109)))</x:f>
        <x:v>0</x:v>
      </x:c>
      <x:c r="I109" s="32" t="n">
        <x:f>IF(B109="Holiday",F109,IF(B109="Closed",0,MAX(0,H109-G109)))</x:f>
        <x:v>0</x:v>
      </x:c>
      <x:c r="J109" s="32" t="n">
        <x:f>IF(B109="Holiday",MAX(0,C109-F109),IF(B109="Closed",0,MAX(0,E109-I109)))</x:f>
        <x:v>2349500</x:v>
      </x:c>
      <x:c r="K109" s="32" t="n">
        <x:f>IF(B109="Holiday",IF(Dashboard!$B$14="Interest Only",D109,D109+G109),0)</x:f>
        <x:v>0</x:v>
      </x:c>
      <x:c r="L109" s="32" t="n">
        <x:f>J109+K109</x:f>
        <x:v>2349500</x:v>
      </x:c>
      <x:c r="M109" s="32" t="n">
        <x:f>IF(A109=1,H109,M108+H109)</x:f>
        <x:v>0</x:v>
      </x:c>
      <x:c r="N109" s="32" t="n">
        <x:f>IF(A109=1,I109,N108+I109)</x:f>
        <x:v>0</x:v>
      </x:c>
      <x:c r="O109" s="32" t="n">
        <x:f>IF(A109=1,G109,O108+G109)</x:f>
        <x:v>1768230</x:v>
      </x:c>
      <x:c r="P109" s="37" t="n">
        <x:f>EDATE(Dashboard!$B$10,A109)</x:f>
        <x:v>48305</x:v>
      </x:c>
    </x:row>
    <x:row r="110">
      <x:c r="A110" s="33" t="n">
        <x:v>109</x:v>
      </x:c>
      <x:c r="B110" s="33" t="str">
        <x:f>IF(A110&lt;=Dashboard!$F$8,"Holiday",IF(A110&lt;=Dashboard!$F$8+Dashboard!$F$7,"Repayment","Closed"))</x:f>
        <x:v>Repayment</x:v>
      </x:c>
      <x:c r="C110" s="32" t="n">
        <x:f>IF(A110=1,Dashboard!$B$6,IF(B110="Holiday",J109,L109))</x:f>
        <x:v>2349500</x:v>
      </x:c>
      <x:c r="D110" s="32" t="n">
        <x:f>IF(A110=1,0,IF(B110="Holiday",K109,0))</x:f>
        <x:v>0</x:v>
      </x:c>
      <x:c r="E110" s="32" t="n">
        <x:f>C110+D110</x:f>
        <x:v>2349500</x:v>
      </x:c>
      <x:c r="F110" s="32">
        <x:f>IF(B110="Holiday",IF(Dashboard!$B$14="Principal Only",MIN(Dashboard!$B$15,C110),0),0)</x:f>
      </x:c>
      <x:c r="G110" s="32" t="n">
        <x:f>IF(B110="Closed",0,IF(B110="Holiday",IF(Dashboard!$B$14="Interest Only",C110*Dashboard!$F$6,MAX(0,(C110-F110)*Dashboard!$F$6)),E110*Dashboard!$F$6))</x:f>
        <x:v>17621.25</x:v>
      </x:c>
      <x:c r="H110" s="32" t="n">
        <x:f>IF(B110="Holiday",IF(Dashboard!$B$14="Interest Only",G110,F110),IF(B110="Closed",0,MIN(Dashboard!$F$10,E110+G110)))</x:f>
        <x:v>0</x:v>
      </x:c>
      <x:c r="I110" s="32" t="n">
        <x:f>IF(B110="Holiday",F110,IF(B110="Closed",0,MAX(0,H110-G110)))</x:f>
        <x:v>0</x:v>
      </x:c>
      <x:c r="J110" s="32" t="n">
        <x:f>IF(B110="Holiday",MAX(0,C110-F110),IF(B110="Closed",0,MAX(0,E110-I110)))</x:f>
        <x:v>2349500</x:v>
      </x:c>
      <x:c r="K110" s="32" t="n">
        <x:f>IF(B110="Holiday",IF(Dashboard!$B$14="Interest Only",D110,D110+G110),0)</x:f>
        <x:v>0</x:v>
      </x:c>
      <x:c r="L110" s="32" t="n">
        <x:f>J110+K110</x:f>
        <x:v>2349500</x:v>
      </x:c>
      <x:c r="M110" s="32" t="n">
        <x:f>IF(A110=1,H110,M109+H110)</x:f>
        <x:v>0</x:v>
      </x:c>
      <x:c r="N110" s="32" t="n">
        <x:f>IF(A110=1,I110,N109+I110)</x:f>
        <x:v>0</x:v>
      </x:c>
      <x:c r="O110" s="32" t="n">
        <x:f>IF(A110=1,G110,O109+G110)</x:f>
        <x:v>1785851.25</x:v>
      </x:c>
      <x:c r="P110" s="37" t="n">
        <x:f>EDATE(Dashboard!$B$10,A110)</x:f>
        <x:v>48335</x:v>
      </x:c>
    </x:row>
    <x:row r="111">
      <x:c r="A111" s="33" t="n">
        <x:v>110</x:v>
      </x:c>
      <x:c r="B111" s="33" t="str">
        <x:f>IF(A111&lt;=Dashboard!$F$8,"Holiday",IF(A111&lt;=Dashboard!$F$8+Dashboard!$F$7,"Repayment","Closed"))</x:f>
        <x:v>Repayment</x:v>
      </x:c>
      <x:c r="C111" s="32" t="n">
        <x:f>IF(A111=1,Dashboard!$B$6,IF(B111="Holiday",J110,L110))</x:f>
        <x:v>2349500</x:v>
      </x:c>
      <x:c r="D111" s="32" t="n">
        <x:f>IF(A111=1,0,IF(B111="Holiday",K110,0))</x:f>
        <x:v>0</x:v>
      </x:c>
      <x:c r="E111" s="32" t="n">
        <x:f>C111+D111</x:f>
        <x:v>2349500</x:v>
      </x:c>
      <x:c r="F111" s="32">
        <x:f>IF(B111="Holiday",IF(Dashboard!$B$14="Principal Only",MIN(Dashboard!$B$15,C111),0),0)</x:f>
      </x:c>
      <x:c r="G111" s="32" t="n">
        <x:f>IF(B111="Closed",0,IF(B111="Holiday",IF(Dashboard!$B$14="Interest Only",C111*Dashboard!$F$6,MAX(0,(C111-F111)*Dashboard!$F$6)),E111*Dashboard!$F$6))</x:f>
        <x:v>17621.25</x:v>
      </x:c>
      <x:c r="H111" s="32" t="n">
        <x:f>IF(B111="Holiday",IF(Dashboard!$B$14="Interest Only",G111,F111),IF(B111="Closed",0,MIN(Dashboard!$F$10,E111+G111)))</x:f>
        <x:v>0</x:v>
      </x:c>
      <x:c r="I111" s="32" t="n">
        <x:f>IF(B111="Holiday",F111,IF(B111="Closed",0,MAX(0,H111-G111)))</x:f>
        <x:v>0</x:v>
      </x:c>
      <x:c r="J111" s="32" t="n">
        <x:f>IF(B111="Holiday",MAX(0,C111-F111),IF(B111="Closed",0,MAX(0,E111-I111)))</x:f>
        <x:v>2349500</x:v>
      </x:c>
      <x:c r="K111" s="32" t="n">
        <x:f>IF(B111="Holiday",IF(Dashboard!$B$14="Interest Only",D111,D111+G111),0)</x:f>
        <x:v>0</x:v>
      </x:c>
      <x:c r="L111" s="32" t="n">
        <x:f>J111+K111</x:f>
        <x:v>2349500</x:v>
      </x:c>
      <x:c r="M111" s="32" t="n">
        <x:f>IF(A111=1,H111,M110+H111)</x:f>
        <x:v>0</x:v>
      </x:c>
      <x:c r="N111" s="32" t="n">
        <x:f>IF(A111=1,I111,N110+I111)</x:f>
        <x:v>0</x:v>
      </x:c>
      <x:c r="O111" s="32" t="n">
        <x:f>IF(A111=1,G111,O110+G111)</x:f>
        <x:v>1803472.5</x:v>
      </x:c>
      <x:c r="P111" s="37" t="n">
        <x:f>EDATE(Dashboard!$B$10,A111)</x:f>
        <x:v>48366</x:v>
      </x:c>
    </x:row>
    <x:row r="112">
      <x:c r="A112" s="33" t="n">
        <x:v>111</x:v>
      </x:c>
      <x:c r="B112" s="33" t="str">
        <x:f>IF(A112&lt;=Dashboard!$F$8,"Holiday",IF(A112&lt;=Dashboard!$F$8+Dashboard!$F$7,"Repayment","Closed"))</x:f>
        <x:v>Repayment</x:v>
      </x:c>
      <x:c r="C112" s="32" t="n">
        <x:f>IF(A112=1,Dashboard!$B$6,IF(B112="Holiday",J111,L111))</x:f>
        <x:v>2349500</x:v>
      </x:c>
      <x:c r="D112" s="32" t="n">
        <x:f>IF(A112=1,0,IF(B112="Holiday",K111,0))</x:f>
        <x:v>0</x:v>
      </x:c>
      <x:c r="E112" s="32" t="n">
        <x:f>C112+D112</x:f>
        <x:v>2349500</x:v>
      </x:c>
      <x:c r="F112" s="32">
        <x:f>IF(B112="Holiday",IF(Dashboard!$B$14="Principal Only",MIN(Dashboard!$B$15,C112),0),0)</x:f>
      </x:c>
      <x:c r="G112" s="32" t="n">
        <x:f>IF(B112="Closed",0,IF(B112="Holiday",IF(Dashboard!$B$14="Interest Only",C112*Dashboard!$F$6,MAX(0,(C112-F112)*Dashboard!$F$6)),E112*Dashboard!$F$6))</x:f>
        <x:v>17621.25</x:v>
      </x:c>
      <x:c r="H112" s="32" t="n">
        <x:f>IF(B112="Holiday",IF(Dashboard!$B$14="Interest Only",G112,F112),IF(B112="Closed",0,MIN(Dashboard!$F$10,E112+G112)))</x:f>
        <x:v>0</x:v>
      </x:c>
      <x:c r="I112" s="32" t="n">
        <x:f>IF(B112="Holiday",F112,IF(B112="Closed",0,MAX(0,H112-G112)))</x:f>
        <x:v>0</x:v>
      </x:c>
      <x:c r="J112" s="32" t="n">
        <x:f>IF(B112="Holiday",MAX(0,C112-F112),IF(B112="Closed",0,MAX(0,E112-I112)))</x:f>
        <x:v>2349500</x:v>
      </x:c>
      <x:c r="K112" s="32" t="n">
        <x:f>IF(B112="Holiday",IF(Dashboard!$B$14="Interest Only",D112,D112+G112),0)</x:f>
        <x:v>0</x:v>
      </x:c>
      <x:c r="L112" s="32" t="n">
        <x:f>J112+K112</x:f>
        <x:v>2349500</x:v>
      </x:c>
      <x:c r="M112" s="32" t="n">
        <x:f>IF(A112=1,H112,M111+H112)</x:f>
        <x:v>0</x:v>
      </x:c>
      <x:c r="N112" s="32" t="n">
        <x:f>IF(A112=1,I112,N111+I112)</x:f>
        <x:v>0</x:v>
      </x:c>
      <x:c r="O112" s="32" t="n">
        <x:f>IF(A112=1,G112,O111+G112)</x:f>
        <x:v>1821093.75</x:v>
      </x:c>
      <x:c r="P112" s="37" t="n">
        <x:f>EDATE(Dashboard!$B$10,A112)</x:f>
        <x:v>48396</x:v>
      </x:c>
    </x:row>
    <x:row r="113">
      <x:c r="A113" s="33" t="n">
        <x:v>112</x:v>
      </x:c>
      <x:c r="B113" s="33" t="str">
        <x:f>IF(A113&lt;=Dashboard!$F$8,"Holiday",IF(A113&lt;=Dashboard!$F$8+Dashboard!$F$7,"Repayment","Closed"))</x:f>
        <x:v>Repayment</x:v>
      </x:c>
      <x:c r="C113" s="32" t="n">
        <x:f>IF(A113=1,Dashboard!$B$6,IF(B113="Holiday",J112,L112))</x:f>
        <x:v>2349500</x:v>
      </x:c>
      <x:c r="D113" s="32" t="n">
        <x:f>IF(A113=1,0,IF(B113="Holiday",K112,0))</x:f>
        <x:v>0</x:v>
      </x:c>
      <x:c r="E113" s="32" t="n">
        <x:f>C113+D113</x:f>
        <x:v>2349500</x:v>
      </x:c>
      <x:c r="F113" s="32">
        <x:f>IF(B113="Holiday",IF(Dashboard!$B$14="Principal Only",MIN(Dashboard!$B$15,C113),0),0)</x:f>
      </x:c>
      <x:c r="G113" s="32" t="n">
        <x:f>IF(B113="Closed",0,IF(B113="Holiday",IF(Dashboard!$B$14="Interest Only",C113*Dashboard!$F$6,MAX(0,(C113-F113)*Dashboard!$F$6)),E113*Dashboard!$F$6))</x:f>
        <x:v>17621.25</x:v>
      </x:c>
      <x:c r="H113" s="32" t="n">
        <x:f>IF(B113="Holiday",IF(Dashboard!$B$14="Interest Only",G113,F113),IF(B113="Closed",0,MIN(Dashboard!$F$10,E113+G113)))</x:f>
        <x:v>0</x:v>
      </x:c>
      <x:c r="I113" s="32" t="n">
        <x:f>IF(B113="Holiday",F113,IF(B113="Closed",0,MAX(0,H113-G113)))</x:f>
        <x:v>0</x:v>
      </x:c>
      <x:c r="J113" s="32" t="n">
        <x:f>IF(B113="Holiday",MAX(0,C113-F113),IF(B113="Closed",0,MAX(0,E113-I113)))</x:f>
        <x:v>2349500</x:v>
      </x:c>
      <x:c r="K113" s="32" t="n">
        <x:f>IF(B113="Holiday",IF(Dashboard!$B$14="Interest Only",D113,D113+G113),0)</x:f>
        <x:v>0</x:v>
      </x:c>
      <x:c r="L113" s="32" t="n">
        <x:f>J113+K113</x:f>
        <x:v>2349500</x:v>
      </x:c>
      <x:c r="M113" s="32" t="n">
        <x:f>IF(A113=1,H113,M112+H113)</x:f>
        <x:v>0</x:v>
      </x:c>
      <x:c r="N113" s="32" t="n">
        <x:f>IF(A113=1,I113,N112+I113)</x:f>
        <x:v>0</x:v>
      </x:c>
      <x:c r="O113" s="32" t="n">
        <x:f>IF(A113=1,G113,O112+G113)</x:f>
        <x:v>1838715</x:v>
      </x:c>
      <x:c r="P113" s="37" t="n">
        <x:f>EDATE(Dashboard!$B$10,A113)</x:f>
        <x:v>48427</x:v>
      </x:c>
    </x:row>
    <x:row r="114">
      <x:c r="A114" s="33" t="n">
        <x:v>113</x:v>
      </x:c>
      <x:c r="B114" s="33" t="str">
        <x:f>IF(A114&lt;=Dashboard!$F$8,"Holiday",IF(A114&lt;=Dashboard!$F$8+Dashboard!$F$7,"Repayment","Closed"))</x:f>
        <x:v>Repayment</x:v>
      </x:c>
      <x:c r="C114" s="32" t="n">
        <x:f>IF(A114=1,Dashboard!$B$6,IF(B114="Holiday",J113,L113))</x:f>
        <x:v>2349500</x:v>
      </x:c>
      <x:c r="D114" s="32" t="n">
        <x:f>IF(A114=1,0,IF(B114="Holiday",K113,0))</x:f>
        <x:v>0</x:v>
      </x:c>
      <x:c r="E114" s="32" t="n">
        <x:f>C114+D114</x:f>
        <x:v>2349500</x:v>
      </x:c>
      <x:c r="F114" s="32">
        <x:f>IF(B114="Holiday",IF(Dashboard!$B$14="Principal Only",MIN(Dashboard!$B$15,C114),0),0)</x:f>
      </x:c>
      <x:c r="G114" s="32" t="n">
        <x:f>IF(B114="Closed",0,IF(B114="Holiday",IF(Dashboard!$B$14="Interest Only",C114*Dashboard!$F$6,MAX(0,(C114-F114)*Dashboard!$F$6)),E114*Dashboard!$F$6))</x:f>
        <x:v>17621.25</x:v>
      </x:c>
      <x:c r="H114" s="32" t="n">
        <x:f>IF(B114="Holiday",IF(Dashboard!$B$14="Interest Only",G114,F114),IF(B114="Closed",0,MIN(Dashboard!$F$10,E114+G114)))</x:f>
        <x:v>0</x:v>
      </x:c>
      <x:c r="I114" s="32" t="n">
        <x:f>IF(B114="Holiday",F114,IF(B114="Closed",0,MAX(0,H114-G114)))</x:f>
        <x:v>0</x:v>
      </x:c>
      <x:c r="J114" s="32" t="n">
        <x:f>IF(B114="Holiday",MAX(0,C114-F114),IF(B114="Closed",0,MAX(0,E114-I114)))</x:f>
        <x:v>2349500</x:v>
      </x:c>
      <x:c r="K114" s="32" t="n">
        <x:f>IF(B114="Holiday",IF(Dashboard!$B$14="Interest Only",D114,D114+G114),0)</x:f>
        <x:v>0</x:v>
      </x:c>
      <x:c r="L114" s="32" t="n">
        <x:f>J114+K114</x:f>
        <x:v>2349500</x:v>
      </x:c>
      <x:c r="M114" s="32" t="n">
        <x:f>IF(A114=1,H114,M113+H114)</x:f>
        <x:v>0</x:v>
      </x:c>
      <x:c r="N114" s="32" t="n">
        <x:f>IF(A114=1,I114,N113+I114)</x:f>
        <x:v>0</x:v>
      </x:c>
      <x:c r="O114" s="32" t="n">
        <x:f>IF(A114=1,G114,O113+G114)</x:f>
        <x:v>1856336.25</x:v>
      </x:c>
      <x:c r="P114" s="37" t="n">
        <x:f>EDATE(Dashboard!$B$10,A114)</x:f>
        <x:v>48458</x:v>
      </x:c>
    </x:row>
    <x:row r="115">
      <x:c r="A115" s="33" t="n">
        <x:v>114</x:v>
      </x:c>
      <x:c r="B115" s="33" t="str">
        <x:f>IF(A115&lt;=Dashboard!$F$8,"Holiday",IF(A115&lt;=Dashboard!$F$8+Dashboard!$F$7,"Repayment","Closed"))</x:f>
        <x:v>Repayment</x:v>
      </x:c>
      <x:c r="C115" s="32" t="n">
        <x:f>IF(A115=1,Dashboard!$B$6,IF(B115="Holiday",J114,L114))</x:f>
        <x:v>2349500</x:v>
      </x:c>
      <x:c r="D115" s="32" t="n">
        <x:f>IF(A115=1,0,IF(B115="Holiday",K114,0))</x:f>
        <x:v>0</x:v>
      </x:c>
      <x:c r="E115" s="32" t="n">
        <x:f>C115+D115</x:f>
        <x:v>2349500</x:v>
      </x:c>
      <x:c r="F115" s="32">
        <x:f>IF(B115="Holiday",IF(Dashboard!$B$14="Principal Only",MIN(Dashboard!$B$15,C115),0),0)</x:f>
      </x:c>
      <x:c r="G115" s="32" t="n">
        <x:f>IF(B115="Closed",0,IF(B115="Holiday",IF(Dashboard!$B$14="Interest Only",C115*Dashboard!$F$6,MAX(0,(C115-F115)*Dashboard!$F$6)),E115*Dashboard!$F$6))</x:f>
        <x:v>17621.25</x:v>
      </x:c>
      <x:c r="H115" s="32" t="n">
        <x:f>IF(B115="Holiday",IF(Dashboard!$B$14="Interest Only",G115,F115),IF(B115="Closed",0,MIN(Dashboard!$F$10,E115+G115)))</x:f>
        <x:v>0</x:v>
      </x:c>
      <x:c r="I115" s="32" t="n">
        <x:f>IF(B115="Holiday",F115,IF(B115="Closed",0,MAX(0,H115-G115)))</x:f>
        <x:v>0</x:v>
      </x:c>
      <x:c r="J115" s="32" t="n">
        <x:f>IF(B115="Holiday",MAX(0,C115-F115),IF(B115="Closed",0,MAX(0,E115-I115)))</x:f>
        <x:v>2349500</x:v>
      </x:c>
      <x:c r="K115" s="32" t="n">
        <x:f>IF(B115="Holiday",IF(Dashboard!$B$14="Interest Only",D115,D115+G115),0)</x:f>
        <x:v>0</x:v>
      </x:c>
      <x:c r="L115" s="32" t="n">
        <x:f>J115+K115</x:f>
        <x:v>2349500</x:v>
      </x:c>
      <x:c r="M115" s="32" t="n">
        <x:f>IF(A115=1,H115,M114+H115)</x:f>
        <x:v>0</x:v>
      </x:c>
      <x:c r="N115" s="32" t="n">
        <x:f>IF(A115=1,I115,N114+I115)</x:f>
        <x:v>0</x:v>
      </x:c>
      <x:c r="O115" s="32" t="n">
        <x:f>IF(A115=1,G115,O114+G115)</x:f>
        <x:v>1873957.5</x:v>
      </x:c>
      <x:c r="P115" s="37" t="n">
        <x:f>EDATE(Dashboard!$B$10,A115)</x:f>
        <x:v>48488</x:v>
      </x:c>
    </x:row>
    <x:row r="116">
      <x:c r="A116" s="33" t="n">
        <x:v>115</x:v>
      </x:c>
      <x:c r="B116" s="33" t="str">
        <x:f>IF(A116&lt;=Dashboard!$F$8,"Holiday",IF(A116&lt;=Dashboard!$F$8+Dashboard!$F$7,"Repayment","Closed"))</x:f>
        <x:v>Repayment</x:v>
      </x:c>
      <x:c r="C116" s="32" t="n">
        <x:f>IF(A116=1,Dashboard!$B$6,IF(B116="Holiday",J115,L115))</x:f>
        <x:v>2349500</x:v>
      </x:c>
      <x:c r="D116" s="32" t="n">
        <x:f>IF(A116=1,0,IF(B116="Holiday",K115,0))</x:f>
        <x:v>0</x:v>
      </x:c>
      <x:c r="E116" s="32" t="n">
        <x:f>C116+D116</x:f>
        <x:v>2349500</x:v>
      </x:c>
      <x:c r="F116" s="32">
        <x:f>IF(B116="Holiday",IF(Dashboard!$B$14="Principal Only",MIN(Dashboard!$B$15,C116),0),0)</x:f>
      </x:c>
      <x:c r="G116" s="32" t="n">
        <x:f>IF(B116="Closed",0,IF(B116="Holiday",IF(Dashboard!$B$14="Interest Only",C116*Dashboard!$F$6,MAX(0,(C116-F116)*Dashboard!$F$6)),E116*Dashboard!$F$6))</x:f>
        <x:v>17621.25</x:v>
      </x:c>
      <x:c r="H116" s="32" t="n">
        <x:f>IF(B116="Holiday",IF(Dashboard!$B$14="Interest Only",G116,F116),IF(B116="Closed",0,MIN(Dashboard!$F$10,E116+G116)))</x:f>
        <x:v>0</x:v>
      </x:c>
      <x:c r="I116" s="32" t="n">
        <x:f>IF(B116="Holiday",F116,IF(B116="Closed",0,MAX(0,H116-G116)))</x:f>
        <x:v>0</x:v>
      </x:c>
      <x:c r="J116" s="32" t="n">
        <x:f>IF(B116="Holiday",MAX(0,C116-F116),IF(B116="Closed",0,MAX(0,E116-I116)))</x:f>
        <x:v>2349500</x:v>
      </x:c>
      <x:c r="K116" s="32" t="n">
        <x:f>IF(B116="Holiday",IF(Dashboard!$B$14="Interest Only",D116,D116+G116),0)</x:f>
        <x:v>0</x:v>
      </x:c>
      <x:c r="L116" s="32" t="n">
        <x:f>J116+K116</x:f>
        <x:v>2349500</x:v>
      </x:c>
      <x:c r="M116" s="32" t="n">
        <x:f>IF(A116=1,H116,M115+H116)</x:f>
        <x:v>0</x:v>
      </x:c>
      <x:c r="N116" s="32" t="n">
        <x:f>IF(A116=1,I116,N115+I116)</x:f>
        <x:v>0</x:v>
      </x:c>
      <x:c r="O116" s="32" t="n">
        <x:f>IF(A116=1,G116,O115+G116)</x:f>
        <x:v>1891578.75</x:v>
      </x:c>
      <x:c r="P116" s="37" t="n">
        <x:f>EDATE(Dashboard!$B$10,A116)</x:f>
        <x:v>48519</x:v>
      </x:c>
    </x:row>
    <x:row r="117">
      <x:c r="A117" s="33" t="n">
        <x:v>116</x:v>
      </x:c>
      <x:c r="B117" s="33" t="str">
        <x:f>IF(A117&lt;=Dashboard!$F$8,"Holiday",IF(A117&lt;=Dashboard!$F$8+Dashboard!$F$7,"Repayment","Closed"))</x:f>
        <x:v>Repayment</x:v>
      </x:c>
      <x:c r="C117" s="32" t="n">
        <x:f>IF(A117=1,Dashboard!$B$6,IF(B117="Holiday",J116,L116))</x:f>
        <x:v>2349500</x:v>
      </x:c>
      <x:c r="D117" s="32" t="n">
        <x:f>IF(A117=1,0,IF(B117="Holiday",K116,0))</x:f>
        <x:v>0</x:v>
      </x:c>
      <x:c r="E117" s="32" t="n">
        <x:f>C117+D117</x:f>
        <x:v>2349500</x:v>
      </x:c>
      <x:c r="F117" s="32">
        <x:f>IF(B117="Holiday",IF(Dashboard!$B$14="Principal Only",MIN(Dashboard!$B$15,C117),0),0)</x:f>
      </x:c>
      <x:c r="G117" s="32" t="n">
        <x:f>IF(B117="Closed",0,IF(B117="Holiday",IF(Dashboard!$B$14="Interest Only",C117*Dashboard!$F$6,MAX(0,(C117-F117)*Dashboard!$F$6)),E117*Dashboard!$F$6))</x:f>
        <x:v>17621.25</x:v>
      </x:c>
      <x:c r="H117" s="32" t="n">
        <x:f>IF(B117="Holiday",IF(Dashboard!$B$14="Interest Only",G117,F117),IF(B117="Closed",0,MIN(Dashboard!$F$10,E117+G117)))</x:f>
        <x:v>0</x:v>
      </x:c>
      <x:c r="I117" s="32" t="n">
        <x:f>IF(B117="Holiday",F117,IF(B117="Closed",0,MAX(0,H117-G117)))</x:f>
        <x:v>0</x:v>
      </x:c>
      <x:c r="J117" s="32" t="n">
        <x:f>IF(B117="Holiday",MAX(0,C117-F117),IF(B117="Closed",0,MAX(0,E117-I117)))</x:f>
        <x:v>2349500</x:v>
      </x:c>
      <x:c r="K117" s="32" t="n">
        <x:f>IF(B117="Holiday",IF(Dashboard!$B$14="Interest Only",D117,D117+G117),0)</x:f>
        <x:v>0</x:v>
      </x:c>
      <x:c r="L117" s="32" t="n">
        <x:f>J117+K117</x:f>
        <x:v>2349500</x:v>
      </x:c>
      <x:c r="M117" s="32" t="n">
        <x:f>IF(A117=1,H117,M116+H117)</x:f>
        <x:v>0</x:v>
      </x:c>
      <x:c r="N117" s="32" t="n">
        <x:f>IF(A117=1,I117,N116+I117)</x:f>
        <x:v>0</x:v>
      </x:c>
      <x:c r="O117" s="32" t="n">
        <x:f>IF(A117=1,G117,O116+G117)</x:f>
        <x:v>1909200</x:v>
      </x:c>
      <x:c r="P117" s="37" t="n">
        <x:f>EDATE(Dashboard!$B$10,A117)</x:f>
        <x:v>48549</x:v>
      </x:c>
    </x:row>
    <x:row r="118">
      <x:c r="A118" s="33" t="n">
        <x:v>117</x:v>
      </x:c>
      <x:c r="B118" s="33" t="str">
        <x:f>IF(A118&lt;=Dashboard!$F$8,"Holiday",IF(A118&lt;=Dashboard!$F$8+Dashboard!$F$7,"Repayment","Closed"))</x:f>
        <x:v>Repayment</x:v>
      </x:c>
      <x:c r="C118" s="32" t="n">
        <x:f>IF(A118=1,Dashboard!$B$6,IF(B118="Holiday",J117,L117))</x:f>
        <x:v>2349500</x:v>
      </x:c>
      <x:c r="D118" s="32" t="n">
        <x:f>IF(A118=1,0,IF(B118="Holiday",K117,0))</x:f>
        <x:v>0</x:v>
      </x:c>
      <x:c r="E118" s="32" t="n">
        <x:f>C118+D118</x:f>
        <x:v>2349500</x:v>
      </x:c>
      <x:c r="F118" s="32">
        <x:f>IF(B118="Holiday",IF(Dashboard!$B$14="Principal Only",MIN(Dashboard!$B$15,C118),0),0)</x:f>
      </x:c>
      <x:c r="G118" s="32" t="n">
        <x:f>IF(B118="Closed",0,IF(B118="Holiday",IF(Dashboard!$B$14="Interest Only",C118*Dashboard!$F$6,MAX(0,(C118-F118)*Dashboard!$F$6)),E118*Dashboard!$F$6))</x:f>
        <x:v>17621.25</x:v>
      </x:c>
      <x:c r="H118" s="32" t="n">
        <x:f>IF(B118="Holiday",IF(Dashboard!$B$14="Interest Only",G118,F118),IF(B118="Closed",0,MIN(Dashboard!$F$10,E118+G118)))</x:f>
        <x:v>0</x:v>
      </x:c>
      <x:c r="I118" s="32" t="n">
        <x:f>IF(B118="Holiday",F118,IF(B118="Closed",0,MAX(0,H118-G118)))</x:f>
        <x:v>0</x:v>
      </x:c>
      <x:c r="J118" s="32" t="n">
        <x:f>IF(B118="Holiday",MAX(0,C118-F118),IF(B118="Closed",0,MAX(0,E118-I118)))</x:f>
        <x:v>2349500</x:v>
      </x:c>
      <x:c r="K118" s="32" t="n">
        <x:f>IF(B118="Holiday",IF(Dashboard!$B$14="Interest Only",D118,D118+G118),0)</x:f>
        <x:v>0</x:v>
      </x:c>
      <x:c r="L118" s="32" t="n">
        <x:f>J118+K118</x:f>
        <x:v>2349500</x:v>
      </x:c>
      <x:c r="M118" s="32" t="n">
        <x:f>IF(A118=1,H118,M117+H118)</x:f>
        <x:v>0</x:v>
      </x:c>
      <x:c r="N118" s="32" t="n">
        <x:f>IF(A118=1,I118,N117+I118)</x:f>
        <x:v>0</x:v>
      </x:c>
      <x:c r="O118" s="32" t="n">
        <x:f>IF(A118=1,G118,O117+G118)</x:f>
        <x:v>1926821.25</x:v>
      </x:c>
      <x:c r="P118" s="37" t="n">
        <x:f>EDATE(Dashboard!$B$10,A118)</x:f>
        <x:v>48580</x:v>
      </x:c>
    </x:row>
    <x:row r="119">
      <x:c r="A119" s="33" t="n">
        <x:v>118</x:v>
      </x:c>
      <x:c r="B119" s="33" t="str">
        <x:f>IF(A119&lt;=Dashboard!$F$8,"Holiday",IF(A119&lt;=Dashboard!$F$8+Dashboard!$F$7,"Repayment","Closed"))</x:f>
        <x:v>Repayment</x:v>
      </x:c>
      <x:c r="C119" s="32" t="n">
        <x:f>IF(A119=1,Dashboard!$B$6,IF(B119="Holiday",J118,L118))</x:f>
        <x:v>2349500</x:v>
      </x:c>
      <x:c r="D119" s="32" t="n">
        <x:f>IF(A119=1,0,IF(B119="Holiday",K118,0))</x:f>
        <x:v>0</x:v>
      </x:c>
      <x:c r="E119" s="32" t="n">
        <x:f>C119+D119</x:f>
        <x:v>2349500</x:v>
      </x:c>
      <x:c r="F119" s="32">
        <x:f>IF(B119="Holiday",IF(Dashboard!$B$14="Principal Only",MIN(Dashboard!$B$15,C119),0),0)</x:f>
      </x:c>
      <x:c r="G119" s="32" t="n">
        <x:f>IF(B119="Closed",0,IF(B119="Holiday",IF(Dashboard!$B$14="Interest Only",C119*Dashboard!$F$6,MAX(0,(C119-F119)*Dashboard!$F$6)),E119*Dashboard!$F$6))</x:f>
        <x:v>17621.25</x:v>
      </x:c>
      <x:c r="H119" s="32" t="n">
        <x:f>IF(B119="Holiday",IF(Dashboard!$B$14="Interest Only",G119,F119),IF(B119="Closed",0,MIN(Dashboard!$F$10,E119+G119)))</x:f>
        <x:v>0</x:v>
      </x:c>
      <x:c r="I119" s="32" t="n">
        <x:f>IF(B119="Holiday",F119,IF(B119="Closed",0,MAX(0,H119-G119)))</x:f>
        <x:v>0</x:v>
      </x:c>
      <x:c r="J119" s="32" t="n">
        <x:f>IF(B119="Holiday",MAX(0,C119-F119),IF(B119="Closed",0,MAX(0,E119-I119)))</x:f>
        <x:v>2349500</x:v>
      </x:c>
      <x:c r="K119" s="32" t="n">
        <x:f>IF(B119="Holiday",IF(Dashboard!$B$14="Interest Only",D119,D119+G119),0)</x:f>
        <x:v>0</x:v>
      </x:c>
      <x:c r="L119" s="32" t="n">
        <x:f>J119+K119</x:f>
        <x:v>2349500</x:v>
      </x:c>
      <x:c r="M119" s="32" t="n">
        <x:f>IF(A119=1,H119,M118+H119)</x:f>
        <x:v>0</x:v>
      </x:c>
      <x:c r="N119" s="32" t="n">
        <x:f>IF(A119=1,I119,N118+I119)</x:f>
        <x:v>0</x:v>
      </x:c>
      <x:c r="O119" s="32" t="n">
        <x:f>IF(A119=1,G119,O118+G119)</x:f>
        <x:v>1944442.5</x:v>
      </x:c>
      <x:c r="P119" s="37" t="n">
        <x:f>EDATE(Dashboard!$B$10,A119)</x:f>
        <x:v>48611</x:v>
      </x:c>
    </x:row>
    <x:row r="120">
      <x:c r="A120" s="33" t="n">
        <x:v>119</x:v>
      </x:c>
      <x:c r="B120" s="33" t="str">
        <x:f>IF(A120&lt;=Dashboard!$F$8,"Holiday",IF(A120&lt;=Dashboard!$F$8+Dashboard!$F$7,"Repayment","Closed"))</x:f>
        <x:v>Repayment</x:v>
      </x:c>
      <x:c r="C120" s="32" t="n">
        <x:f>IF(A120=1,Dashboard!$B$6,IF(B120="Holiday",J119,L119))</x:f>
        <x:v>2349500</x:v>
      </x:c>
      <x:c r="D120" s="32" t="n">
        <x:f>IF(A120=1,0,IF(B120="Holiday",K119,0))</x:f>
        <x:v>0</x:v>
      </x:c>
      <x:c r="E120" s="32" t="n">
        <x:f>C120+D120</x:f>
        <x:v>2349500</x:v>
      </x:c>
      <x:c r="F120" s="32">
        <x:f>IF(B120="Holiday",IF(Dashboard!$B$14="Principal Only",MIN(Dashboard!$B$15,C120),0),0)</x:f>
      </x:c>
      <x:c r="G120" s="32" t="n">
        <x:f>IF(B120="Closed",0,IF(B120="Holiday",IF(Dashboard!$B$14="Interest Only",C120*Dashboard!$F$6,MAX(0,(C120-F120)*Dashboard!$F$6)),E120*Dashboard!$F$6))</x:f>
        <x:v>17621.25</x:v>
      </x:c>
      <x:c r="H120" s="32" t="n">
        <x:f>IF(B120="Holiday",IF(Dashboard!$B$14="Interest Only",G120,F120),IF(B120="Closed",0,MIN(Dashboard!$F$10,E120+G120)))</x:f>
        <x:v>0</x:v>
      </x:c>
      <x:c r="I120" s="32" t="n">
        <x:f>IF(B120="Holiday",F120,IF(B120="Closed",0,MAX(0,H120-G120)))</x:f>
        <x:v>0</x:v>
      </x:c>
      <x:c r="J120" s="32" t="n">
        <x:f>IF(B120="Holiday",MAX(0,C120-F120),IF(B120="Closed",0,MAX(0,E120-I120)))</x:f>
        <x:v>2349500</x:v>
      </x:c>
      <x:c r="K120" s="32" t="n">
        <x:f>IF(B120="Holiday",IF(Dashboard!$B$14="Interest Only",D120,D120+G120),0)</x:f>
        <x:v>0</x:v>
      </x:c>
      <x:c r="L120" s="32" t="n">
        <x:f>J120+K120</x:f>
        <x:v>2349500</x:v>
      </x:c>
      <x:c r="M120" s="32" t="n">
        <x:f>IF(A120=1,H120,M119+H120)</x:f>
        <x:v>0</x:v>
      </x:c>
      <x:c r="N120" s="32" t="n">
        <x:f>IF(A120=1,I120,N119+I120)</x:f>
        <x:v>0</x:v>
      </x:c>
      <x:c r="O120" s="32" t="n">
        <x:f>IF(A120=1,G120,O119+G120)</x:f>
        <x:v>1962063.75</x:v>
      </x:c>
      <x:c r="P120" s="37" t="n">
        <x:f>EDATE(Dashboard!$B$10,A120)</x:f>
        <x:v>48639</x:v>
      </x:c>
    </x:row>
    <x:row r="121">
      <x:c r="A121" s="33" t="n">
        <x:v>120</x:v>
      </x:c>
      <x:c r="B121" s="33" t="str">
        <x:f>IF(A121&lt;=Dashboard!$F$8,"Holiday",IF(A121&lt;=Dashboard!$F$8+Dashboard!$F$7,"Repayment","Closed"))</x:f>
        <x:v>Repayment</x:v>
      </x:c>
      <x:c r="C121" s="32" t="n">
        <x:f>IF(A121=1,Dashboard!$B$6,IF(B121="Holiday",J120,L120))</x:f>
        <x:v>2349500</x:v>
      </x:c>
      <x:c r="D121" s="32" t="n">
        <x:f>IF(A121=1,0,IF(B121="Holiday",K120,0))</x:f>
        <x:v>0</x:v>
      </x:c>
      <x:c r="E121" s="32" t="n">
        <x:f>C121+D121</x:f>
        <x:v>2349500</x:v>
      </x:c>
      <x:c r="F121" s="32">
        <x:f>IF(B121="Holiday",IF(Dashboard!$B$14="Principal Only",MIN(Dashboard!$B$15,C121),0),0)</x:f>
      </x:c>
      <x:c r="G121" s="32" t="n">
        <x:f>IF(B121="Closed",0,IF(B121="Holiday",IF(Dashboard!$B$14="Interest Only",C121*Dashboard!$F$6,MAX(0,(C121-F121)*Dashboard!$F$6)),E121*Dashboard!$F$6))</x:f>
        <x:v>17621.25</x:v>
      </x:c>
      <x:c r="H121" s="32" t="n">
        <x:f>IF(B121="Holiday",IF(Dashboard!$B$14="Interest Only",G121,F121),IF(B121="Closed",0,MIN(Dashboard!$F$10,E121+G121)))</x:f>
        <x:v>0</x:v>
      </x:c>
      <x:c r="I121" s="32" t="n">
        <x:f>IF(B121="Holiday",F121,IF(B121="Closed",0,MAX(0,H121-G121)))</x:f>
        <x:v>0</x:v>
      </x:c>
      <x:c r="J121" s="32" t="n">
        <x:f>IF(B121="Holiday",MAX(0,C121-F121),IF(B121="Closed",0,MAX(0,E121-I121)))</x:f>
        <x:v>2349500</x:v>
      </x:c>
      <x:c r="K121" s="32" t="n">
        <x:f>IF(B121="Holiday",IF(Dashboard!$B$14="Interest Only",D121,D121+G121),0)</x:f>
        <x:v>0</x:v>
      </x:c>
      <x:c r="L121" s="32" t="n">
        <x:f>J121+K121</x:f>
        <x:v>2349500</x:v>
      </x:c>
      <x:c r="M121" s="32" t="n">
        <x:f>IF(A121=1,H121,M120+H121)</x:f>
        <x:v>0</x:v>
      </x:c>
      <x:c r="N121" s="32" t="n">
        <x:f>IF(A121=1,I121,N120+I121)</x:f>
        <x:v>0</x:v>
      </x:c>
      <x:c r="O121" s="32" t="n">
        <x:f>IF(A121=1,G121,O120+G121)</x:f>
        <x:v>1979685</x:v>
      </x:c>
      <x:c r="P121" s="37" t="n">
        <x:f>EDATE(Dashboard!$B$10,A121)</x:f>
        <x:v>48670</x:v>
      </x:c>
    </x:row>
    <x:row r="122">
      <x:c r="A122" s="33" t="n">
        <x:v>121</x:v>
      </x:c>
      <x:c r="B122" s="33" t="str">
        <x:f>IF(A122&lt;=Dashboard!$F$8,"Holiday",IF(A122&lt;=Dashboard!$F$8+Dashboard!$F$7,"Repayment","Closed"))</x:f>
        <x:v>Repayment</x:v>
      </x:c>
      <x:c r="C122" s="32" t="n">
        <x:f>IF(A122=1,Dashboard!$B$6,IF(B122="Holiday",J121,L121))</x:f>
        <x:v>2349500</x:v>
      </x:c>
      <x:c r="D122" s="32" t="n">
        <x:f>IF(A122=1,0,IF(B122="Holiday",K121,0))</x:f>
        <x:v>0</x:v>
      </x:c>
      <x:c r="E122" s="32" t="n">
        <x:f>C122+D122</x:f>
        <x:v>2349500</x:v>
      </x:c>
      <x:c r="F122" s="32">
        <x:f>IF(B122="Holiday",IF(Dashboard!$B$14="Principal Only",MIN(Dashboard!$B$15,C122),0),0)</x:f>
      </x:c>
      <x:c r="G122" s="32" t="n">
        <x:f>IF(B122="Closed",0,IF(B122="Holiday",IF(Dashboard!$B$14="Interest Only",C122*Dashboard!$F$6,MAX(0,(C122-F122)*Dashboard!$F$6)),E122*Dashboard!$F$6))</x:f>
        <x:v>17621.25</x:v>
      </x:c>
      <x:c r="H122" s="32" t="n">
        <x:f>IF(B122="Holiday",IF(Dashboard!$B$14="Interest Only",G122,F122),IF(B122="Closed",0,MIN(Dashboard!$F$10,E122+G122)))</x:f>
        <x:v>0</x:v>
      </x:c>
      <x:c r="I122" s="32" t="n">
        <x:f>IF(B122="Holiday",F122,IF(B122="Closed",0,MAX(0,H122-G122)))</x:f>
        <x:v>0</x:v>
      </x:c>
      <x:c r="J122" s="32" t="n">
        <x:f>IF(B122="Holiday",MAX(0,C122-F122),IF(B122="Closed",0,MAX(0,E122-I122)))</x:f>
        <x:v>2349500</x:v>
      </x:c>
      <x:c r="K122" s="32" t="n">
        <x:f>IF(B122="Holiday",IF(Dashboard!$B$14="Interest Only",D122,D122+G122),0)</x:f>
        <x:v>0</x:v>
      </x:c>
      <x:c r="L122" s="32" t="n">
        <x:f>J122+K122</x:f>
        <x:v>2349500</x:v>
      </x:c>
      <x:c r="M122" s="32" t="n">
        <x:f>IF(A122=1,H122,M121+H122)</x:f>
        <x:v>0</x:v>
      </x:c>
      <x:c r="N122" s="32" t="n">
        <x:f>IF(A122=1,I122,N121+I122)</x:f>
        <x:v>0</x:v>
      </x:c>
      <x:c r="O122" s="32" t="n">
        <x:f>IF(A122=1,G122,O121+G122)</x:f>
        <x:v>1997306.25</x:v>
      </x:c>
      <x:c r="P122" s="37" t="n">
        <x:f>EDATE(Dashboard!$B$10,A122)</x:f>
        <x:v>48700</x:v>
      </x:c>
    </x:row>
    <x:row r="123">
      <x:c r="A123" s="33" t="n">
        <x:v>122</x:v>
      </x:c>
      <x:c r="B123" s="33" t="str">
        <x:f>IF(A123&lt;=Dashboard!$F$8,"Holiday",IF(A123&lt;=Dashboard!$F$8+Dashboard!$F$7,"Repayment","Closed"))</x:f>
        <x:v>Repayment</x:v>
      </x:c>
      <x:c r="C123" s="32" t="n">
        <x:f>IF(A123=1,Dashboard!$B$6,IF(B123="Holiday",J122,L122))</x:f>
        <x:v>2349500</x:v>
      </x:c>
      <x:c r="D123" s="32" t="n">
        <x:f>IF(A123=1,0,IF(B123="Holiday",K122,0))</x:f>
        <x:v>0</x:v>
      </x:c>
      <x:c r="E123" s="32" t="n">
        <x:f>C123+D123</x:f>
        <x:v>2349500</x:v>
      </x:c>
      <x:c r="F123" s="32">
        <x:f>IF(B123="Holiday",IF(Dashboard!$B$14="Principal Only",MIN(Dashboard!$B$15,C123),0),0)</x:f>
      </x:c>
      <x:c r="G123" s="32" t="n">
        <x:f>IF(B123="Closed",0,IF(B123="Holiday",IF(Dashboard!$B$14="Interest Only",C123*Dashboard!$F$6,MAX(0,(C123-F123)*Dashboard!$F$6)),E123*Dashboard!$F$6))</x:f>
        <x:v>17621.25</x:v>
      </x:c>
      <x:c r="H123" s="32" t="n">
        <x:f>IF(B123="Holiday",IF(Dashboard!$B$14="Interest Only",G123,F123),IF(B123="Closed",0,MIN(Dashboard!$F$10,E123+G123)))</x:f>
        <x:v>0</x:v>
      </x:c>
      <x:c r="I123" s="32" t="n">
        <x:f>IF(B123="Holiday",F123,IF(B123="Closed",0,MAX(0,H123-G123)))</x:f>
        <x:v>0</x:v>
      </x:c>
      <x:c r="J123" s="32" t="n">
        <x:f>IF(B123="Holiday",MAX(0,C123-F123),IF(B123="Closed",0,MAX(0,E123-I123)))</x:f>
        <x:v>2349500</x:v>
      </x:c>
      <x:c r="K123" s="32" t="n">
        <x:f>IF(B123="Holiday",IF(Dashboard!$B$14="Interest Only",D123,D123+G123),0)</x:f>
        <x:v>0</x:v>
      </x:c>
      <x:c r="L123" s="32" t="n">
        <x:f>J123+K123</x:f>
        <x:v>2349500</x:v>
      </x:c>
      <x:c r="M123" s="32" t="n">
        <x:f>IF(A123=1,H123,M122+H123)</x:f>
        <x:v>0</x:v>
      </x:c>
      <x:c r="N123" s="32" t="n">
        <x:f>IF(A123=1,I123,N122+I123)</x:f>
        <x:v>0</x:v>
      </x:c>
      <x:c r="O123" s="32" t="n">
        <x:f>IF(A123=1,G123,O122+G123)</x:f>
        <x:v>2014927.5</x:v>
      </x:c>
      <x:c r="P123" s="37" t="n">
        <x:f>EDATE(Dashboard!$B$10,A123)</x:f>
        <x:v>48731</x:v>
      </x:c>
    </x:row>
    <x:row r="124">
      <x:c r="A124" s="33" t="n">
        <x:v>123</x:v>
      </x:c>
      <x:c r="B124" s="33" t="str">
        <x:f>IF(A124&lt;=Dashboard!$F$8,"Holiday",IF(A124&lt;=Dashboard!$F$8+Dashboard!$F$7,"Repayment","Closed"))</x:f>
        <x:v>Repayment</x:v>
      </x:c>
      <x:c r="C124" s="32" t="n">
        <x:f>IF(A124=1,Dashboard!$B$6,IF(B124="Holiday",J123,L123))</x:f>
        <x:v>2349500</x:v>
      </x:c>
      <x:c r="D124" s="32" t="n">
        <x:f>IF(A124=1,0,IF(B124="Holiday",K123,0))</x:f>
        <x:v>0</x:v>
      </x:c>
      <x:c r="E124" s="32" t="n">
        <x:f>C124+D124</x:f>
        <x:v>2349500</x:v>
      </x:c>
      <x:c r="F124" s="32">
        <x:f>IF(B124="Holiday",IF(Dashboard!$B$14="Principal Only",MIN(Dashboard!$B$15,C124),0),0)</x:f>
      </x:c>
      <x:c r="G124" s="32" t="n">
        <x:f>IF(B124="Closed",0,IF(B124="Holiday",IF(Dashboard!$B$14="Interest Only",C124*Dashboard!$F$6,MAX(0,(C124-F124)*Dashboard!$F$6)),E124*Dashboard!$F$6))</x:f>
        <x:v>17621.25</x:v>
      </x:c>
      <x:c r="H124" s="32" t="n">
        <x:f>IF(B124="Holiday",IF(Dashboard!$B$14="Interest Only",G124,F124),IF(B124="Closed",0,MIN(Dashboard!$F$10,E124+G124)))</x:f>
        <x:v>0</x:v>
      </x:c>
      <x:c r="I124" s="32" t="n">
        <x:f>IF(B124="Holiday",F124,IF(B124="Closed",0,MAX(0,H124-G124)))</x:f>
        <x:v>0</x:v>
      </x:c>
      <x:c r="J124" s="32" t="n">
        <x:f>IF(B124="Holiday",MAX(0,C124-F124),IF(B124="Closed",0,MAX(0,E124-I124)))</x:f>
        <x:v>2349500</x:v>
      </x:c>
      <x:c r="K124" s="32" t="n">
        <x:f>IF(B124="Holiday",IF(Dashboard!$B$14="Interest Only",D124,D124+G124),0)</x:f>
        <x:v>0</x:v>
      </x:c>
      <x:c r="L124" s="32" t="n">
        <x:f>J124+K124</x:f>
        <x:v>2349500</x:v>
      </x:c>
      <x:c r="M124" s="32" t="n">
        <x:f>IF(A124=1,H124,M123+H124)</x:f>
        <x:v>0</x:v>
      </x:c>
      <x:c r="N124" s="32" t="n">
        <x:f>IF(A124=1,I124,N123+I124)</x:f>
        <x:v>0</x:v>
      </x:c>
      <x:c r="O124" s="32" t="n">
        <x:f>IF(A124=1,G124,O123+G124)</x:f>
        <x:v>2032548.75</x:v>
      </x:c>
      <x:c r="P124" s="37" t="n">
        <x:f>EDATE(Dashboard!$B$10,A124)</x:f>
        <x:v>48761</x:v>
      </x:c>
    </x:row>
    <x:row r="125">
      <x:c r="A125" s="33" t="n">
        <x:v>124</x:v>
      </x:c>
      <x:c r="B125" s="33" t="str">
        <x:f>IF(A125&lt;=Dashboard!$F$8,"Holiday",IF(A125&lt;=Dashboard!$F$8+Dashboard!$F$7,"Repayment","Closed"))</x:f>
        <x:v>Repayment</x:v>
      </x:c>
      <x:c r="C125" s="32" t="n">
        <x:f>IF(A125=1,Dashboard!$B$6,IF(B125="Holiday",J124,L124))</x:f>
        <x:v>2349500</x:v>
      </x:c>
      <x:c r="D125" s="32" t="n">
        <x:f>IF(A125=1,0,IF(B125="Holiday",K124,0))</x:f>
        <x:v>0</x:v>
      </x:c>
      <x:c r="E125" s="32" t="n">
        <x:f>C125+D125</x:f>
        <x:v>2349500</x:v>
      </x:c>
      <x:c r="F125" s="32">
        <x:f>IF(B125="Holiday",IF(Dashboard!$B$14="Principal Only",MIN(Dashboard!$B$15,C125),0),0)</x:f>
      </x:c>
      <x:c r="G125" s="32" t="n">
        <x:f>IF(B125="Closed",0,IF(B125="Holiday",IF(Dashboard!$B$14="Interest Only",C125*Dashboard!$F$6,MAX(0,(C125-F125)*Dashboard!$F$6)),E125*Dashboard!$F$6))</x:f>
        <x:v>17621.25</x:v>
      </x:c>
      <x:c r="H125" s="32" t="n">
        <x:f>IF(B125="Holiday",IF(Dashboard!$B$14="Interest Only",G125,F125),IF(B125="Closed",0,MIN(Dashboard!$F$10,E125+G125)))</x:f>
        <x:v>0</x:v>
      </x:c>
      <x:c r="I125" s="32" t="n">
        <x:f>IF(B125="Holiday",F125,IF(B125="Closed",0,MAX(0,H125-G125)))</x:f>
        <x:v>0</x:v>
      </x:c>
      <x:c r="J125" s="32" t="n">
        <x:f>IF(B125="Holiday",MAX(0,C125-F125),IF(B125="Closed",0,MAX(0,E125-I125)))</x:f>
        <x:v>2349500</x:v>
      </x:c>
      <x:c r="K125" s="32" t="n">
        <x:f>IF(B125="Holiday",IF(Dashboard!$B$14="Interest Only",D125,D125+G125),0)</x:f>
        <x:v>0</x:v>
      </x:c>
      <x:c r="L125" s="32" t="n">
        <x:f>J125+K125</x:f>
        <x:v>2349500</x:v>
      </x:c>
      <x:c r="M125" s="32" t="n">
        <x:f>IF(A125=1,H125,M124+H125)</x:f>
        <x:v>0</x:v>
      </x:c>
      <x:c r="N125" s="32" t="n">
        <x:f>IF(A125=1,I125,N124+I125)</x:f>
        <x:v>0</x:v>
      </x:c>
      <x:c r="O125" s="32" t="n">
        <x:f>IF(A125=1,G125,O124+G125)</x:f>
        <x:v>2050170</x:v>
      </x:c>
      <x:c r="P125" s="37" t="n">
        <x:f>EDATE(Dashboard!$B$10,A125)</x:f>
        <x:v>48792</x:v>
      </x:c>
    </x:row>
    <x:row r="126">
      <x:c r="A126" s="33" t="n">
        <x:v>125</x:v>
      </x:c>
      <x:c r="B126" s="33" t="str">
        <x:f>IF(A126&lt;=Dashboard!$F$8,"Holiday",IF(A126&lt;=Dashboard!$F$8+Dashboard!$F$7,"Repayment","Closed"))</x:f>
        <x:v>Repayment</x:v>
      </x:c>
      <x:c r="C126" s="32" t="n">
        <x:f>IF(A126=1,Dashboard!$B$6,IF(B126="Holiday",J125,L125))</x:f>
        <x:v>2349500</x:v>
      </x:c>
      <x:c r="D126" s="32" t="n">
        <x:f>IF(A126=1,0,IF(B126="Holiday",K125,0))</x:f>
        <x:v>0</x:v>
      </x:c>
      <x:c r="E126" s="32" t="n">
        <x:f>C126+D126</x:f>
        <x:v>2349500</x:v>
      </x:c>
      <x:c r="F126" s="32">
        <x:f>IF(B126="Holiday",IF(Dashboard!$B$14="Principal Only",MIN(Dashboard!$B$15,C126),0),0)</x:f>
      </x:c>
      <x:c r="G126" s="32" t="n">
        <x:f>IF(B126="Closed",0,IF(B126="Holiday",IF(Dashboard!$B$14="Interest Only",C126*Dashboard!$F$6,MAX(0,(C126-F126)*Dashboard!$F$6)),E126*Dashboard!$F$6))</x:f>
        <x:v>17621.25</x:v>
      </x:c>
      <x:c r="H126" s="32" t="n">
        <x:f>IF(B126="Holiday",IF(Dashboard!$B$14="Interest Only",G126,F126),IF(B126="Closed",0,MIN(Dashboard!$F$10,E126+G126)))</x:f>
        <x:v>0</x:v>
      </x:c>
      <x:c r="I126" s="32" t="n">
        <x:f>IF(B126="Holiday",F126,IF(B126="Closed",0,MAX(0,H126-G126)))</x:f>
        <x:v>0</x:v>
      </x:c>
      <x:c r="J126" s="32" t="n">
        <x:f>IF(B126="Holiday",MAX(0,C126-F126),IF(B126="Closed",0,MAX(0,E126-I126)))</x:f>
        <x:v>2349500</x:v>
      </x:c>
      <x:c r="K126" s="32" t="n">
        <x:f>IF(B126="Holiday",IF(Dashboard!$B$14="Interest Only",D126,D126+G126),0)</x:f>
        <x:v>0</x:v>
      </x:c>
      <x:c r="L126" s="32" t="n">
        <x:f>J126+K126</x:f>
        <x:v>2349500</x:v>
      </x:c>
      <x:c r="M126" s="32" t="n">
        <x:f>IF(A126=1,H126,M125+H126)</x:f>
        <x:v>0</x:v>
      </x:c>
      <x:c r="N126" s="32" t="n">
        <x:f>IF(A126=1,I126,N125+I126)</x:f>
        <x:v>0</x:v>
      </x:c>
      <x:c r="O126" s="32" t="n">
        <x:f>IF(A126=1,G126,O125+G126)</x:f>
        <x:v>2067791.25</x:v>
      </x:c>
      <x:c r="P126" s="37" t="n">
        <x:f>EDATE(Dashboard!$B$10,A126)</x:f>
        <x:v>48823</x:v>
      </x:c>
    </x:row>
    <x:row r="127">
      <x:c r="A127" s="33" t="n">
        <x:v>126</x:v>
      </x:c>
      <x:c r="B127" s="33" t="str">
        <x:f>IF(A127&lt;=Dashboard!$F$8,"Holiday",IF(A127&lt;=Dashboard!$F$8+Dashboard!$F$7,"Repayment","Closed"))</x:f>
        <x:v>Repayment</x:v>
      </x:c>
      <x:c r="C127" s="32" t="n">
        <x:f>IF(A127=1,Dashboard!$B$6,IF(B127="Holiday",J126,L126))</x:f>
        <x:v>2349500</x:v>
      </x:c>
      <x:c r="D127" s="32" t="n">
        <x:f>IF(A127=1,0,IF(B127="Holiday",K126,0))</x:f>
        <x:v>0</x:v>
      </x:c>
      <x:c r="E127" s="32" t="n">
        <x:f>C127+D127</x:f>
        <x:v>2349500</x:v>
      </x:c>
      <x:c r="F127" s="32">
        <x:f>IF(B127="Holiday",IF(Dashboard!$B$14="Principal Only",MIN(Dashboard!$B$15,C127),0),0)</x:f>
      </x:c>
      <x:c r="G127" s="32" t="n">
        <x:f>IF(B127="Closed",0,IF(B127="Holiday",IF(Dashboard!$B$14="Interest Only",C127*Dashboard!$F$6,MAX(0,(C127-F127)*Dashboard!$F$6)),E127*Dashboard!$F$6))</x:f>
        <x:v>17621.25</x:v>
      </x:c>
      <x:c r="H127" s="32" t="n">
        <x:f>IF(B127="Holiday",IF(Dashboard!$B$14="Interest Only",G127,F127),IF(B127="Closed",0,MIN(Dashboard!$F$10,E127+G127)))</x:f>
        <x:v>0</x:v>
      </x:c>
      <x:c r="I127" s="32" t="n">
        <x:f>IF(B127="Holiday",F127,IF(B127="Closed",0,MAX(0,H127-G127)))</x:f>
        <x:v>0</x:v>
      </x:c>
      <x:c r="J127" s="32" t="n">
        <x:f>IF(B127="Holiday",MAX(0,C127-F127),IF(B127="Closed",0,MAX(0,E127-I127)))</x:f>
        <x:v>2349500</x:v>
      </x:c>
      <x:c r="K127" s="32" t="n">
        <x:f>IF(B127="Holiday",IF(Dashboard!$B$14="Interest Only",D127,D127+G127),0)</x:f>
        <x:v>0</x:v>
      </x:c>
      <x:c r="L127" s="32" t="n">
        <x:f>J127+K127</x:f>
        <x:v>2349500</x:v>
      </x:c>
      <x:c r="M127" s="32" t="n">
        <x:f>IF(A127=1,H127,M126+H127)</x:f>
        <x:v>0</x:v>
      </x:c>
      <x:c r="N127" s="32" t="n">
        <x:f>IF(A127=1,I127,N126+I127)</x:f>
        <x:v>0</x:v>
      </x:c>
      <x:c r="O127" s="32" t="n">
        <x:f>IF(A127=1,G127,O126+G127)</x:f>
        <x:v>2085412.5</x:v>
      </x:c>
      <x:c r="P127" s="37" t="n">
        <x:f>EDATE(Dashboard!$B$10,A127)</x:f>
        <x:v>48853</x:v>
      </x:c>
    </x:row>
    <x:row r="128">
      <x:c r="A128" s="33" t="n">
        <x:v>127</x:v>
      </x:c>
      <x:c r="B128" s="33" t="str">
        <x:f>IF(A128&lt;=Dashboard!$F$8,"Holiday",IF(A128&lt;=Dashboard!$F$8+Dashboard!$F$7,"Repayment","Closed"))</x:f>
        <x:v>Repayment</x:v>
      </x:c>
      <x:c r="C128" s="32" t="n">
        <x:f>IF(A128=1,Dashboard!$B$6,IF(B128="Holiday",J127,L127))</x:f>
        <x:v>2349500</x:v>
      </x:c>
      <x:c r="D128" s="32" t="n">
        <x:f>IF(A128=1,0,IF(B128="Holiday",K127,0))</x:f>
        <x:v>0</x:v>
      </x:c>
      <x:c r="E128" s="32" t="n">
        <x:f>C128+D128</x:f>
        <x:v>2349500</x:v>
      </x:c>
      <x:c r="F128" s="32">
        <x:f>IF(B128="Holiday",IF(Dashboard!$B$14="Principal Only",MIN(Dashboard!$B$15,C128),0),0)</x:f>
      </x:c>
      <x:c r="G128" s="32" t="n">
        <x:f>IF(B128="Closed",0,IF(B128="Holiday",IF(Dashboard!$B$14="Interest Only",C128*Dashboard!$F$6,MAX(0,(C128-F128)*Dashboard!$F$6)),E128*Dashboard!$F$6))</x:f>
        <x:v>17621.25</x:v>
      </x:c>
      <x:c r="H128" s="32" t="n">
        <x:f>IF(B128="Holiday",IF(Dashboard!$B$14="Interest Only",G128,F128),IF(B128="Closed",0,MIN(Dashboard!$F$10,E128+G128)))</x:f>
        <x:v>0</x:v>
      </x:c>
      <x:c r="I128" s="32" t="n">
        <x:f>IF(B128="Holiday",F128,IF(B128="Closed",0,MAX(0,H128-G128)))</x:f>
        <x:v>0</x:v>
      </x:c>
      <x:c r="J128" s="32" t="n">
        <x:f>IF(B128="Holiday",MAX(0,C128-F128),IF(B128="Closed",0,MAX(0,E128-I128)))</x:f>
        <x:v>2349500</x:v>
      </x:c>
      <x:c r="K128" s="32" t="n">
        <x:f>IF(B128="Holiday",IF(Dashboard!$B$14="Interest Only",D128,D128+G128),0)</x:f>
        <x:v>0</x:v>
      </x:c>
      <x:c r="L128" s="32" t="n">
        <x:f>J128+K128</x:f>
        <x:v>2349500</x:v>
      </x:c>
      <x:c r="M128" s="32" t="n">
        <x:f>IF(A128=1,H128,M127+H128)</x:f>
        <x:v>0</x:v>
      </x:c>
      <x:c r="N128" s="32" t="n">
        <x:f>IF(A128=1,I128,N127+I128)</x:f>
        <x:v>0</x:v>
      </x:c>
      <x:c r="O128" s="32" t="n">
        <x:f>IF(A128=1,G128,O127+G128)</x:f>
        <x:v>2103033.75</x:v>
      </x:c>
      <x:c r="P128" s="37" t="n">
        <x:f>EDATE(Dashboard!$B$10,A128)</x:f>
        <x:v>48884</x:v>
      </x:c>
    </x:row>
    <x:row r="129">
      <x:c r="A129" s="33" t="n">
        <x:v>128</x:v>
      </x:c>
      <x:c r="B129" s="33" t="str">
        <x:f>IF(A129&lt;=Dashboard!$F$8,"Holiday",IF(A129&lt;=Dashboard!$F$8+Dashboard!$F$7,"Repayment","Closed"))</x:f>
        <x:v>Repayment</x:v>
      </x:c>
      <x:c r="C129" s="32" t="n">
        <x:f>IF(A129=1,Dashboard!$B$6,IF(B129="Holiday",J128,L128))</x:f>
        <x:v>2349500</x:v>
      </x:c>
      <x:c r="D129" s="32" t="n">
        <x:f>IF(A129=1,0,IF(B129="Holiday",K128,0))</x:f>
        <x:v>0</x:v>
      </x:c>
      <x:c r="E129" s="32" t="n">
        <x:f>C129+D129</x:f>
        <x:v>2349500</x:v>
      </x:c>
      <x:c r="F129" s="32">
        <x:f>IF(B129="Holiday",IF(Dashboard!$B$14="Principal Only",MIN(Dashboard!$B$15,C129),0),0)</x:f>
      </x:c>
      <x:c r="G129" s="32" t="n">
        <x:f>IF(B129="Closed",0,IF(B129="Holiday",IF(Dashboard!$B$14="Interest Only",C129*Dashboard!$F$6,MAX(0,(C129-F129)*Dashboard!$F$6)),E129*Dashboard!$F$6))</x:f>
        <x:v>17621.25</x:v>
      </x:c>
      <x:c r="H129" s="32" t="n">
        <x:f>IF(B129="Holiday",IF(Dashboard!$B$14="Interest Only",G129,F129),IF(B129="Closed",0,MIN(Dashboard!$F$10,E129+G129)))</x:f>
        <x:v>0</x:v>
      </x:c>
      <x:c r="I129" s="32" t="n">
        <x:f>IF(B129="Holiday",F129,IF(B129="Closed",0,MAX(0,H129-G129)))</x:f>
        <x:v>0</x:v>
      </x:c>
      <x:c r="J129" s="32" t="n">
        <x:f>IF(B129="Holiday",MAX(0,C129-F129),IF(B129="Closed",0,MAX(0,E129-I129)))</x:f>
        <x:v>2349500</x:v>
      </x:c>
      <x:c r="K129" s="32" t="n">
        <x:f>IF(B129="Holiday",IF(Dashboard!$B$14="Interest Only",D129,D129+G129),0)</x:f>
        <x:v>0</x:v>
      </x:c>
      <x:c r="L129" s="32" t="n">
        <x:f>J129+K129</x:f>
        <x:v>2349500</x:v>
      </x:c>
      <x:c r="M129" s="32" t="n">
        <x:f>IF(A129=1,H129,M128+H129)</x:f>
        <x:v>0</x:v>
      </x:c>
      <x:c r="N129" s="32" t="n">
        <x:f>IF(A129=1,I129,N128+I129)</x:f>
        <x:v>0</x:v>
      </x:c>
      <x:c r="O129" s="32" t="n">
        <x:f>IF(A129=1,G129,O128+G129)</x:f>
        <x:v>2120655</x:v>
      </x:c>
      <x:c r="P129" s="37" t="n">
        <x:f>EDATE(Dashboard!$B$10,A129)</x:f>
        <x:v>48914</x:v>
      </x:c>
    </x:row>
    <x:row r="130">
      <x:c r="A130" s="33" t="n">
        <x:v>129</x:v>
      </x:c>
      <x:c r="B130" s="33" t="str">
        <x:f>IF(A130&lt;=Dashboard!$F$8,"Holiday",IF(A130&lt;=Dashboard!$F$8+Dashboard!$F$7,"Repayment","Closed"))</x:f>
        <x:v>Repayment</x:v>
      </x:c>
      <x:c r="C130" s="32" t="n">
        <x:f>IF(A130=1,Dashboard!$B$6,IF(B130="Holiday",J129,L129))</x:f>
        <x:v>2349500</x:v>
      </x:c>
      <x:c r="D130" s="32" t="n">
        <x:f>IF(A130=1,0,IF(B130="Holiday",K129,0))</x:f>
        <x:v>0</x:v>
      </x:c>
      <x:c r="E130" s="32" t="n">
        <x:f>C130+D130</x:f>
        <x:v>2349500</x:v>
      </x:c>
      <x:c r="F130" s="32">
        <x:f>IF(B130="Holiday",IF(Dashboard!$B$14="Principal Only",MIN(Dashboard!$B$15,C130),0),0)</x:f>
      </x:c>
      <x:c r="G130" s="32" t="n">
        <x:f>IF(B130="Closed",0,IF(B130="Holiday",IF(Dashboard!$B$14="Interest Only",C130*Dashboard!$F$6,MAX(0,(C130-F130)*Dashboard!$F$6)),E130*Dashboard!$F$6))</x:f>
        <x:v>17621.25</x:v>
      </x:c>
      <x:c r="H130" s="32" t="n">
        <x:f>IF(B130="Holiday",IF(Dashboard!$B$14="Interest Only",G130,F130),IF(B130="Closed",0,MIN(Dashboard!$F$10,E130+G130)))</x:f>
        <x:v>0</x:v>
      </x:c>
      <x:c r="I130" s="32" t="n">
        <x:f>IF(B130="Holiday",F130,IF(B130="Closed",0,MAX(0,H130-G130)))</x:f>
        <x:v>0</x:v>
      </x:c>
      <x:c r="J130" s="32" t="n">
        <x:f>IF(B130="Holiday",MAX(0,C130-F130),IF(B130="Closed",0,MAX(0,E130-I130)))</x:f>
        <x:v>2349500</x:v>
      </x:c>
      <x:c r="K130" s="32" t="n">
        <x:f>IF(B130="Holiday",IF(Dashboard!$B$14="Interest Only",D130,D130+G130),0)</x:f>
        <x:v>0</x:v>
      </x:c>
      <x:c r="L130" s="32" t="n">
        <x:f>J130+K130</x:f>
        <x:v>2349500</x:v>
      </x:c>
      <x:c r="M130" s="32" t="n">
        <x:f>IF(A130=1,H130,M129+H130)</x:f>
        <x:v>0</x:v>
      </x:c>
      <x:c r="N130" s="32" t="n">
        <x:f>IF(A130=1,I130,N129+I130)</x:f>
        <x:v>0</x:v>
      </x:c>
      <x:c r="O130" s="32" t="n">
        <x:f>IF(A130=1,G130,O129+G130)</x:f>
        <x:v>2138276.25</x:v>
      </x:c>
      <x:c r="P130" s="37" t="n">
        <x:f>EDATE(Dashboard!$B$10,A130)</x:f>
        <x:v>48945</x:v>
      </x:c>
    </x:row>
    <x:row r="131">
      <x:c r="A131" s="33" t="n">
        <x:v>130</x:v>
      </x:c>
      <x:c r="B131" s="33" t="str">
        <x:f>IF(A131&lt;=Dashboard!$F$8,"Holiday",IF(A131&lt;=Dashboard!$F$8+Dashboard!$F$7,"Repayment","Closed"))</x:f>
        <x:v>Repayment</x:v>
      </x:c>
      <x:c r="C131" s="32" t="n">
        <x:f>IF(A131=1,Dashboard!$B$6,IF(B131="Holiday",J130,L130))</x:f>
        <x:v>2349500</x:v>
      </x:c>
      <x:c r="D131" s="32" t="n">
        <x:f>IF(A131=1,0,IF(B131="Holiday",K130,0))</x:f>
        <x:v>0</x:v>
      </x:c>
      <x:c r="E131" s="32" t="n">
        <x:f>C131+D131</x:f>
        <x:v>2349500</x:v>
      </x:c>
      <x:c r="F131" s="32">
        <x:f>IF(B131="Holiday",IF(Dashboard!$B$14="Principal Only",MIN(Dashboard!$B$15,C131),0),0)</x:f>
      </x:c>
      <x:c r="G131" s="32" t="n">
        <x:f>IF(B131="Closed",0,IF(B131="Holiday",IF(Dashboard!$B$14="Interest Only",C131*Dashboard!$F$6,MAX(0,(C131-F131)*Dashboard!$F$6)),E131*Dashboard!$F$6))</x:f>
        <x:v>17621.25</x:v>
      </x:c>
      <x:c r="H131" s="32" t="n">
        <x:f>IF(B131="Holiday",IF(Dashboard!$B$14="Interest Only",G131,F131),IF(B131="Closed",0,MIN(Dashboard!$F$10,E131+G131)))</x:f>
        <x:v>0</x:v>
      </x:c>
      <x:c r="I131" s="32" t="n">
        <x:f>IF(B131="Holiday",F131,IF(B131="Closed",0,MAX(0,H131-G131)))</x:f>
        <x:v>0</x:v>
      </x:c>
      <x:c r="J131" s="32" t="n">
        <x:f>IF(B131="Holiday",MAX(0,C131-F131),IF(B131="Closed",0,MAX(0,E131-I131)))</x:f>
        <x:v>2349500</x:v>
      </x:c>
      <x:c r="K131" s="32" t="n">
        <x:f>IF(B131="Holiday",IF(Dashboard!$B$14="Interest Only",D131,D131+G131),0)</x:f>
        <x:v>0</x:v>
      </x:c>
      <x:c r="L131" s="32" t="n">
        <x:f>J131+K131</x:f>
        <x:v>2349500</x:v>
      </x:c>
      <x:c r="M131" s="32" t="n">
        <x:f>IF(A131=1,H131,M130+H131)</x:f>
        <x:v>0</x:v>
      </x:c>
      <x:c r="N131" s="32" t="n">
        <x:f>IF(A131=1,I131,N130+I131)</x:f>
        <x:v>0</x:v>
      </x:c>
      <x:c r="O131" s="32" t="n">
        <x:f>IF(A131=1,G131,O130+G131)</x:f>
        <x:v>2155897.5</x:v>
      </x:c>
      <x:c r="P131" s="37" t="n">
        <x:f>EDATE(Dashboard!$B$10,A131)</x:f>
        <x:v>48976</x:v>
      </x:c>
    </x:row>
    <x:row r="132">
      <x:c r="A132" s="33" t="n">
        <x:v>131</x:v>
      </x:c>
      <x:c r="B132" s="33" t="str">
        <x:f>IF(A132&lt;=Dashboard!$F$8,"Holiday",IF(A132&lt;=Dashboard!$F$8+Dashboard!$F$7,"Repayment","Closed"))</x:f>
        <x:v>Repayment</x:v>
      </x:c>
      <x:c r="C132" s="32" t="n">
        <x:f>IF(A132=1,Dashboard!$B$6,IF(B132="Holiday",J131,L131))</x:f>
        <x:v>2349500</x:v>
      </x:c>
      <x:c r="D132" s="32" t="n">
        <x:f>IF(A132=1,0,IF(B132="Holiday",K131,0))</x:f>
        <x:v>0</x:v>
      </x:c>
      <x:c r="E132" s="32" t="n">
        <x:f>C132+D132</x:f>
        <x:v>2349500</x:v>
      </x:c>
      <x:c r="F132" s="32">
        <x:f>IF(B132="Holiday",IF(Dashboard!$B$14="Principal Only",MIN(Dashboard!$B$15,C132),0),0)</x:f>
      </x:c>
      <x:c r="G132" s="32" t="n">
        <x:f>IF(B132="Closed",0,IF(B132="Holiday",IF(Dashboard!$B$14="Interest Only",C132*Dashboard!$F$6,MAX(0,(C132-F132)*Dashboard!$F$6)),E132*Dashboard!$F$6))</x:f>
        <x:v>17621.25</x:v>
      </x:c>
      <x:c r="H132" s="32" t="n">
        <x:f>IF(B132="Holiday",IF(Dashboard!$B$14="Interest Only",G132,F132),IF(B132="Closed",0,MIN(Dashboard!$F$10,E132+G132)))</x:f>
        <x:v>0</x:v>
      </x:c>
      <x:c r="I132" s="32" t="n">
        <x:f>IF(B132="Holiday",F132,IF(B132="Closed",0,MAX(0,H132-G132)))</x:f>
        <x:v>0</x:v>
      </x:c>
      <x:c r="J132" s="32" t="n">
        <x:f>IF(B132="Holiday",MAX(0,C132-F132),IF(B132="Closed",0,MAX(0,E132-I132)))</x:f>
        <x:v>2349500</x:v>
      </x:c>
      <x:c r="K132" s="32" t="n">
        <x:f>IF(B132="Holiday",IF(Dashboard!$B$14="Interest Only",D132,D132+G132),0)</x:f>
        <x:v>0</x:v>
      </x:c>
      <x:c r="L132" s="32" t="n">
        <x:f>J132+K132</x:f>
        <x:v>2349500</x:v>
      </x:c>
      <x:c r="M132" s="32" t="n">
        <x:f>IF(A132=1,H132,M131+H132)</x:f>
        <x:v>0</x:v>
      </x:c>
      <x:c r="N132" s="32" t="n">
        <x:f>IF(A132=1,I132,N131+I132)</x:f>
        <x:v>0</x:v>
      </x:c>
      <x:c r="O132" s="32" t="n">
        <x:f>IF(A132=1,G132,O131+G132)</x:f>
        <x:v>2173518.75</x:v>
      </x:c>
      <x:c r="P132" s="37" t="n">
        <x:f>EDATE(Dashboard!$B$10,A132)</x:f>
        <x:v>49004</x:v>
      </x:c>
    </x:row>
    <x:row r="133">
      <x:c r="A133" s="33" t="n">
        <x:v>132</x:v>
      </x:c>
      <x:c r="B133" s="33" t="str">
        <x:f>IF(A133&lt;=Dashboard!$F$8,"Holiday",IF(A133&lt;=Dashboard!$F$8+Dashboard!$F$7,"Repayment","Closed"))</x:f>
        <x:v>Repayment</x:v>
      </x:c>
      <x:c r="C133" s="32" t="n">
        <x:f>IF(A133=1,Dashboard!$B$6,IF(B133="Holiday",J132,L132))</x:f>
        <x:v>2349500</x:v>
      </x:c>
      <x:c r="D133" s="32" t="n">
        <x:f>IF(A133=1,0,IF(B133="Holiday",K132,0))</x:f>
        <x:v>0</x:v>
      </x:c>
      <x:c r="E133" s="32" t="n">
        <x:f>C133+D133</x:f>
        <x:v>2349500</x:v>
      </x:c>
      <x:c r="F133" s="32">
        <x:f>IF(B133="Holiday",IF(Dashboard!$B$14="Principal Only",MIN(Dashboard!$B$15,C133),0),0)</x:f>
      </x:c>
      <x:c r="G133" s="32" t="n">
        <x:f>IF(B133="Closed",0,IF(B133="Holiday",IF(Dashboard!$B$14="Interest Only",C133*Dashboard!$F$6,MAX(0,(C133-F133)*Dashboard!$F$6)),E133*Dashboard!$F$6))</x:f>
        <x:v>17621.25</x:v>
      </x:c>
      <x:c r="H133" s="32" t="n">
        <x:f>IF(B133="Holiday",IF(Dashboard!$B$14="Interest Only",G133,F133),IF(B133="Closed",0,MIN(Dashboard!$F$10,E133+G133)))</x:f>
        <x:v>0</x:v>
      </x:c>
      <x:c r="I133" s="32" t="n">
        <x:f>IF(B133="Holiday",F133,IF(B133="Closed",0,MAX(0,H133-G133)))</x:f>
        <x:v>0</x:v>
      </x:c>
      <x:c r="J133" s="32" t="n">
        <x:f>IF(B133="Holiday",MAX(0,C133-F133),IF(B133="Closed",0,MAX(0,E133-I133)))</x:f>
        <x:v>2349500</x:v>
      </x:c>
      <x:c r="K133" s="32" t="n">
        <x:f>IF(B133="Holiday",IF(Dashboard!$B$14="Interest Only",D133,D133+G133),0)</x:f>
        <x:v>0</x:v>
      </x:c>
      <x:c r="L133" s="32" t="n">
        <x:f>J133+K133</x:f>
        <x:v>2349500</x:v>
      </x:c>
      <x:c r="M133" s="32" t="n">
        <x:f>IF(A133=1,H133,M132+H133)</x:f>
        <x:v>0</x:v>
      </x:c>
      <x:c r="N133" s="32" t="n">
        <x:f>IF(A133=1,I133,N132+I133)</x:f>
        <x:v>0</x:v>
      </x:c>
      <x:c r="O133" s="32" t="n">
        <x:f>IF(A133=1,G133,O132+G133)</x:f>
        <x:v>2191140</x:v>
      </x:c>
      <x:c r="P133" s="37" t="n">
        <x:f>EDATE(Dashboard!$B$10,A133)</x:f>
        <x:v>49035</x:v>
      </x:c>
    </x:row>
    <x:row r="134">
      <x:c r="A134" s="33" t="n">
        <x:v>133</x:v>
      </x:c>
      <x:c r="B134" s="33" t="str">
        <x:f>IF(A134&lt;=Dashboard!$F$8,"Holiday",IF(A134&lt;=Dashboard!$F$8+Dashboard!$F$7,"Repayment","Closed"))</x:f>
        <x:v>Repayment</x:v>
      </x:c>
      <x:c r="C134" s="32" t="n">
        <x:f>IF(A134=1,Dashboard!$B$6,IF(B134="Holiday",J133,L133))</x:f>
        <x:v>2349500</x:v>
      </x:c>
      <x:c r="D134" s="32" t="n">
        <x:f>IF(A134=1,0,IF(B134="Holiday",K133,0))</x:f>
        <x:v>0</x:v>
      </x:c>
      <x:c r="E134" s="32" t="n">
        <x:f>C134+D134</x:f>
        <x:v>2349500</x:v>
      </x:c>
      <x:c r="F134" s="32">
        <x:f>IF(B134="Holiday",IF(Dashboard!$B$14="Principal Only",MIN(Dashboard!$B$15,C134),0),0)</x:f>
      </x:c>
      <x:c r="G134" s="32" t="n">
        <x:f>IF(B134="Closed",0,IF(B134="Holiday",IF(Dashboard!$B$14="Interest Only",C134*Dashboard!$F$6,MAX(0,(C134-F134)*Dashboard!$F$6)),E134*Dashboard!$F$6))</x:f>
        <x:v>17621.25</x:v>
      </x:c>
      <x:c r="H134" s="32" t="n">
        <x:f>IF(B134="Holiday",IF(Dashboard!$B$14="Interest Only",G134,F134),IF(B134="Closed",0,MIN(Dashboard!$F$10,E134+G134)))</x:f>
        <x:v>0</x:v>
      </x:c>
      <x:c r="I134" s="32" t="n">
        <x:f>IF(B134="Holiday",F134,IF(B134="Closed",0,MAX(0,H134-G134)))</x:f>
        <x:v>0</x:v>
      </x:c>
      <x:c r="J134" s="32" t="n">
        <x:f>IF(B134="Holiday",MAX(0,C134-F134),IF(B134="Closed",0,MAX(0,E134-I134)))</x:f>
        <x:v>2349500</x:v>
      </x:c>
      <x:c r="K134" s="32" t="n">
        <x:f>IF(B134="Holiday",IF(Dashboard!$B$14="Interest Only",D134,D134+G134),0)</x:f>
        <x:v>0</x:v>
      </x:c>
      <x:c r="L134" s="32" t="n">
        <x:f>J134+K134</x:f>
        <x:v>2349500</x:v>
      </x:c>
      <x:c r="M134" s="32" t="n">
        <x:f>IF(A134=1,H134,M133+H134)</x:f>
        <x:v>0</x:v>
      </x:c>
      <x:c r="N134" s="32" t="n">
        <x:f>IF(A134=1,I134,N133+I134)</x:f>
        <x:v>0</x:v>
      </x:c>
      <x:c r="O134" s="32" t="n">
        <x:f>IF(A134=1,G134,O133+G134)</x:f>
        <x:v>2208761.25</x:v>
      </x:c>
      <x:c r="P134" s="37" t="n">
        <x:f>EDATE(Dashboard!$B$10,A134)</x:f>
        <x:v>49065</x:v>
      </x:c>
    </x:row>
    <x:row r="135">
      <x:c r="A135" s="33" t="n">
        <x:v>134</x:v>
      </x:c>
      <x:c r="B135" s="33" t="str">
        <x:f>IF(A135&lt;=Dashboard!$F$8,"Holiday",IF(A135&lt;=Dashboard!$F$8+Dashboard!$F$7,"Repayment","Closed"))</x:f>
        <x:v>Repayment</x:v>
      </x:c>
      <x:c r="C135" s="32" t="n">
        <x:f>IF(A135=1,Dashboard!$B$6,IF(B135="Holiday",J134,L134))</x:f>
        <x:v>2349500</x:v>
      </x:c>
      <x:c r="D135" s="32" t="n">
        <x:f>IF(A135=1,0,IF(B135="Holiday",K134,0))</x:f>
        <x:v>0</x:v>
      </x:c>
      <x:c r="E135" s="32" t="n">
        <x:f>C135+D135</x:f>
        <x:v>2349500</x:v>
      </x:c>
      <x:c r="F135" s="32">
        <x:f>IF(B135="Holiday",IF(Dashboard!$B$14="Principal Only",MIN(Dashboard!$B$15,C135),0),0)</x:f>
      </x:c>
      <x:c r="G135" s="32" t="n">
        <x:f>IF(B135="Closed",0,IF(B135="Holiday",IF(Dashboard!$B$14="Interest Only",C135*Dashboard!$F$6,MAX(0,(C135-F135)*Dashboard!$F$6)),E135*Dashboard!$F$6))</x:f>
        <x:v>17621.25</x:v>
      </x:c>
      <x:c r="H135" s="32" t="n">
        <x:f>IF(B135="Holiday",IF(Dashboard!$B$14="Interest Only",G135,F135),IF(B135="Closed",0,MIN(Dashboard!$F$10,E135+G135)))</x:f>
        <x:v>0</x:v>
      </x:c>
      <x:c r="I135" s="32" t="n">
        <x:f>IF(B135="Holiday",F135,IF(B135="Closed",0,MAX(0,H135-G135)))</x:f>
        <x:v>0</x:v>
      </x:c>
      <x:c r="J135" s="32" t="n">
        <x:f>IF(B135="Holiday",MAX(0,C135-F135),IF(B135="Closed",0,MAX(0,E135-I135)))</x:f>
        <x:v>2349500</x:v>
      </x:c>
      <x:c r="K135" s="32" t="n">
        <x:f>IF(B135="Holiday",IF(Dashboard!$B$14="Interest Only",D135,D135+G135),0)</x:f>
        <x:v>0</x:v>
      </x:c>
      <x:c r="L135" s="32" t="n">
        <x:f>J135+K135</x:f>
        <x:v>2349500</x:v>
      </x:c>
      <x:c r="M135" s="32" t="n">
        <x:f>IF(A135=1,H135,M134+H135)</x:f>
        <x:v>0</x:v>
      </x:c>
      <x:c r="N135" s="32" t="n">
        <x:f>IF(A135=1,I135,N134+I135)</x:f>
        <x:v>0</x:v>
      </x:c>
      <x:c r="O135" s="32" t="n">
        <x:f>IF(A135=1,G135,O134+G135)</x:f>
        <x:v>2226382.5</x:v>
      </x:c>
      <x:c r="P135" s="37" t="n">
        <x:f>EDATE(Dashboard!$B$10,A135)</x:f>
        <x:v>49096</x:v>
      </x:c>
    </x:row>
    <x:row r="136">
      <x:c r="A136" s="33" t="n">
        <x:v>135</x:v>
      </x:c>
      <x:c r="B136" s="33" t="str">
        <x:f>IF(A136&lt;=Dashboard!$F$8,"Holiday",IF(A136&lt;=Dashboard!$F$8+Dashboard!$F$7,"Repayment","Closed"))</x:f>
        <x:v>Repayment</x:v>
      </x:c>
      <x:c r="C136" s="32" t="n">
        <x:f>IF(A136=1,Dashboard!$B$6,IF(B136="Holiday",J135,L135))</x:f>
        <x:v>2349500</x:v>
      </x:c>
      <x:c r="D136" s="32" t="n">
        <x:f>IF(A136=1,0,IF(B136="Holiday",K135,0))</x:f>
        <x:v>0</x:v>
      </x:c>
      <x:c r="E136" s="32" t="n">
        <x:f>C136+D136</x:f>
        <x:v>2349500</x:v>
      </x:c>
      <x:c r="F136" s="32">
        <x:f>IF(B136="Holiday",IF(Dashboard!$B$14="Principal Only",MIN(Dashboard!$B$15,C136),0),0)</x:f>
      </x:c>
      <x:c r="G136" s="32" t="n">
        <x:f>IF(B136="Closed",0,IF(B136="Holiday",IF(Dashboard!$B$14="Interest Only",C136*Dashboard!$F$6,MAX(0,(C136-F136)*Dashboard!$F$6)),E136*Dashboard!$F$6))</x:f>
        <x:v>17621.25</x:v>
      </x:c>
      <x:c r="H136" s="32" t="n">
        <x:f>IF(B136="Holiday",IF(Dashboard!$B$14="Interest Only",G136,F136),IF(B136="Closed",0,MIN(Dashboard!$F$10,E136+G136)))</x:f>
        <x:v>0</x:v>
      </x:c>
      <x:c r="I136" s="32" t="n">
        <x:f>IF(B136="Holiday",F136,IF(B136="Closed",0,MAX(0,H136-G136)))</x:f>
        <x:v>0</x:v>
      </x:c>
      <x:c r="J136" s="32" t="n">
        <x:f>IF(B136="Holiday",MAX(0,C136-F136),IF(B136="Closed",0,MAX(0,E136-I136)))</x:f>
        <x:v>2349500</x:v>
      </x:c>
      <x:c r="K136" s="32" t="n">
        <x:f>IF(B136="Holiday",IF(Dashboard!$B$14="Interest Only",D136,D136+G136),0)</x:f>
        <x:v>0</x:v>
      </x:c>
      <x:c r="L136" s="32" t="n">
        <x:f>J136+K136</x:f>
        <x:v>2349500</x:v>
      </x:c>
      <x:c r="M136" s="32" t="n">
        <x:f>IF(A136=1,H136,M135+H136)</x:f>
        <x:v>0</x:v>
      </x:c>
      <x:c r="N136" s="32" t="n">
        <x:f>IF(A136=1,I136,N135+I136)</x:f>
        <x:v>0</x:v>
      </x:c>
      <x:c r="O136" s="32" t="n">
        <x:f>IF(A136=1,G136,O135+G136)</x:f>
        <x:v>2244003.75</x:v>
      </x:c>
      <x:c r="P136" s="37" t="n">
        <x:f>EDATE(Dashboard!$B$10,A136)</x:f>
        <x:v>49126</x:v>
      </x:c>
    </x:row>
    <x:row r="137">
      <x:c r="A137" s="33" t="n">
        <x:v>136</x:v>
      </x:c>
      <x:c r="B137" s="33" t="str">
        <x:f>IF(A137&lt;=Dashboard!$F$8,"Holiday",IF(A137&lt;=Dashboard!$F$8+Dashboard!$F$7,"Repayment","Closed"))</x:f>
        <x:v>Repayment</x:v>
      </x:c>
      <x:c r="C137" s="32" t="n">
        <x:f>IF(A137=1,Dashboard!$B$6,IF(B137="Holiday",J136,L136))</x:f>
        <x:v>2349500</x:v>
      </x:c>
      <x:c r="D137" s="32" t="n">
        <x:f>IF(A137=1,0,IF(B137="Holiday",K136,0))</x:f>
        <x:v>0</x:v>
      </x:c>
      <x:c r="E137" s="32" t="n">
        <x:f>C137+D137</x:f>
        <x:v>2349500</x:v>
      </x:c>
      <x:c r="F137" s="32">
        <x:f>IF(B137="Holiday",IF(Dashboard!$B$14="Principal Only",MIN(Dashboard!$B$15,C137),0),0)</x:f>
      </x:c>
      <x:c r="G137" s="32" t="n">
        <x:f>IF(B137="Closed",0,IF(B137="Holiday",IF(Dashboard!$B$14="Interest Only",C137*Dashboard!$F$6,MAX(0,(C137-F137)*Dashboard!$F$6)),E137*Dashboard!$F$6))</x:f>
        <x:v>17621.25</x:v>
      </x:c>
      <x:c r="H137" s="32" t="n">
        <x:f>IF(B137="Holiday",IF(Dashboard!$B$14="Interest Only",G137,F137),IF(B137="Closed",0,MIN(Dashboard!$F$10,E137+G137)))</x:f>
        <x:v>0</x:v>
      </x:c>
      <x:c r="I137" s="32" t="n">
        <x:f>IF(B137="Holiday",F137,IF(B137="Closed",0,MAX(0,H137-G137)))</x:f>
        <x:v>0</x:v>
      </x:c>
      <x:c r="J137" s="32" t="n">
        <x:f>IF(B137="Holiday",MAX(0,C137-F137),IF(B137="Closed",0,MAX(0,E137-I137)))</x:f>
        <x:v>2349500</x:v>
      </x:c>
      <x:c r="K137" s="32" t="n">
        <x:f>IF(B137="Holiday",IF(Dashboard!$B$14="Interest Only",D137,D137+G137),0)</x:f>
        <x:v>0</x:v>
      </x:c>
      <x:c r="L137" s="32" t="n">
        <x:f>J137+K137</x:f>
        <x:v>2349500</x:v>
      </x:c>
      <x:c r="M137" s="32" t="n">
        <x:f>IF(A137=1,H137,M136+H137)</x:f>
        <x:v>0</x:v>
      </x:c>
      <x:c r="N137" s="32" t="n">
        <x:f>IF(A137=1,I137,N136+I137)</x:f>
        <x:v>0</x:v>
      </x:c>
      <x:c r="O137" s="32" t="n">
        <x:f>IF(A137=1,G137,O136+G137)</x:f>
        <x:v>2261625</x:v>
      </x:c>
      <x:c r="P137" s="37" t="n">
        <x:f>EDATE(Dashboard!$B$10,A137)</x:f>
        <x:v>49157</x:v>
      </x:c>
    </x:row>
    <x:row r="138">
      <x:c r="A138" s="33" t="n">
        <x:v>137</x:v>
      </x:c>
      <x:c r="B138" s="33" t="str">
        <x:f>IF(A138&lt;=Dashboard!$F$8,"Holiday",IF(A138&lt;=Dashboard!$F$8+Dashboard!$F$7,"Repayment","Closed"))</x:f>
        <x:v>Repayment</x:v>
      </x:c>
      <x:c r="C138" s="32" t="n">
        <x:f>IF(A138=1,Dashboard!$B$6,IF(B138="Holiday",J137,L137))</x:f>
        <x:v>2349500</x:v>
      </x:c>
      <x:c r="D138" s="32" t="n">
        <x:f>IF(A138=1,0,IF(B138="Holiday",K137,0))</x:f>
        <x:v>0</x:v>
      </x:c>
      <x:c r="E138" s="32" t="n">
        <x:f>C138+D138</x:f>
        <x:v>2349500</x:v>
      </x:c>
      <x:c r="F138" s="32">
        <x:f>IF(B138="Holiday",IF(Dashboard!$B$14="Principal Only",MIN(Dashboard!$B$15,C138),0),0)</x:f>
      </x:c>
      <x:c r="G138" s="32" t="n">
        <x:f>IF(B138="Closed",0,IF(B138="Holiday",IF(Dashboard!$B$14="Interest Only",C138*Dashboard!$F$6,MAX(0,(C138-F138)*Dashboard!$F$6)),E138*Dashboard!$F$6))</x:f>
        <x:v>17621.25</x:v>
      </x:c>
      <x:c r="H138" s="32" t="n">
        <x:f>IF(B138="Holiday",IF(Dashboard!$B$14="Interest Only",G138,F138),IF(B138="Closed",0,MIN(Dashboard!$F$10,E138+G138)))</x:f>
        <x:v>0</x:v>
      </x:c>
      <x:c r="I138" s="32" t="n">
        <x:f>IF(B138="Holiday",F138,IF(B138="Closed",0,MAX(0,H138-G138)))</x:f>
        <x:v>0</x:v>
      </x:c>
      <x:c r="J138" s="32" t="n">
        <x:f>IF(B138="Holiday",MAX(0,C138-F138),IF(B138="Closed",0,MAX(0,E138-I138)))</x:f>
        <x:v>2349500</x:v>
      </x:c>
      <x:c r="K138" s="32" t="n">
        <x:f>IF(B138="Holiday",IF(Dashboard!$B$14="Interest Only",D138,D138+G138),0)</x:f>
        <x:v>0</x:v>
      </x:c>
      <x:c r="L138" s="32" t="n">
        <x:f>J138+K138</x:f>
        <x:v>2349500</x:v>
      </x:c>
      <x:c r="M138" s="32" t="n">
        <x:f>IF(A138=1,H138,M137+H138)</x:f>
        <x:v>0</x:v>
      </x:c>
      <x:c r="N138" s="32" t="n">
        <x:f>IF(A138=1,I138,N137+I138)</x:f>
        <x:v>0</x:v>
      </x:c>
      <x:c r="O138" s="32" t="n">
        <x:f>IF(A138=1,G138,O137+G138)</x:f>
        <x:v>2279246.25</x:v>
      </x:c>
      <x:c r="P138" s="37" t="n">
        <x:f>EDATE(Dashboard!$B$10,A138)</x:f>
        <x:v>49188</x:v>
      </x:c>
    </x:row>
    <x:row r="139">
      <x:c r="A139" s="33" t="n">
        <x:v>138</x:v>
      </x:c>
      <x:c r="B139" s="33" t="str">
        <x:f>IF(A139&lt;=Dashboard!$F$8,"Holiday",IF(A139&lt;=Dashboard!$F$8+Dashboard!$F$7,"Repayment","Closed"))</x:f>
        <x:v>Repayment</x:v>
      </x:c>
      <x:c r="C139" s="32" t="n">
        <x:f>IF(A139=1,Dashboard!$B$6,IF(B139="Holiday",J138,L138))</x:f>
        <x:v>2349500</x:v>
      </x:c>
      <x:c r="D139" s="32" t="n">
        <x:f>IF(A139=1,0,IF(B139="Holiday",K138,0))</x:f>
        <x:v>0</x:v>
      </x:c>
      <x:c r="E139" s="32" t="n">
        <x:f>C139+D139</x:f>
        <x:v>2349500</x:v>
      </x:c>
      <x:c r="F139" s="32">
        <x:f>IF(B139="Holiday",IF(Dashboard!$B$14="Principal Only",MIN(Dashboard!$B$15,C139),0),0)</x:f>
      </x:c>
      <x:c r="G139" s="32" t="n">
        <x:f>IF(B139="Closed",0,IF(B139="Holiday",IF(Dashboard!$B$14="Interest Only",C139*Dashboard!$F$6,MAX(0,(C139-F139)*Dashboard!$F$6)),E139*Dashboard!$F$6))</x:f>
        <x:v>17621.25</x:v>
      </x:c>
      <x:c r="H139" s="32" t="n">
        <x:f>IF(B139="Holiday",IF(Dashboard!$B$14="Interest Only",G139,F139),IF(B139="Closed",0,MIN(Dashboard!$F$10,E139+G139)))</x:f>
        <x:v>0</x:v>
      </x:c>
      <x:c r="I139" s="32" t="n">
        <x:f>IF(B139="Holiday",F139,IF(B139="Closed",0,MAX(0,H139-G139)))</x:f>
        <x:v>0</x:v>
      </x:c>
      <x:c r="J139" s="32" t="n">
        <x:f>IF(B139="Holiday",MAX(0,C139-F139),IF(B139="Closed",0,MAX(0,E139-I139)))</x:f>
        <x:v>2349500</x:v>
      </x:c>
      <x:c r="K139" s="32" t="n">
        <x:f>IF(B139="Holiday",IF(Dashboard!$B$14="Interest Only",D139,D139+G139),0)</x:f>
        <x:v>0</x:v>
      </x:c>
      <x:c r="L139" s="32" t="n">
        <x:f>J139+K139</x:f>
        <x:v>2349500</x:v>
      </x:c>
      <x:c r="M139" s="32" t="n">
        <x:f>IF(A139=1,H139,M138+H139)</x:f>
        <x:v>0</x:v>
      </x:c>
      <x:c r="N139" s="32" t="n">
        <x:f>IF(A139=1,I139,N138+I139)</x:f>
        <x:v>0</x:v>
      </x:c>
      <x:c r="O139" s="32" t="n">
        <x:f>IF(A139=1,G139,O138+G139)</x:f>
        <x:v>2296867.5</x:v>
      </x:c>
      <x:c r="P139" s="37" t="n">
        <x:f>EDATE(Dashboard!$B$10,A139)</x:f>
        <x:v>49218</x:v>
      </x:c>
    </x:row>
    <x:row r="140">
      <x:c r="A140" s="33" t="n">
        <x:v>139</x:v>
      </x:c>
      <x:c r="B140" s="33" t="str">
        <x:f>IF(A140&lt;=Dashboard!$F$8,"Holiday",IF(A140&lt;=Dashboard!$F$8+Dashboard!$F$7,"Repayment","Closed"))</x:f>
        <x:v>Repayment</x:v>
      </x:c>
      <x:c r="C140" s="32" t="n">
        <x:f>IF(A140=1,Dashboard!$B$6,IF(B140="Holiday",J139,L139))</x:f>
        <x:v>2349500</x:v>
      </x:c>
      <x:c r="D140" s="32" t="n">
        <x:f>IF(A140=1,0,IF(B140="Holiday",K139,0))</x:f>
        <x:v>0</x:v>
      </x:c>
      <x:c r="E140" s="32" t="n">
        <x:f>C140+D140</x:f>
        <x:v>2349500</x:v>
      </x:c>
      <x:c r="F140" s="32">
        <x:f>IF(B140="Holiday",IF(Dashboard!$B$14="Principal Only",MIN(Dashboard!$B$15,C140),0),0)</x:f>
      </x:c>
      <x:c r="G140" s="32" t="n">
        <x:f>IF(B140="Closed",0,IF(B140="Holiday",IF(Dashboard!$B$14="Interest Only",C140*Dashboard!$F$6,MAX(0,(C140-F140)*Dashboard!$F$6)),E140*Dashboard!$F$6))</x:f>
        <x:v>17621.25</x:v>
      </x:c>
      <x:c r="H140" s="32" t="n">
        <x:f>IF(B140="Holiday",IF(Dashboard!$B$14="Interest Only",G140,F140),IF(B140="Closed",0,MIN(Dashboard!$F$10,E140+G140)))</x:f>
        <x:v>0</x:v>
      </x:c>
      <x:c r="I140" s="32" t="n">
        <x:f>IF(B140="Holiday",F140,IF(B140="Closed",0,MAX(0,H140-G140)))</x:f>
        <x:v>0</x:v>
      </x:c>
      <x:c r="J140" s="32" t="n">
        <x:f>IF(B140="Holiday",MAX(0,C140-F140),IF(B140="Closed",0,MAX(0,E140-I140)))</x:f>
        <x:v>2349500</x:v>
      </x:c>
      <x:c r="K140" s="32" t="n">
        <x:f>IF(B140="Holiday",IF(Dashboard!$B$14="Interest Only",D140,D140+G140),0)</x:f>
        <x:v>0</x:v>
      </x:c>
      <x:c r="L140" s="32" t="n">
        <x:f>J140+K140</x:f>
        <x:v>2349500</x:v>
      </x:c>
      <x:c r="M140" s="32" t="n">
        <x:f>IF(A140=1,H140,M139+H140)</x:f>
        <x:v>0</x:v>
      </x:c>
      <x:c r="N140" s="32" t="n">
        <x:f>IF(A140=1,I140,N139+I140)</x:f>
        <x:v>0</x:v>
      </x:c>
      <x:c r="O140" s="32" t="n">
        <x:f>IF(A140=1,G140,O139+G140)</x:f>
        <x:v>2314488.75</x:v>
      </x:c>
      <x:c r="P140" s="37" t="n">
        <x:f>EDATE(Dashboard!$B$10,A140)</x:f>
        <x:v>49249</x:v>
      </x:c>
    </x:row>
    <x:row r="141">
      <x:c r="A141" s="33" t="n">
        <x:v>140</x:v>
      </x:c>
      <x:c r="B141" s="33" t="str">
        <x:f>IF(A141&lt;=Dashboard!$F$8,"Holiday",IF(A141&lt;=Dashboard!$F$8+Dashboard!$F$7,"Repayment","Closed"))</x:f>
        <x:v>Repayment</x:v>
      </x:c>
      <x:c r="C141" s="32" t="n">
        <x:f>IF(A141=1,Dashboard!$B$6,IF(B141="Holiday",J140,L140))</x:f>
        <x:v>2349500</x:v>
      </x:c>
      <x:c r="D141" s="32" t="n">
        <x:f>IF(A141=1,0,IF(B141="Holiday",K140,0))</x:f>
        <x:v>0</x:v>
      </x:c>
      <x:c r="E141" s="32" t="n">
        <x:f>C141+D141</x:f>
        <x:v>2349500</x:v>
      </x:c>
      <x:c r="F141" s="32">
        <x:f>IF(B141="Holiday",IF(Dashboard!$B$14="Principal Only",MIN(Dashboard!$B$15,C141),0),0)</x:f>
      </x:c>
      <x:c r="G141" s="32" t="n">
        <x:f>IF(B141="Closed",0,IF(B141="Holiday",IF(Dashboard!$B$14="Interest Only",C141*Dashboard!$F$6,MAX(0,(C141-F141)*Dashboard!$F$6)),E141*Dashboard!$F$6))</x:f>
        <x:v>17621.25</x:v>
      </x:c>
      <x:c r="H141" s="32" t="n">
        <x:f>IF(B141="Holiday",IF(Dashboard!$B$14="Interest Only",G141,F141),IF(B141="Closed",0,MIN(Dashboard!$F$10,E141+G141)))</x:f>
        <x:v>0</x:v>
      </x:c>
      <x:c r="I141" s="32" t="n">
        <x:f>IF(B141="Holiday",F141,IF(B141="Closed",0,MAX(0,H141-G141)))</x:f>
        <x:v>0</x:v>
      </x:c>
      <x:c r="J141" s="32" t="n">
        <x:f>IF(B141="Holiday",MAX(0,C141-F141),IF(B141="Closed",0,MAX(0,E141-I141)))</x:f>
        <x:v>2349500</x:v>
      </x:c>
      <x:c r="K141" s="32" t="n">
        <x:f>IF(B141="Holiday",IF(Dashboard!$B$14="Interest Only",D141,D141+G141),0)</x:f>
        <x:v>0</x:v>
      </x:c>
      <x:c r="L141" s="32" t="n">
        <x:f>J141+K141</x:f>
        <x:v>2349500</x:v>
      </x:c>
      <x:c r="M141" s="32" t="n">
        <x:f>IF(A141=1,H141,M140+H141)</x:f>
        <x:v>0</x:v>
      </x:c>
      <x:c r="N141" s="32" t="n">
        <x:f>IF(A141=1,I141,N140+I141)</x:f>
        <x:v>0</x:v>
      </x:c>
      <x:c r="O141" s="32" t="n">
        <x:f>IF(A141=1,G141,O140+G141)</x:f>
        <x:v>2332110</x:v>
      </x:c>
      <x:c r="P141" s="37" t="n">
        <x:f>EDATE(Dashboard!$B$10,A141)</x:f>
        <x:v>49279</x:v>
      </x:c>
    </x:row>
    <x:row r="142">
      <x:c r="A142" s="33" t="n">
        <x:v>141</x:v>
      </x:c>
      <x:c r="B142" s="33" t="str">
        <x:f>IF(A142&lt;=Dashboard!$F$8,"Holiday",IF(A142&lt;=Dashboard!$F$8+Dashboard!$F$7,"Repayment","Closed"))</x:f>
        <x:v>Repayment</x:v>
      </x:c>
      <x:c r="C142" s="32" t="n">
        <x:f>IF(A142=1,Dashboard!$B$6,IF(B142="Holiday",J141,L141))</x:f>
        <x:v>2349500</x:v>
      </x:c>
      <x:c r="D142" s="32" t="n">
        <x:f>IF(A142=1,0,IF(B142="Holiday",K141,0))</x:f>
        <x:v>0</x:v>
      </x:c>
      <x:c r="E142" s="32" t="n">
        <x:f>C142+D142</x:f>
        <x:v>2349500</x:v>
      </x:c>
      <x:c r="F142" s="32">
        <x:f>IF(B142="Holiday",IF(Dashboard!$B$14="Principal Only",MIN(Dashboard!$B$15,C142),0),0)</x:f>
      </x:c>
      <x:c r="G142" s="32" t="n">
        <x:f>IF(B142="Closed",0,IF(B142="Holiday",IF(Dashboard!$B$14="Interest Only",C142*Dashboard!$F$6,MAX(0,(C142-F142)*Dashboard!$F$6)),E142*Dashboard!$F$6))</x:f>
        <x:v>17621.25</x:v>
      </x:c>
      <x:c r="H142" s="32" t="n">
        <x:f>IF(B142="Holiday",IF(Dashboard!$B$14="Interest Only",G142,F142),IF(B142="Closed",0,MIN(Dashboard!$F$10,E142+G142)))</x:f>
        <x:v>0</x:v>
      </x:c>
      <x:c r="I142" s="32" t="n">
        <x:f>IF(B142="Holiday",F142,IF(B142="Closed",0,MAX(0,H142-G142)))</x:f>
        <x:v>0</x:v>
      </x:c>
      <x:c r="J142" s="32" t="n">
        <x:f>IF(B142="Holiday",MAX(0,C142-F142),IF(B142="Closed",0,MAX(0,E142-I142)))</x:f>
        <x:v>2349500</x:v>
      </x:c>
      <x:c r="K142" s="32" t="n">
        <x:f>IF(B142="Holiday",IF(Dashboard!$B$14="Interest Only",D142,D142+G142),0)</x:f>
        <x:v>0</x:v>
      </x:c>
      <x:c r="L142" s="32" t="n">
        <x:f>J142+K142</x:f>
        <x:v>2349500</x:v>
      </x:c>
      <x:c r="M142" s="32" t="n">
        <x:f>IF(A142=1,H142,M141+H142)</x:f>
        <x:v>0</x:v>
      </x:c>
      <x:c r="N142" s="32" t="n">
        <x:f>IF(A142=1,I142,N141+I142)</x:f>
        <x:v>0</x:v>
      </x:c>
      <x:c r="O142" s="32" t="n">
        <x:f>IF(A142=1,G142,O141+G142)</x:f>
        <x:v>2349731.25</x:v>
      </x:c>
      <x:c r="P142" s="37" t="n">
        <x:f>EDATE(Dashboard!$B$10,A142)</x:f>
        <x:v>49310</x:v>
      </x:c>
    </x:row>
    <x:row r="143">
      <x:c r="A143" s="33" t="n">
        <x:v>142</x:v>
      </x:c>
      <x:c r="B143" s="33" t="str">
        <x:f>IF(A143&lt;=Dashboard!$F$8,"Holiday",IF(A143&lt;=Dashboard!$F$8+Dashboard!$F$7,"Repayment","Closed"))</x:f>
        <x:v>Repayment</x:v>
      </x:c>
      <x:c r="C143" s="32" t="n">
        <x:f>IF(A143=1,Dashboard!$B$6,IF(B143="Holiday",J142,L142))</x:f>
        <x:v>2349500</x:v>
      </x:c>
      <x:c r="D143" s="32" t="n">
        <x:f>IF(A143=1,0,IF(B143="Holiday",K142,0))</x:f>
        <x:v>0</x:v>
      </x:c>
      <x:c r="E143" s="32" t="n">
        <x:f>C143+D143</x:f>
        <x:v>2349500</x:v>
      </x:c>
      <x:c r="F143" s="32">
        <x:f>IF(B143="Holiday",IF(Dashboard!$B$14="Principal Only",MIN(Dashboard!$B$15,C143),0),0)</x:f>
      </x:c>
      <x:c r="G143" s="32" t="n">
        <x:f>IF(B143="Closed",0,IF(B143="Holiday",IF(Dashboard!$B$14="Interest Only",C143*Dashboard!$F$6,MAX(0,(C143-F143)*Dashboard!$F$6)),E143*Dashboard!$F$6))</x:f>
        <x:v>17621.25</x:v>
      </x:c>
      <x:c r="H143" s="32" t="n">
        <x:f>IF(B143="Holiday",IF(Dashboard!$B$14="Interest Only",G143,F143),IF(B143="Closed",0,MIN(Dashboard!$F$10,E143+G143)))</x:f>
        <x:v>0</x:v>
      </x:c>
      <x:c r="I143" s="32" t="n">
        <x:f>IF(B143="Holiday",F143,IF(B143="Closed",0,MAX(0,H143-G143)))</x:f>
        <x:v>0</x:v>
      </x:c>
      <x:c r="J143" s="32" t="n">
        <x:f>IF(B143="Holiday",MAX(0,C143-F143),IF(B143="Closed",0,MAX(0,E143-I143)))</x:f>
        <x:v>2349500</x:v>
      </x:c>
      <x:c r="K143" s="32" t="n">
        <x:f>IF(B143="Holiday",IF(Dashboard!$B$14="Interest Only",D143,D143+G143),0)</x:f>
        <x:v>0</x:v>
      </x:c>
      <x:c r="L143" s="32" t="n">
        <x:f>J143+K143</x:f>
        <x:v>2349500</x:v>
      </x:c>
      <x:c r="M143" s="32" t="n">
        <x:f>IF(A143=1,H143,M142+H143)</x:f>
        <x:v>0</x:v>
      </x:c>
      <x:c r="N143" s="32" t="n">
        <x:f>IF(A143=1,I143,N142+I143)</x:f>
        <x:v>0</x:v>
      </x:c>
      <x:c r="O143" s="32" t="n">
        <x:f>IF(A143=1,G143,O142+G143)</x:f>
        <x:v>2367352.5</x:v>
      </x:c>
      <x:c r="P143" s="37" t="n">
        <x:f>EDATE(Dashboard!$B$10,A143)</x:f>
        <x:v>49341</x:v>
      </x:c>
    </x:row>
    <x:row r="144">
      <x:c r="A144" s="33" t="n">
        <x:v>143</x:v>
      </x:c>
      <x:c r="B144" s="33" t="str">
        <x:f>IF(A144&lt;=Dashboard!$F$8,"Holiday",IF(A144&lt;=Dashboard!$F$8+Dashboard!$F$7,"Repayment","Closed"))</x:f>
        <x:v>Repayment</x:v>
      </x:c>
      <x:c r="C144" s="32" t="n">
        <x:f>IF(A144=1,Dashboard!$B$6,IF(B144="Holiday",J143,L143))</x:f>
        <x:v>2349500</x:v>
      </x:c>
      <x:c r="D144" s="32" t="n">
        <x:f>IF(A144=1,0,IF(B144="Holiday",K143,0))</x:f>
        <x:v>0</x:v>
      </x:c>
      <x:c r="E144" s="32" t="n">
        <x:f>C144+D144</x:f>
        <x:v>2349500</x:v>
      </x:c>
      <x:c r="F144" s="32">
        <x:f>IF(B144="Holiday",IF(Dashboard!$B$14="Principal Only",MIN(Dashboard!$B$15,C144),0),0)</x:f>
      </x:c>
      <x:c r="G144" s="32" t="n">
        <x:f>IF(B144="Closed",0,IF(B144="Holiday",IF(Dashboard!$B$14="Interest Only",C144*Dashboard!$F$6,MAX(0,(C144-F144)*Dashboard!$F$6)),E144*Dashboard!$F$6))</x:f>
        <x:v>17621.25</x:v>
      </x:c>
      <x:c r="H144" s="32" t="n">
        <x:f>IF(B144="Holiday",IF(Dashboard!$B$14="Interest Only",G144,F144),IF(B144="Closed",0,MIN(Dashboard!$F$10,E144+G144)))</x:f>
        <x:v>0</x:v>
      </x:c>
      <x:c r="I144" s="32" t="n">
        <x:f>IF(B144="Holiday",F144,IF(B144="Closed",0,MAX(0,H144-G144)))</x:f>
        <x:v>0</x:v>
      </x:c>
      <x:c r="J144" s="32" t="n">
        <x:f>IF(B144="Holiday",MAX(0,C144-F144),IF(B144="Closed",0,MAX(0,E144-I144)))</x:f>
        <x:v>2349500</x:v>
      </x:c>
      <x:c r="K144" s="32" t="n">
        <x:f>IF(B144="Holiday",IF(Dashboard!$B$14="Interest Only",D144,D144+G144),0)</x:f>
        <x:v>0</x:v>
      </x:c>
      <x:c r="L144" s="32" t="n">
        <x:f>J144+K144</x:f>
        <x:v>2349500</x:v>
      </x:c>
      <x:c r="M144" s="32" t="n">
        <x:f>IF(A144=1,H144,M143+H144)</x:f>
        <x:v>0</x:v>
      </x:c>
      <x:c r="N144" s="32" t="n">
        <x:f>IF(A144=1,I144,N143+I144)</x:f>
        <x:v>0</x:v>
      </x:c>
      <x:c r="O144" s="32" t="n">
        <x:f>IF(A144=1,G144,O143+G144)</x:f>
        <x:v>2384973.75</x:v>
      </x:c>
      <x:c r="P144" s="37" t="n">
        <x:f>EDATE(Dashboard!$B$10,A144)</x:f>
        <x:v>49369</x:v>
      </x:c>
    </x:row>
    <x:row r="145">
      <x:c r="A145" s="33" t="n">
        <x:v>144</x:v>
      </x:c>
      <x:c r="B145" s="33" t="str">
        <x:f>IF(A145&lt;=Dashboard!$F$8,"Holiday",IF(A145&lt;=Dashboard!$F$8+Dashboard!$F$7,"Repayment","Closed"))</x:f>
        <x:v>Repayment</x:v>
      </x:c>
      <x:c r="C145" s="32" t="n">
        <x:f>IF(A145=1,Dashboard!$B$6,IF(B145="Holiday",J144,L144))</x:f>
        <x:v>2349500</x:v>
      </x:c>
      <x:c r="D145" s="32" t="n">
        <x:f>IF(A145=1,0,IF(B145="Holiday",K144,0))</x:f>
        <x:v>0</x:v>
      </x:c>
      <x:c r="E145" s="32" t="n">
        <x:f>C145+D145</x:f>
        <x:v>2349500</x:v>
      </x:c>
      <x:c r="F145" s="32">
        <x:f>IF(B145="Holiday",IF(Dashboard!$B$14="Principal Only",MIN(Dashboard!$B$15,C145),0),0)</x:f>
      </x:c>
      <x:c r="G145" s="32" t="n">
        <x:f>IF(B145="Closed",0,IF(B145="Holiday",IF(Dashboard!$B$14="Interest Only",C145*Dashboard!$F$6,MAX(0,(C145-F145)*Dashboard!$F$6)),E145*Dashboard!$F$6))</x:f>
        <x:v>17621.25</x:v>
      </x:c>
      <x:c r="H145" s="32" t="n">
        <x:f>IF(B145="Holiday",IF(Dashboard!$B$14="Interest Only",G145,F145),IF(B145="Closed",0,MIN(Dashboard!$F$10,E145+G145)))</x:f>
        <x:v>0</x:v>
      </x:c>
      <x:c r="I145" s="32" t="n">
        <x:f>IF(B145="Holiday",F145,IF(B145="Closed",0,MAX(0,H145-G145)))</x:f>
        <x:v>0</x:v>
      </x:c>
      <x:c r="J145" s="32" t="n">
        <x:f>IF(B145="Holiday",MAX(0,C145-F145),IF(B145="Closed",0,MAX(0,E145-I145)))</x:f>
        <x:v>2349500</x:v>
      </x:c>
      <x:c r="K145" s="32" t="n">
        <x:f>IF(B145="Holiday",IF(Dashboard!$B$14="Interest Only",D145,D145+G145),0)</x:f>
        <x:v>0</x:v>
      </x:c>
      <x:c r="L145" s="32" t="n">
        <x:f>J145+K145</x:f>
        <x:v>2349500</x:v>
      </x:c>
      <x:c r="M145" s="32" t="n">
        <x:f>IF(A145=1,H145,M144+H145)</x:f>
        <x:v>0</x:v>
      </x:c>
      <x:c r="N145" s="32" t="n">
        <x:f>IF(A145=1,I145,N144+I145)</x:f>
        <x:v>0</x:v>
      </x:c>
      <x:c r="O145" s="32" t="n">
        <x:f>IF(A145=1,G145,O144+G145)</x:f>
        <x:v>2402595</x:v>
      </x:c>
      <x:c r="P145" s="37" t="n">
        <x:f>EDATE(Dashboard!$B$10,A145)</x:f>
        <x:v>49400</x:v>
      </x:c>
    </x:row>
    <x:row r="146">
      <x:c r="A146" s="33" t="n">
        <x:v>145</x:v>
      </x:c>
      <x:c r="B146" s="33" t="str">
        <x:f>IF(A146&lt;=Dashboard!$F$8,"Holiday",IF(A146&lt;=Dashboard!$F$8+Dashboard!$F$7,"Repayment","Closed"))</x:f>
        <x:v>Repayment</x:v>
      </x:c>
      <x:c r="C146" s="32" t="n">
        <x:f>IF(A146=1,Dashboard!$B$6,IF(B146="Holiday",J145,L145))</x:f>
        <x:v>2349500</x:v>
      </x:c>
      <x:c r="D146" s="32" t="n">
        <x:f>IF(A146=1,0,IF(B146="Holiday",K145,0))</x:f>
        <x:v>0</x:v>
      </x:c>
      <x:c r="E146" s="32" t="n">
        <x:f>C146+D146</x:f>
        <x:v>2349500</x:v>
      </x:c>
      <x:c r="F146" s="32">
        <x:f>IF(B146="Holiday",IF(Dashboard!$B$14="Principal Only",MIN(Dashboard!$B$15,C146),0),0)</x:f>
      </x:c>
      <x:c r="G146" s="32" t="n">
        <x:f>IF(B146="Closed",0,IF(B146="Holiday",IF(Dashboard!$B$14="Interest Only",C146*Dashboard!$F$6,MAX(0,(C146-F146)*Dashboard!$F$6)),E146*Dashboard!$F$6))</x:f>
        <x:v>17621.25</x:v>
      </x:c>
      <x:c r="H146" s="32" t="n">
        <x:f>IF(B146="Holiday",IF(Dashboard!$B$14="Interest Only",G146,F146),IF(B146="Closed",0,MIN(Dashboard!$F$10,E146+G146)))</x:f>
        <x:v>0</x:v>
      </x:c>
      <x:c r="I146" s="32" t="n">
        <x:f>IF(B146="Holiday",F146,IF(B146="Closed",0,MAX(0,H146-G146)))</x:f>
        <x:v>0</x:v>
      </x:c>
      <x:c r="J146" s="32" t="n">
        <x:f>IF(B146="Holiday",MAX(0,C146-F146),IF(B146="Closed",0,MAX(0,E146-I146)))</x:f>
        <x:v>2349500</x:v>
      </x:c>
      <x:c r="K146" s="32" t="n">
        <x:f>IF(B146="Holiday",IF(Dashboard!$B$14="Interest Only",D146,D146+G146),0)</x:f>
        <x:v>0</x:v>
      </x:c>
      <x:c r="L146" s="32" t="n">
        <x:f>J146+K146</x:f>
        <x:v>2349500</x:v>
      </x:c>
      <x:c r="M146" s="32" t="n">
        <x:f>IF(A146=1,H146,M145+H146)</x:f>
        <x:v>0</x:v>
      </x:c>
      <x:c r="N146" s="32" t="n">
        <x:f>IF(A146=1,I146,N145+I146)</x:f>
        <x:v>0</x:v>
      </x:c>
      <x:c r="O146" s="32" t="n">
        <x:f>IF(A146=1,G146,O145+G146)</x:f>
        <x:v>2420216.25</x:v>
      </x:c>
      <x:c r="P146" s="37" t="n">
        <x:f>EDATE(Dashboard!$B$10,A146)</x:f>
        <x:v>49430</x:v>
      </x:c>
    </x:row>
    <x:row r="147">
      <x:c r="A147" s="33" t="n">
        <x:v>146</x:v>
      </x:c>
      <x:c r="B147" s="33" t="str">
        <x:f>IF(A147&lt;=Dashboard!$F$8,"Holiday",IF(A147&lt;=Dashboard!$F$8+Dashboard!$F$7,"Repayment","Closed"))</x:f>
        <x:v>Repayment</x:v>
      </x:c>
      <x:c r="C147" s="32" t="n">
        <x:f>IF(A147=1,Dashboard!$B$6,IF(B147="Holiday",J146,L146))</x:f>
        <x:v>2349500</x:v>
      </x:c>
      <x:c r="D147" s="32" t="n">
        <x:f>IF(A147=1,0,IF(B147="Holiday",K146,0))</x:f>
        <x:v>0</x:v>
      </x:c>
      <x:c r="E147" s="32" t="n">
        <x:f>C147+D147</x:f>
        <x:v>2349500</x:v>
      </x:c>
      <x:c r="F147" s="32">
        <x:f>IF(B147="Holiday",IF(Dashboard!$B$14="Principal Only",MIN(Dashboard!$B$15,C147),0),0)</x:f>
      </x:c>
      <x:c r="G147" s="32" t="n">
        <x:f>IF(B147="Closed",0,IF(B147="Holiday",IF(Dashboard!$B$14="Interest Only",C147*Dashboard!$F$6,MAX(0,(C147-F147)*Dashboard!$F$6)),E147*Dashboard!$F$6))</x:f>
        <x:v>17621.25</x:v>
      </x:c>
      <x:c r="H147" s="32" t="n">
        <x:f>IF(B147="Holiday",IF(Dashboard!$B$14="Interest Only",G147,F147),IF(B147="Closed",0,MIN(Dashboard!$F$10,E147+G147)))</x:f>
        <x:v>0</x:v>
      </x:c>
      <x:c r="I147" s="32" t="n">
        <x:f>IF(B147="Holiday",F147,IF(B147="Closed",0,MAX(0,H147-G147)))</x:f>
        <x:v>0</x:v>
      </x:c>
      <x:c r="J147" s="32" t="n">
        <x:f>IF(B147="Holiday",MAX(0,C147-F147),IF(B147="Closed",0,MAX(0,E147-I147)))</x:f>
        <x:v>2349500</x:v>
      </x:c>
      <x:c r="K147" s="32" t="n">
        <x:f>IF(B147="Holiday",IF(Dashboard!$B$14="Interest Only",D147,D147+G147),0)</x:f>
        <x:v>0</x:v>
      </x:c>
      <x:c r="L147" s="32" t="n">
        <x:f>J147+K147</x:f>
        <x:v>2349500</x:v>
      </x:c>
      <x:c r="M147" s="32" t="n">
        <x:f>IF(A147=1,H147,M146+H147)</x:f>
        <x:v>0</x:v>
      </x:c>
      <x:c r="N147" s="32" t="n">
        <x:f>IF(A147=1,I147,N146+I147)</x:f>
        <x:v>0</x:v>
      </x:c>
      <x:c r="O147" s="32" t="n">
        <x:f>IF(A147=1,G147,O146+G147)</x:f>
        <x:v>2437837.5</x:v>
      </x:c>
      <x:c r="P147" s="37" t="n">
        <x:f>EDATE(Dashboard!$B$10,A147)</x:f>
        <x:v>49461</x:v>
      </x:c>
    </x:row>
    <x:row r="148">
      <x:c r="A148" s="33" t="n">
        <x:v>147</x:v>
      </x:c>
      <x:c r="B148" s="33" t="str">
        <x:f>IF(A148&lt;=Dashboard!$F$8,"Holiday",IF(A148&lt;=Dashboard!$F$8+Dashboard!$F$7,"Repayment","Closed"))</x:f>
        <x:v>Repayment</x:v>
      </x:c>
      <x:c r="C148" s="32" t="n">
        <x:f>IF(A148=1,Dashboard!$B$6,IF(B148="Holiday",J147,L147))</x:f>
        <x:v>2349500</x:v>
      </x:c>
      <x:c r="D148" s="32" t="n">
        <x:f>IF(A148=1,0,IF(B148="Holiday",K147,0))</x:f>
        <x:v>0</x:v>
      </x:c>
      <x:c r="E148" s="32" t="n">
        <x:f>C148+D148</x:f>
        <x:v>2349500</x:v>
      </x:c>
      <x:c r="F148" s="32">
        <x:f>IF(B148="Holiday",IF(Dashboard!$B$14="Principal Only",MIN(Dashboard!$B$15,C148),0),0)</x:f>
      </x:c>
      <x:c r="G148" s="32" t="n">
        <x:f>IF(B148="Closed",0,IF(B148="Holiday",IF(Dashboard!$B$14="Interest Only",C148*Dashboard!$F$6,MAX(0,(C148-F148)*Dashboard!$F$6)),E148*Dashboard!$F$6))</x:f>
        <x:v>17621.25</x:v>
      </x:c>
      <x:c r="H148" s="32" t="n">
        <x:f>IF(B148="Holiday",IF(Dashboard!$B$14="Interest Only",G148,F148),IF(B148="Closed",0,MIN(Dashboard!$F$10,E148+G148)))</x:f>
        <x:v>0</x:v>
      </x:c>
      <x:c r="I148" s="32" t="n">
        <x:f>IF(B148="Holiday",F148,IF(B148="Closed",0,MAX(0,H148-G148)))</x:f>
        <x:v>0</x:v>
      </x:c>
      <x:c r="J148" s="32" t="n">
        <x:f>IF(B148="Holiday",MAX(0,C148-F148),IF(B148="Closed",0,MAX(0,E148-I148)))</x:f>
        <x:v>2349500</x:v>
      </x:c>
      <x:c r="K148" s="32" t="n">
        <x:f>IF(B148="Holiday",IF(Dashboard!$B$14="Interest Only",D148,D148+G148),0)</x:f>
        <x:v>0</x:v>
      </x:c>
      <x:c r="L148" s="32" t="n">
        <x:f>J148+K148</x:f>
        <x:v>2349500</x:v>
      </x:c>
      <x:c r="M148" s="32" t="n">
        <x:f>IF(A148=1,H148,M147+H148)</x:f>
        <x:v>0</x:v>
      </x:c>
      <x:c r="N148" s="32" t="n">
        <x:f>IF(A148=1,I148,N147+I148)</x:f>
        <x:v>0</x:v>
      </x:c>
      <x:c r="O148" s="32" t="n">
        <x:f>IF(A148=1,G148,O147+G148)</x:f>
        <x:v>2455458.75</x:v>
      </x:c>
      <x:c r="P148" s="37" t="n">
        <x:f>EDATE(Dashboard!$B$10,A148)</x:f>
        <x:v>49491</x:v>
      </x:c>
    </x:row>
    <x:row r="149">
      <x:c r="A149" s="33" t="n">
        <x:v>148</x:v>
      </x:c>
      <x:c r="B149" s="33" t="str">
        <x:f>IF(A149&lt;=Dashboard!$F$8,"Holiday",IF(A149&lt;=Dashboard!$F$8+Dashboard!$F$7,"Repayment","Closed"))</x:f>
        <x:v>Repayment</x:v>
      </x:c>
      <x:c r="C149" s="32" t="n">
        <x:f>IF(A149=1,Dashboard!$B$6,IF(B149="Holiday",J148,L148))</x:f>
        <x:v>2349500</x:v>
      </x:c>
      <x:c r="D149" s="32" t="n">
        <x:f>IF(A149=1,0,IF(B149="Holiday",K148,0))</x:f>
        <x:v>0</x:v>
      </x:c>
      <x:c r="E149" s="32" t="n">
        <x:f>C149+D149</x:f>
        <x:v>2349500</x:v>
      </x:c>
      <x:c r="F149" s="32">
        <x:f>IF(B149="Holiday",IF(Dashboard!$B$14="Principal Only",MIN(Dashboard!$B$15,C149),0),0)</x:f>
      </x:c>
      <x:c r="G149" s="32" t="n">
        <x:f>IF(B149="Closed",0,IF(B149="Holiday",IF(Dashboard!$B$14="Interest Only",C149*Dashboard!$F$6,MAX(0,(C149-F149)*Dashboard!$F$6)),E149*Dashboard!$F$6))</x:f>
        <x:v>17621.25</x:v>
      </x:c>
      <x:c r="H149" s="32" t="n">
        <x:f>IF(B149="Holiday",IF(Dashboard!$B$14="Interest Only",G149,F149),IF(B149="Closed",0,MIN(Dashboard!$F$10,E149+G149)))</x:f>
        <x:v>0</x:v>
      </x:c>
      <x:c r="I149" s="32" t="n">
        <x:f>IF(B149="Holiday",F149,IF(B149="Closed",0,MAX(0,H149-G149)))</x:f>
        <x:v>0</x:v>
      </x:c>
      <x:c r="J149" s="32" t="n">
        <x:f>IF(B149="Holiday",MAX(0,C149-F149),IF(B149="Closed",0,MAX(0,E149-I149)))</x:f>
        <x:v>2349500</x:v>
      </x:c>
      <x:c r="K149" s="32" t="n">
        <x:f>IF(B149="Holiday",IF(Dashboard!$B$14="Interest Only",D149,D149+G149),0)</x:f>
        <x:v>0</x:v>
      </x:c>
      <x:c r="L149" s="32" t="n">
        <x:f>J149+K149</x:f>
        <x:v>2349500</x:v>
      </x:c>
      <x:c r="M149" s="32" t="n">
        <x:f>IF(A149=1,H149,M148+H149)</x:f>
        <x:v>0</x:v>
      </x:c>
      <x:c r="N149" s="32" t="n">
        <x:f>IF(A149=1,I149,N148+I149)</x:f>
        <x:v>0</x:v>
      </x:c>
      <x:c r="O149" s="32" t="n">
        <x:f>IF(A149=1,G149,O148+G149)</x:f>
        <x:v>2473080</x:v>
      </x:c>
      <x:c r="P149" s="37" t="n">
        <x:f>EDATE(Dashboard!$B$10,A149)</x:f>
        <x:v>49522</x:v>
      </x:c>
    </x:row>
    <x:row r="150">
      <x:c r="A150" s="33" t="n">
        <x:v>149</x:v>
      </x:c>
      <x:c r="B150" s="33" t="str">
        <x:f>IF(A150&lt;=Dashboard!$F$8,"Holiday",IF(A150&lt;=Dashboard!$F$8+Dashboard!$F$7,"Repayment","Closed"))</x:f>
        <x:v>Repayment</x:v>
      </x:c>
      <x:c r="C150" s="32" t="n">
        <x:f>IF(A150=1,Dashboard!$B$6,IF(B150="Holiday",J149,L149))</x:f>
        <x:v>2349500</x:v>
      </x:c>
      <x:c r="D150" s="32" t="n">
        <x:f>IF(A150=1,0,IF(B150="Holiday",K149,0))</x:f>
        <x:v>0</x:v>
      </x:c>
      <x:c r="E150" s="32" t="n">
        <x:f>C150+D150</x:f>
        <x:v>2349500</x:v>
      </x:c>
      <x:c r="F150" s="32">
        <x:f>IF(B150="Holiday",IF(Dashboard!$B$14="Principal Only",MIN(Dashboard!$B$15,C150),0),0)</x:f>
      </x:c>
      <x:c r="G150" s="32" t="n">
        <x:f>IF(B150="Closed",0,IF(B150="Holiday",IF(Dashboard!$B$14="Interest Only",C150*Dashboard!$F$6,MAX(0,(C150-F150)*Dashboard!$F$6)),E150*Dashboard!$F$6))</x:f>
        <x:v>17621.25</x:v>
      </x:c>
      <x:c r="H150" s="32" t="n">
        <x:f>IF(B150="Holiday",IF(Dashboard!$B$14="Interest Only",G150,F150),IF(B150="Closed",0,MIN(Dashboard!$F$10,E150+G150)))</x:f>
        <x:v>0</x:v>
      </x:c>
      <x:c r="I150" s="32" t="n">
        <x:f>IF(B150="Holiday",F150,IF(B150="Closed",0,MAX(0,H150-G150)))</x:f>
        <x:v>0</x:v>
      </x:c>
      <x:c r="J150" s="32" t="n">
        <x:f>IF(B150="Holiday",MAX(0,C150-F150),IF(B150="Closed",0,MAX(0,E150-I150)))</x:f>
        <x:v>2349500</x:v>
      </x:c>
      <x:c r="K150" s="32" t="n">
        <x:f>IF(B150="Holiday",IF(Dashboard!$B$14="Interest Only",D150,D150+G150),0)</x:f>
        <x:v>0</x:v>
      </x:c>
      <x:c r="L150" s="32" t="n">
        <x:f>J150+K150</x:f>
        <x:v>2349500</x:v>
      </x:c>
      <x:c r="M150" s="32" t="n">
        <x:f>IF(A150=1,H150,M149+H150)</x:f>
        <x:v>0</x:v>
      </x:c>
      <x:c r="N150" s="32" t="n">
        <x:f>IF(A150=1,I150,N149+I150)</x:f>
        <x:v>0</x:v>
      </x:c>
      <x:c r="O150" s="32" t="n">
        <x:f>IF(A150=1,G150,O149+G150)</x:f>
        <x:v>2490701.25</x:v>
      </x:c>
      <x:c r="P150" s="37" t="n">
        <x:f>EDATE(Dashboard!$B$10,A150)</x:f>
        <x:v>49553</x:v>
      </x:c>
    </x:row>
    <x:row r="151">
      <x:c r="A151" s="33" t="n">
        <x:v>150</x:v>
      </x:c>
      <x:c r="B151" s="33" t="str">
        <x:f>IF(A151&lt;=Dashboard!$F$8,"Holiday",IF(A151&lt;=Dashboard!$F$8+Dashboard!$F$7,"Repayment","Closed"))</x:f>
        <x:v>Repayment</x:v>
      </x:c>
      <x:c r="C151" s="32" t="n">
        <x:f>IF(A151=1,Dashboard!$B$6,IF(B151="Holiday",J150,L150))</x:f>
        <x:v>2349500</x:v>
      </x:c>
      <x:c r="D151" s="32" t="n">
        <x:f>IF(A151=1,0,IF(B151="Holiday",K150,0))</x:f>
        <x:v>0</x:v>
      </x:c>
      <x:c r="E151" s="32" t="n">
        <x:f>C151+D151</x:f>
        <x:v>2349500</x:v>
      </x:c>
      <x:c r="F151" s="32">
        <x:f>IF(B151="Holiday",IF(Dashboard!$B$14="Principal Only",MIN(Dashboard!$B$15,C151),0),0)</x:f>
      </x:c>
      <x:c r="G151" s="32" t="n">
        <x:f>IF(B151="Closed",0,IF(B151="Holiday",IF(Dashboard!$B$14="Interest Only",C151*Dashboard!$F$6,MAX(0,(C151-F151)*Dashboard!$F$6)),E151*Dashboard!$F$6))</x:f>
        <x:v>17621.25</x:v>
      </x:c>
      <x:c r="H151" s="32" t="n">
        <x:f>IF(B151="Holiday",IF(Dashboard!$B$14="Interest Only",G151,F151),IF(B151="Closed",0,MIN(Dashboard!$F$10,E151+G151)))</x:f>
        <x:v>0</x:v>
      </x:c>
      <x:c r="I151" s="32" t="n">
        <x:f>IF(B151="Holiday",F151,IF(B151="Closed",0,MAX(0,H151-G151)))</x:f>
        <x:v>0</x:v>
      </x:c>
      <x:c r="J151" s="32" t="n">
        <x:f>IF(B151="Holiday",MAX(0,C151-F151),IF(B151="Closed",0,MAX(0,E151-I151)))</x:f>
        <x:v>2349500</x:v>
      </x:c>
      <x:c r="K151" s="32" t="n">
        <x:f>IF(B151="Holiday",IF(Dashboard!$B$14="Interest Only",D151,D151+G151),0)</x:f>
        <x:v>0</x:v>
      </x:c>
      <x:c r="L151" s="32" t="n">
        <x:f>J151+K151</x:f>
        <x:v>2349500</x:v>
      </x:c>
      <x:c r="M151" s="32" t="n">
        <x:f>IF(A151=1,H151,M150+H151)</x:f>
        <x:v>0</x:v>
      </x:c>
      <x:c r="N151" s="32" t="n">
        <x:f>IF(A151=1,I151,N150+I151)</x:f>
        <x:v>0</x:v>
      </x:c>
      <x:c r="O151" s="32" t="n">
        <x:f>IF(A151=1,G151,O150+G151)</x:f>
        <x:v>2508322.5</x:v>
      </x:c>
      <x:c r="P151" s="37" t="n">
        <x:f>EDATE(Dashboard!$B$10,A151)</x:f>
        <x:v>49583</x:v>
      </x:c>
    </x:row>
    <x:row r="152">
      <x:c r="A152" s="33" t="n">
        <x:v>151</x:v>
      </x:c>
      <x:c r="B152" s="33" t="str">
        <x:f>IF(A152&lt;=Dashboard!$F$8,"Holiday",IF(A152&lt;=Dashboard!$F$8+Dashboard!$F$7,"Repayment","Closed"))</x:f>
        <x:v>Repayment</x:v>
      </x:c>
      <x:c r="C152" s="32" t="n">
        <x:f>IF(A152=1,Dashboard!$B$6,IF(B152="Holiday",J151,L151))</x:f>
        <x:v>2349500</x:v>
      </x:c>
      <x:c r="D152" s="32" t="n">
        <x:f>IF(A152=1,0,IF(B152="Holiday",K151,0))</x:f>
        <x:v>0</x:v>
      </x:c>
      <x:c r="E152" s="32" t="n">
        <x:f>C152+D152</x:f>
        <x:v>2349500</x:v>
      </x:c>
      <x:c r="F152" s="32">
        <x:f>IF(B152="Holiday",IF(Dashboard!$B$14="Principal Only",MIN(Dashboard!$B$15,C152),0),0)</x:f>
      </x:c>
      <x:c r="G152" s="32" t="n">
        <x:f>IF(B152="Closed",0,IF(B152="Holiday",IF(Dashboard!$B$14="Interest Only",C152*Dashboard!$F$6,MAX(0,(C152-F152)*Dashboard!$F$6)),E152*Dashboard!$F$6))</x:f>
        <x:v>17621.25</x:v>
      </x:c>
      <x:c r="H152" s="32" t="n">
        <x:f>IF(B152="Holiday",IF(Dashboard!$B$14="Interest Only",G152,F152),IF(B152="Closed",0,MIN(Dashboard!$F$10,E152+G152)))</x:f>
        <x:v>0</x:v>
      </x:c>
      <x:c r="I152" s="32" t="n">
        <x:f>IF(B152="Holiday",F152,IF(B152="Closed",0,MAX(0,H152-G152)))</x:f>
        <x:v>0</x:v>
      </x:c>
      <x:c r="J152" s="32" t="n">
        <x:f>IF(B152="Holiday",MAX(0,C152-F152),IF(B152="Closed",0,MAX(0,E152-I152)))</x:f>
        <x:v>2349500</x:v>
      </x:c>
      <x:c r="K152" s="32" t="n">
        <x:f>IF(B152="Holiday",IF(Dashboard!$B$14="Interest Only",D152,D152+G152),0)</x:f>
        <x:v>0</x:v>
      </x:c>
      <x:c r="L152" s="32" t="n">
        <x:f>J152+K152</x:f>
        <x:v>2349500</x:v>
      </x:c>
      <x:c r="M152" s="32" t="n">
        <x:f>IF(A152=1,H152,M151+H152)</x:f>
        <x:v>0</x:v>
      </x:c>
      <x:c r="N152" s="32" t="n">
        <x:f>IF(A152=1,I152,N151+I152)</x:f>
        <x:v>0</x:v>
      </x:c>
      <x:c r="O152" s="32" t="n">
        <x:f>IF(A152=1,G152,O151+G152)</x:f>
        <x:v>2525943.75</x:v>
      </x:c>
      <x:c r="P152" s="37" t="n">
        <x:f>EDATE(Dashboard!$B$10,A152)</x:f>
        <x:v>49614</x:v>
      </x:c>
    </x:row>
    <x:row r="153">
      <x:c r="A153" s="33" t="n">
        <x:v>152</x:v>
      </x:c>
      <x:c r="B153" s="33" t="str">
        <x:f>IF(A153&lt;=Dashboard!$F$8,"Holiday",IF(A153&lt;=Dashboard!$F$8+Dashboard!$F$7,"Repayment","Closed"))</x:f>
        <x:v>Repayment</x:v>
      </x:c>
      <x:c r="C153" s="32" t="n">
        <x:f>IF(A153=1,Dashboard!$B$6,IF(B153="Holiday",J152,L152))</x:f>
        <x:v>2349500</x:v>
      </x:c>
      <x:c r="D153" s="32" t="n">
        <x:f>IF(A153=1,0,IF(B153="Holiday",K152,0))</x:f>
        <x:v>0</x:v>
      </x:c>
      <x:c r="E153" s="32" t="n">
        <x:f>C153+D153</x:f>
        <x:v>2349500</x:v>
      </x:c>
      <x:c r="F153" s="32">
        <x:f>IF(B153="Holiday",IF(Dashboard!$B$14="Principal Only",MIN(Dashboard!$B$15,C153),0),0)</x:f>
      </x:c>
      <x:c r="G153" s="32" t="n">
        <x:f>IF(B153="Closed",0,IF(B153="Holiday",IF(Dashboard!$B$14="Interest Only",C153*Dashboard!$F$6,MAX(0,(C153-F153)*Dashboard!$F$6)),E153*Dashboard!$F$6))</x:f>
        <x:v>17621.25</x:v>
      </x:c>
      <x:c r="H153" s="32" t="n">
        <x:f>IF(B153="Holiday",IF(Dashboard!$B$14="Interest Only",G153,F153),IF(B153="Closed",0,MIN(Dashboard!$F$10,E153+G153)))</x:f>
        <x:v>0</x:v>
      </x:c>
      <x:c r="I153" s="32" t="n">
        <x:f>IF(B153="Holiday",F153,IF(B153="Closed",0,MAX(0,H153-G153)))</x:f>
        <x:v>0</x:v>
      </x:c>
      <x:c r="J153" s="32" t="n">
        <x:f>IF(B153="Holiday",MAX(0,C153-F153),IF(B153="Closed",0,MAX(0,E153-I153)))</x:f>
        <x:v>2349500</x:v>
      </x:c>
      <x:c r="K153" s="32" t="n">
        <x:f>IF(B153="Holiday",IF(Dashboard!$B$14="Interest Only",D153,D153+G153),0)</x:f>
        <x:v>0</x:v>
      </x:c>
      <x:c r="L153" s="32" t="n">
        <x:f>J153+K153</x:f>
        <x:v>2349500</x:v>
      </x:c>
      <x:c r="M153" s="32" t="n">
        <x:f>IF(A153=1,H153,M152+H153)</x:f>
        <x:v>0</x:v>
      </x:c>
      <x:c r="N153" s="32" t="n">
        <x:f>IF(A153=1,I153,N152+I153)</x:f>
        <x:v>0</x:v>
      </x:c>
      <x:c r="O153" s="32" t="n">
        <x:f>IF(A153=1,G153,O152+G153)</x:f>
        <x:v>2543565</x:v>
      </x:c>
      <x:c r="P153" s="37" t="n">
        <x:f>EDATE(Dashboard!$B$10,A153)</x:f>
        <x:v>49644</x:v>
      </x:c>
    </x:row>
    <x:row r="154">
      <x:c r="A154" s="33" t="n">
        <x:v>153</x:v>
      </x:c>
      <x:c r="B154" s="33" t="str">
        <x:f>IF(A154&lt;=Dashboard!$F$8,"Holiday",IF(A154&lt;=Dashboard!$F$8+Dashboard!$F$7,"Repayment","Closed"))</x:f>
        <x:v>Repayment</x:v>
      </x:c>
      <x:c r="C154" s="32" t="n">
        <x:f>IF(A154=1,Dashboard!$B$6,IF(B154="Holiday",J153,L153))</x:f>
        <x:v>2349500</x:v>
      </x:c>
      <x:c r="D154" s="32" t="n">
        <x:f>IF(A154=1,0,IF(B154="Holiday",K153,0))</x:f>
        <x:v>0</x:v>
      </x:c>
      <x:c r="E154" s="32" t="n">
        <x:f>C154+D154</x:f>
        <x:v>2349500</x:v>
      </x:c>
      <x:c r="F154" s="32">
        <x:f>IF(B154="Holiday",IF(Dashboard!$B$14="Principal Only",MIN(Dashboard!$B$15,C154),0),0)</x:f>
      </x:c>
      <x:c r="G154" s="32" t="n">
        <x:f>IF(B154="Closed",0,IF(B154="Holiday",IF(Dashboard!$B$14="Interest Only",C154*Dashboard!$F$6,MAX(0,(C154-F154)*Dashboard!$F$6)),E154*Dashboard!$F$6))</x:f>
        <x:v>17621.25</x:v>
      </x:c>
      <x:c r="H154" s="32" t="n">
        <x:f>IF(B154="Holiday",IF(Dashboard!$B$14="Interest Only",G154,F154),IF(B154="Closed",0,MIN(Dashboard!$F$10,E154+G154)))</x:f>
        <x:v>0</x:v>
      </x:c>
      <x:c r="I154" s="32" t="n">
        <x:f>IF(B154="Holiday",F154,IF(B154="Closed",0,MAX(0,H154-G154)))</x:f>
        <x:v>0</x:v>
      </x:c>
      <x:c r="J154" s="32" t="n">
        <x:f>IF(B154="Holiday",MAX(0,C154-F154),IF(B154="Closed",0,MAX(0,E154-I154)))</x:f>
        <x:v>2349500</x:v>
      </x:c>
      <x:c r="K154" s="32" t="n">
        <x:f>IF(B154="Holiday",IF(Dashboard!$B$14="Interest Only",D154,D154+G154),0)</x:f>
        <x:v>0</x:v>
      </x:c>
      <x:c r="L154" s="32" t="n">
        <x:f>J154+K154</x:f>
        <x:v>2349500</x:v>
      </x:c>
      <x:c r="M154" s="32" t="n">
        <x:f>IF(A154=1,H154,M153+H154)</x:f>
        <x:v>0</x:v>
      </x:c>
      <x:c r="N154" s="32" t="n">
        <x:f>IF(A154=1,I154,N153+I154)</x:f>
        <x:v>0</x:v>
      </x:c>
      <x:c r="O154" s="32" t="n">
        <x:f>IF(A154=1,G154,O153+G154)</x:f>
        <x:v>2561186.25</x:v>
      </x:c>
      <x:c r="P154" s="37" t="n">
        <x:f>EDATE(Dashboard!$B$10,A154)</x:f>
        <x:v>49675</x:v>
      </x:c>
    </x:row>
    <x:row r="155">
      <x:c r="A155" s="33" t="n">
        <x:v>154</x:v>
      </x:c>
      <x:c r="B155" s="33" t="str">
        <x:f>IF(A155&lt;=Dashboard!$F$8,"Holiday",IF(A155&lt;=Dashboard!$F$8+Dashboard!$F$7,"Repayment","Closed"))</x:f>
        <x:v>Repayment</x:v>
      </x:c>
      <x:c r="C155" s="32" t="n">
        <x:f>IF(A155=1,Dashboard!$B$6,IF(B155="Holiday",J154,L154))</x:f>
        <x:v>2349500</x:v>
      </x:c>
      <x:c r="D155" s="32" t="n">
        <x:f>IF(A155=1,0,IF(B155="Holiday",K154,0))</x:f>
        <x:v>0</x:v>
      </x:c>
      <x:c r="E155" s="32" t="n">
        <x:f>C155+D155</x:f>
        <x:v>2349500</x:v>
      </x:c>
      <x:c r="F155" s="32">
        <x:f>IF(B155="Holiday",IF(Dashboard!$B$14="Principal Only",MIN(Dashboard!$B$15,C155),0),0)</x:f>
      </x:c>
      <x:c r="G155" s="32" t="n">
        <x:f>IF(B155="Closed",0,IF(B155="Holiday",IF(Dashboard!$B$14="Interest Only",C155*Dashboard!$F$6,MAX(0,(C155-F155)*Dashboard!$F$6)),E155*Dashboard!$F$6))</x:f>
        <x:v>17621.25</x:v>
      </x:c>
      <x:c r="H155" s="32" t="n">
        <x:f>IF(B155="Holiday",IF(Dashboard!$B$14="Interest Only",G155,F155),IF(B155="Closed",0,MIN(Dashboard!$F$10,E155+G155)))</x:f>
        <x:v>0</x:v>
      </x:c>
      <x:c r="I155" s="32" t="n">
        <x:f>IF(B155="Holiday",F155,IF(B155="Closed",0,MAX(0,H155-G155)))</x:f>
        <x:v>0</x:v>
      </x:c>
      <x:c r="J155" s="32" t="n">
        <x:f>IF(B155="Holiday",MAX(0,C155-F155),IF(B155="Closed",0,MAX(0,E155-I155)))</x:f>
        <x:v>2349500</x:v>
      </x:c>
      <x:c r="K155" s="32" t="n">
        <x:f>IF(B155="Holiday",IF(Dashboard!$B$14="Interest Only",D155,D155+G155),0)</x:f>
        <x:v>0</x:v>
      </x:c>
      <x:c r="L155" s="32" t="n">
        <x:f>J155+K155</x:f>
        <x:v>2349500</x:v>
      </x:c>
      <x:c r="M155" s="32" t="n">
        <x:f>IF(A155=1,H155,M154+H155)</x:f>
        <x:v>0</x:v>
      </x:c>
      <x:c r="N155" s="32" t="n">
        <x:f>IF(A155=1,I155,N154+I155)</x:f>
        <x:v>0</x:v>
      </x:c>
      <x:c r="O155" s="32" t="n">
        <x:f>IF(A155=1,G155,O154+G155)</x:f>
        <x:v>2578807.5</x:v>
      </x:c>
      <x:c r="P155" s="37" t="n">
        <x:f>EDATE(Dashboard!$B$10,A155)</x:f>
        <x:v>49706</x:v>
      </x:c>
    </x:row>
    <x:row r="156">
      <x:c r="A156" s="33" t="n">
        <x:v>155</x:v>
      </x:c>
      <x:c r="B156" s="33" t="str">
        <x:f>IF(A156&lt;=Dashboard!$F$8,"Holiday",IF(A156&lt;=Dashboard!$F$8+Dashboard!$F$7,"Repayment","Closed"))</x:f>
        <x:v>Repayment</x:v>
      </x:c>
      <x:c r="C156" s="32" t="n">
        <x:f>IF(A156=1,Dashboard!$B$6,IF(B156="Holiday",J155,L155))</x:f>
        <x:v>2349500</x:v>
      </x:c>
      <x:c r="D156" s="32" t="n">
        <x:f>IF(A156=1,0,IF(B156="Holiday",K155,0))</x:f>
        <x:v>0</x:v>
      </x:c>
      <x:c r="E156" s="32" t="n">
        <x:f>C156+D156</x:f>
        <x:v>2349500</x:v>
      </x:c>
      <x:c r="F156" s="32">
        <x:f>IF(B156="Holiday",IF(Dashboard!$B$14="Principal Only",MIN(Dashboard!$B$15,C156),0),0)</x:f>
      </x:c>
      <x:c r="G156" s="32" t="n">
        <x:f>IF(B156="Closed",0,IF(B156="Holiday",IF(Dashboard!$B$14="Interest Only",C156*Dashboard!$F$6,MAX(0,(C156-F156)*Dashboard!$F$6)),E156*Dashboard!$F$6))</x:f>
        <x:v>17621.25</x:v>
      </x:c>
      <x:c r="H156" s="32" t="n">
        <x:f>IF(B156="Holiday",IF(Dashboard!$B$14="Interest Only",G156,F156),IF(B156="Closed",0,MIN(Dashboard!$F$10,E156+G156)))</x:f>
        <x:v>0</x:v>
      </x:c>
      <x:c r="I156" s="32" t="n">
        <x:f>IF(B156="Holiday",F156,IF(B156="Closed",0,MAX(0,H156-G156)))</x:f>
        <x:v>0</x:v>
      </x:c>
      <x:c r="J156" s="32" t="n">
        <x:f>IF(B156="Holiday",MAX(0,C156-F156),IF(B156="Closed",0,MAX(0,E156-I156)))</x:f>
        <x:v>2349500</x:v>
      </x:c>
      <x:c r="K156" s="32" t="n">
        <x:f>IF(B156="Holiday",IF(Dashboard!$B$14="Interest Only",D156,D156+G156),0)</x:f>
        <x:v>0</x:v>
      </x:c>
      <x:c r="L156" s="32" t="n">
        <x:f>J156+K156</x:f>
        <x:v>2349500</x:v>
      </x:c>
      <x:c r="M156" s="32" t="n">
        <x:f>IF(A156=1,H156,M155+H156)</x:f>
        <x:v>0</x:v>
      </x:c>
      <x:c r="N156" s="32" t="n">
        <x:f>IF(A156=1,I156,N155+I156)</x:f>
        <x:v>0</x:v>
      </x:c>
      <x:c r="O156" s="32" t="n">
        <x:f>IF(A156=1,G156,O155+G156)</x:f>
        <x:v>2596428.75</x:v>
      </x:c>
      <x:c r="P156" s="37" t="n">
        <x:f>EDATE(Dashboard!$B$10,A156)</x:f>
        <x:v>49735</x:v>
      </x:c>
    </x:row>
    <x:row r="157">
      <x:c r="A157" s="33" t="n">
        <x:v>156</x:v>
      </x:c>
      <x:c r="B157" s="33" t="str">
        <x:f>IF(A157&lt;=Dashboard!$F$8,"Holiday",IF(A157&lt;=Dashboard!$F$8+Dashboard!$F$7,"Repayment","Closed"))</x:f>
        <x:v>Repayment</x:v>
      </x:c>
      <x:c r="C157" s="32" t="n">
        <x:f>IF(A157=1,Dashboard!$B$6,IF(B157="Holiday",J156,L156))</x:f>
        <x:v>2349500</x:v>
      </x:c>
      <x:c r="D157" s="32" t="n">
        <x:f>IF(A157=1,0,IF(B157="Holiday",K156,0))</x:f>
        <x:v>0</x:v>
      </x:c>
      <x:c r="E157" s="32" t="n">
        <x:f>C157+D157</x:f>
        <x:v>2349500</x:v>
      </x:c>
      <x:c r="F157" s="32">
        <x:f>IF(B157="Holiday",IF(Dashboard!$B$14="Principal Only",MIN(Dashboard!$B$15,C157),0),0)</x:f>
      </x:c>
      <x:c r="G157" s="32" t="n">
        <x:f>IF(B157="Closed",0,IF(B157="Holiday",IF(Dashboard!$B$14="Interest Only",C157*Dashboard!$F$6,MAX(0,(C157-F157)*Dashboard!$F$6)),E157*Dashboard!$F$6))</x:f>
        <x:v>17621.25</x:v>
      </x:c>
      <x:c r="H157" s="32" t="n">
        <x:f>IF(B157="Holiday",IF(Dashboard!$B$14="Interest Only",G157,F157),IF(B157="Closed",0,MIN(Dashboard!$F$10,E157+G157)))</x:f>
        <x:v>0</x:v>
      </x:c>
      <x:c r="I157" s="32" t="n">
        <x:f>IF(B157="Holiday",F157,IF(B157="Closed",0,MAX(0,H157-G157)))</x:f>
        <x:v>0</x:v>
      </x:c>
      <x:c r="J157" s="32" t="n">
        <x:f>IF(B157="Holiday",MAX(0,C157-F157),IF(B157="Closed",0,MAX(0,E157-I157)))</x:f>
        <x:v>2349500</x:v>
      </x:c>
      <x:c r="K157" s="32" t="n">
        <x:f>IF(B157="Holiday",IF(Dashboard!$B$14="Interest Only",D157,D157+G157),0)</x:f>
        <x:v>0</x:v>
      </x:c>
      <x:c r="L157" s="32" t="n">
        <x:f>J157+K157</x:f>
        <x:v>2349500</x:v>
      </x:c>
      <x:c r="M157" s="32" t="n">
        <x:f>IF(A157=1,H157,M156+H157)</x:f>
        <x:v>0</x:v>
      </x:c>
      <x:c r="N157" s="32" t="n">
        <x:f>IF(A157=1,I157,N156+I157)</x:f>
        <x:v>0</x:v>
      </x:c>
      <x:c r="O157" s="32" t="n">
        <x:f>IF(A157=1,G157,O156+G157)</x:f>
        <x:v>2614050</x:v>
      </x:c>
      <x:c r="P157" s="37" t="n">
        <x:f>EDATE(Dashboard!$B$10,A157)</x:f>
        <x:v>49766</x:v>
      </x:c>
    </x:row>
    <x:row r="158">
      <x:c r="A158" s="33" t="n">
        <x:v>157</x:v>
      </x:c>
      <x:c r="B158" s="33" t="str">
        <x:f>IF(A158&lt;=Dashboard!$F$8,"Holiday",IF(A158&lt;=Dashboard!$F$8+Dashboard!$F$7,"Repayment","Closed"))</x:f>
        <x:v>Repayment</x:v>
      </x:c>
      <x:c r="C158" s="32" t="n">
        <x:f>IF(A158=1,Dashboard!$B$6,IF(B158="Holiday",J157,L157))</x:f>
        <x:v>2349500</x:v>
      </x:c>
      <x:c r="D158" s="32" t="n">
        <x:f>IF(A158=1,0,IF(B158="Holiday",K157,0))</x:f>
        <x:v>0</x:v>
      </x:c>
      <x:c r="E158" s="32" t="n">
        <x:f>C158+D158</x:f>
        <x:v>2349500</x:v>
      </x:c>
      <x:c r="F158" s="32">
        <x:f>IF(B158="Holiday",IF(Dashboard!$B$14="Principal Only",MIN(Dashboard!$B$15,C158),0),0)</x:f>
      </x:c>
      <x:c r="G158" s="32" t="n">
        <x:f>IF(B158="Closed",0,IF(B158="Holiday",IF(Dashboard!$B$14="Interest Only",C158*Dashboard!$F$6,MAX(0,(C158-F158)*Dashboard!$F$6)),E158*Dashboard!$F$6))</x:f>
        <x:v>17621.25</x:v>
      </x:c>
      <x:c r="H158" s="32" t="n">
        <x:f>IF(B158="Holiday",IF(Dashboard!$B$14="Interest Only",G158,F158),IF(B158="Closed",0,MIN(Dashboard!$F$10,E158+G158)))</x:f>
        <x:v>0</x:v>
      </x:c>
      <x:c r="I158" s="32" t="n">
        <x:f>IF(B158="Holiday",F158,IF(B158="Closed",0,MAX(0,H158-G158)))</x:f>
        <x:v>0</x:v>
      </x:c>
      <x:c r="J158" s="32" t="n">
        <x:f>IF(B158="Holiday",MAX(0,C158-F158),IF(B158="Closed",0,MAX(0,E158-I158)))</x:f>
        <x:v>2349500</x:v>
      </x:c>
      <x:c r="K158" s="32" t="n">
        <x:f>IF(B158="Holiday",IF(Dashboard!$B$14="Interest Only",D158,D158+G158),0)</x:f>
        <x:v>0</x:v>
      </x:c>
      <x:c r="L158" s="32" t="n">
        <x:f>J158+K158</x:f>
        <x:v>2349500</x:v>
      </x:c>
      <x:c r="M158" s="32" t="n">
        <x:f>IF(A158=1,H158,M157+H158)</x:f>
        <x:v>0</x:v>
      </x:c>
      <x:c r="N158" s="32" t="n">
        <x:f>IF(A158=1,I158,N157+I158)</x:f>
        <x:v>0</x:v>
      </x:c>
      <x:c r="O158" s="32" t="n">
        <x:f>IF(A158=1,G158,O157+G158)</x:f>
        <x:v>2631671.25</x:v>
      </x:c>
      <x:c r="P158" s="37" t="n">
        <x:f>EDATE(Dashboard!$B$10,A158)</x:f>
        <x:v>49796</x:v>
      </x:c>
    </x:row>
    <x:row r="159">
      <x:c r="A159" s="33" t="n">
        <x:v>158</x:v>
      </x:c>
      <x:c r="B159" s="33" t="str">
        <x:f>IF(A159&lt;=Dashboard!$F$8,"Holiday",IF(A159&lt;=Dashboard!$F$8+Dashboard!$F$7,"Repayment","Closed"))</x:f>
        <x:v>Repayment</x:v>
      </x:c>
      <x:c r="C159" s="32" t="n">
        <x:f>IF(A159=1,Dashboard!$B$6,IF(B159="Holiday",J158,L158))</x:f>
        <x:v>2349500</x:v>
      </x:c>
      <x:c r="D159" s="32" t="n">
        <x:f>IF(A159=1,0,IF(B159="Holiday",K158,0))</x:f>
        <x:v>0</x:v>
      </x:c>
      <x:c r="E159" s="32" t="n">
        <x:f>C159+D159</x:f>
        <x:v>2349500</x:v>
      </x:c>
      <x:c r="F159" s="32">
        <x:f>IF(B159="Holiday",IF(Dashboard!$B$14="Principal Only",MIN(Dashboard!$B$15,C159),0),0)</x:f>
      </x:c>
      <x:c r="G159" s="32" t="n">
        <x:f>IF(B159="Closed",0,IF(B159="Holiday",IF(Dashboard!$B$14="Interest Only",C159*Dashboard!$F$6,MAX(0,(C159-F159)*Dashboard!$F$6)),E159*Dashboard!$F$6))</x:f>
        <x:v>17621.25</x:v>
      </x:c>
      <x:c r="H159" s="32" t="n">
        <x:f>IF(B159="Holiday",IF(Dashboard!$B$14="Interest Only",G159,F159),IF(B159="Closed",0,MIN(Dashboard!$F$10,E159+G159)))</x:f>
        <x:v>0</x:v>
      </x:c>
      <x:c r="I159" s="32" t="n">
        <x:f>IF(B159="Holiday",F159,IF(B159="Closed",0,MAX(0,H159-G159)))</x:f>
        <x:v>0</x:v>
      </x:c>
      <x:c r="J159" s="32" t="n">
        <x:f>IF(B159="Holiday",MAX(0,C159-F159),IF(B159="Closed",0,MAX(0,E159-I159)))</x:f>
        <x:v>2349500</x:v>
      </x:c>
      <x:c r="K159" s="32" t="n">
        <x:f>IF(B159="Holiday",IF(Dashboard!$B$14="Interest Only",D159,D159+G159),0)</x:f>
        <x:v>0</x:v>
      </x:c>
      <x:c r="L159" s="32" t="n">
        <x:f>J159+K159</x:f>
        <x:v>2349500</x:v>
      </x:c>
      <x:c r="M159" s="32" t="n">
        <x:f>IF(A159=1,H159,M158+H159)</x:f>
        <x:v>0</x:v>
      </x:c>
      <x:c r="N159" s="32" t="n">
        <x:f>IF(A159=1,I159,N158+I159)</x:f>
        <x:v>0</x:v>
      </x:c>
      <x:c r="O159" s="32" t="n">
        <x:f>IF(A159=1,G159,O158+G159)</x:f>
        <x:v>2649292.5</x:v>
      </x:c>
      <x:c r="P159" s="37" t="n">
        <x:f>EDATE(Dashboard!$B$10,A159)</x:f>
        <x:v>49827</x:v>
      </x:c>
    </x:row>
    <x:row r="160">
      <x:c r="A160" s="33" t="n">
        <x:v>159</x:v>
      </x:c>
      <x:c r="B160" s="33" t="str">
        <x:f>IF(A160&lt;=Dashboard!$F$8,"Holiday",IF(A160&lt;=Dashboard!$F$8+Dashboard!$F$7,"Repayment","Closed"))</x:f>
        <x:v>Repayment</x:v>
      </x:c>
      <x:c r="C160" s="32" t="n">
        <x:f>IF(A160=1,Dashboard!$B$6,IF(B160="Holiday",J159,L159))</x:f>
        <x:v>2349500</x:v>
      </x:c>
      <x:c r="D160" s="32" t="n">
        <x:f>IF(A160=1,0,IF(B160="Holiday",K159,0))</x:f>
        <x:v>0</x:v>
      </x:c>
      <x:c r="E160" s="32" t="n">
        <x:f>C160+D160</x:f>
        <x:v>2349500</x:v>
      </x:c>
      <x:c r="F160" s="32">
        <x:f>IF(B160="Holiday",IF(Dashboard!$B$14="Principal Only",MIN(Dashboard!$B$15,C160),0),0)</x:f>
      </x:c>
      <x:c r="G160" s="32" t="n">
        <x:f>IF(B160="Closed",0,IF(B160="Holiday",IF(Dashboard!$B$14="Interest Only",C160*Dashboard!$F$6,MAX(0,(C160-F160)*Dashboard!$F$6)),E160*Dashboard!$F$6))</x:f>
        <x:v>17621.25</x:v>
      </x:c>
      <x:c r="H160" s="32" t="n">
        <x:f>IF(B160="Holiday",IF(Dashboard!$B$14="Interest Only",G160,F160),IF(B160="Closed",0,MIN(Dashboard!$F$10,E160+G160)))</x:f>
        <x:v>0</x:v>
      </x:c>
      <x:c r="I160" s="32" t="n">
        <x:f>IF(B160="Holiday",F160,IF(B160="Closed",0,MAX(0,H160-G160)))</x:f>
        <x:v>0</x:v>
      </x:c>
      <x:c r="J160" s="32" t="n">
        <x:f>IF(B160="Holiday",MAX(0,C160-F160),IF(B160="Closed",0,MAX(0,E160-I160)))</x:f>
        <x:v>2349500</x:v>
      </x:c>
      <x:c r="K160" s="32" t="n">
        <x:f>IF(B160="Holiday",IF(Dashboard!$B$14="Interest Only",D160,D160+G160),0)</x:f>
        <x:v>0</x:v>
      </x:c>
      <x:c r="L160" s="32" t="n">
        <x:f>J160+K160</x:f>
        <x:v>2349500</x:v>
      </x:c>
      <x:c r="M160" s="32" t="n">
        <x:f>IF(A160=1,H160,M159+H160)</x:f>
        <x:v>0</x:v>
      </x:c>
      <x:c r="N160" s="32" t="n">
        <x:f>IF(A160=1,I160,N159+I160)</x:f>
        <x:v>0</x:v>
      </x:c>
      <x:c r="O160" s="32" t="n">
        <x:f>IF(A160=1,G160,O159+G160)</x:f>
        <x:v>2666913.75</x:v>
      </x:c>
      <x:c r="P160" s="37" t="n">
        <x:f>EDATE(Dashboard!$B$10,A160)</x:f>
        <x:v>49857</x:v>
      </x:c>
    </x:row>
    <x:row r="161">
      <x:c r="A161" s="33" t="n">
        <x:v>160</x:v>
      </x:c>
      <x:c r="B161" s="33" t="str">
        <x:f>IF(A161&lt;=Dashboard!$F$8,"Holiday",IF(A161&lt;=Dashboard!$F$8+Dashboard!$F$7,"Repayment","Closed"))</x:f>
        <x:v>Repayment</x:v>
      </x:c>
      <x:c r="C161" s="32" t="n">
        <x:f>IF(A161=1,Dashboard!$B$6,IF(B161="Holiday",J160,L160))</x:f>
        <x:v>2349500</x:v>
      </x:c>
      <x:c r="D161" s="32" t="n">
        <x:f>IF(A161=1,0,IF(B161="Holiday",K160,0))</x:f>
        <x:v>0</x:v>
      </x:c>
      <x:c r="E161" s="32" t="n">
        <x:f>C161+D161</x:f>
        <x:v>2349500</x:v>
      </x:c>
      <x:c r="F161" s="32">
        <x:f>IF(B161="Holiday",IF(Dashboard!$B$14="Principal Only",MIN(Dashboard!$B$15,C161),0),0)</x:f>
      </x:c>
      <x:c r="G161" s="32" t="n">
        <x:f>IF(B161="Closed",0,IF(B161="Holiday",IF(Dashboard!$B$14="Interest Only",C161*Dashboard!$F$6,MAX(0,(C161-F161)*Dashboard!$F$6)),E161*Dashboard!$F$6))</x:f>
        <x:v>17621.25</x:v>
      </x:c>
      <x:c r="H161" s="32" t="n">
        <x:f>IF(B161="Holiday",IF(Dashboard!$B$14="Interest Only",G161,F161),IF(B161="Closed",0,MIN(Dashboard!$F$10,E161+G161)))</x:f>
        <x:v>0</x:v>
      </x:c>
      <x:c r="I161" s="32" t="n">
        <x:f>IF(B161="Holiday",F161,IF(B161="Closed",0,MAX(0,H161-G161)))</x:f>
        <x:v>0</x:v>
      </x:c>
      <x:c r="J161" s="32" t="n">
        <x:f>IF(B161="Holiday",MAX(0,C161-F161),IF(B161="Closed",0,MAX(0,E161-I161)))</x:f>
        <x:v>2349500</x:v>
      </x:c>
      <x:c r="K161" s="32" t="n">
        <x:f>IF(B161="Holiday",IF(Dashboard!$B$14="Interest Only",D161,D161+G161),0)</x:f>
        <x:v>0</x:v>
      </x:c>
      <x:c r="L161" s="32" t="n">
        <x:f>J161+K161</x:f>
        <x:v>2349500</x:v>
      </x:c>
      <x:c r="M161" s="32" t="n">
        <x:f>IF(A161=1,H161,M160+H161)</x:f>
        <x:v>0</x:v>
      </x:c>
      <x:c r="N161" s="32" t="n">
        <x:f>IF(A161=1,I161,N160+I161)</x:f>
        <x:v>0</x:v>
      </x:c>
      <x:c r="O161" s="32" t="n">
        <x:f>IF(A161=1,G161,O160+G161)</x:f>
        <x:v>2684535</x:v>
      </x:c>
      <x:c r="P161" s="37" t="n">
        <x:f>EDATE(Dashboard!$B$10,A161)</x:f>
        <x:v>49888</x:v>
      </x:c>
    </x:row>
    <x:row r="162">
      <x:c r="A162" s="33" t="n">
        <x:v>161</x:v>
      </x:c>
      <x:c r="B162" s="33" t="str">
        <x:f>IF(A162&lt;=Dashboard!$F$8,"Holiday",IF(A162&lt;=Dashboard!$F$8+Dashboard!$F$7,"Repayment","Closed"))</x:f>
        <x:v>Repayment</x:v>
      </x:c>
      <x:c r="C162" s="32" t="n">
        <x:f>IF(A162=1,Dashboard!$B$6,IF(B162="Holiday",J161,L161))</x:f>
        <x:v>2349500</x:v>
      </x:c>
      <x:c r="D162" s="32" t="n">
        <x:f>IF(A162=1,0,IF(B162="Holiday",K161,0))</x:f>
        <x:v>0</x:v>
      </x:c>
      <x:c r="E162" s="32" t="n">
        <x:f>C162+D162</x:f>
        <x:v>2349500</x:v>
      </x:c>
      <x:c r="F162" s="32">
        <x:f>IF(B162="Holiday",IF(Dashboard!$B$14="Principal Only",MIN(Dashboard!$B$15,C162),0),0)</x:f>
      </x:c>
      <x:c r="G162" s="32" t="n">
        <x:f>IF(B162="Closed",0,IF(B162="Holiday",IF(Dashboard!$B$14="Interest Only",C162*Dashboard!$F$6,MAX(0,(C162-F162)*Dashboard!$F$6)),E162*Dashboard!$F$6))</x:f>
        <x:v>17621.25</x:v>
      </x:c>
      <x:c r="H162" s="32" t="n">
        <x:f>IF(B162="Holiday",IF(Dashboard!$B$14="Interest Only",G162,F162),IF(B162="Closed",0,MIN(Dashboard!$F$10,E162+G162)))</x:f>
        <x:v>0</x:v>
      </x:c>
      <x:c r="I162" s="32" t="n">
        <x:f>IF(B162="Holiday",F162,IF(B162="Closed",0,MAX(0,H162-G162)))</x:f>
        <x:v>0</x:v>
      </x:c>
      <x:c r="J162" s="32" t="n">
        <x:f>IF(B162="Holiday",MAX(0,C162-F162),IF(B162="Closed",0,MAX(0,E162-I162)))</x:f>
        <x:v>2349500</x:v>
      </x:c>
      <x:c r="K162" s="32" t="n">
        <x:f>IF(B162="Holiday",IF(Dashboard!$B$14="Interest Only",D162,D162+G162),0)</x:f>
        <x:v>0</x:v>
      </x:c>
      <x:c r="L162" s="32" t="n">
        <x:f>J162+K162</x:f>
        <x:v>2349500</x:v>
      </x:c>
      <x:c r="M162" s="32" t="n">
        <x:f>IF(A162=1,H162,M161+H162)</x:f>
        <x:v>0</x:v>
      </x:c>
      <x:c r="N162" s="32" t="n">
        <x:f>IF(A162=1,I162,N161+I162)</x:f>
        <x:v>0</x:v>
      </x:c>
      <x:c r="O162" s="32" t="n">
        <x:f>IF(A162=1,G162,O161+G162)</x:f>
        <x:v>2702156.25</x:v>
      </x:c>
      <x:c r="P162" s="37" t="n">
        <x:f>EDATE(Dashboard!$B$10,A162)</x:f>
        <x:v>49919</x:v>
      </x:c>
    </x:row>
    <x:row r="163">
      <x:c r="A163" s="33" t="n">
        <x:v>162</x:v>
      </x:c>
      <x:c r="B163" s="33" t="str">
        <x:f>IF(A163&lt;=Dashboard!$F$8,"Holiday",IF(A163&lt;=Dashboard!$F$8+Dashboard!$F$7,"Repayment","Closed"))</x:f>
        <x:v>Repayment</x:v>
      </x:c>
      <x:c r="C163" s="32" t="n">
        <x:f>IF(A163=1,Dashboard!$B$6,IF(B163="Holiday",J162,L162))</x:f>
        <x:v>2349500</x:v>
      </x:c>
      <x:c r="D163" s="32" t="n">
        <x:f>IF(A163=1,0,IF(B163="Holiday",K162,0))</x:f>
        <x:v>0</x:v>
      </x:c>
      <x:c r="E163" s="32" t="n">
        <x:f>C163+D163</x:f>
        <x:v>2349500</x:v>
      </x:c>
      <x:c r="F163" s="32">
        <x:f>IF(B163="Holiday",IF(Dashboard!$B$14="Principal Only",MIN(Dashboard!$B$15,C163),0),0)</x:f>
      </x:c>
      <x:c r="G163" s="32" t="n">
        <x:f>IF(B163="Closed",0,IF(B163="Holiday",IF(Dashboard!$B$14="Interest Only",C163*Dashboard!$F$6,MAX(0,(C163-F163)*Dashboard!$F$6)),E163*Dashboard!$F$6))</x:f>
        <x:v>17621.25</x:v>
      </x:c>
      <x:c r="H163" s="32" t="n">
        <x:f>IF(B163="Holiday",IF(Dashboard!$B$14="Interest Only",G163,F163),IF(B163="Closed",0,MIN(Dashboard!$F$10,E163+G163)))</x:f>
        <x:v>0</x:v>
      </x:c>
      <x:c r="I163" s="32" t="n">
        <x:f>IF(B163="Holiday",F163,IF(B163="Closed",0,MAX(0,H163-G163)))</x:f>
        <x:v>0</x:v>
      </x:c>
      <x:c r="J163" s="32" t="n">
        <x:f>IF(B163="Holiday",MAX(0,C163-F163),IF(B163="Closed",0,MAX(0,E163-I163)))</x:f>
        <x:v>2349500</x:v>
      </x:c>
      <x:c r="K163" s="32" t="n">
        <x:f>IF(B163="Holiday",IF(Dashboard!$B$14="Interest Only",D163,D163+G163),0)</x:f>
        <x:v>0</x:v>
      </x:c>
      <x:c r="L163" s="32" t="n">
        <x:f>J163+K163</x:f>
        <x:v>2349500</x:v>
      </x:c>
      <x:c r="M163" s="32" t="n">
        <x:f>IF(A163=1,H163,M162+H163)</x:f>
        <x:v>0</x:v>
      </x:c>
      <x:c r="N163" s="32" t="n">
        <x:f>IF(A163=1,I163,N162+I163)</x:f>
        <x:v>0</x:v>
      </x:c>
      <x:c r="O163" s="32" t="n">
        <x:f>IF(A163=1,G163,O162+G163)</x:f>
        <x:v>2719777.5</x:v>
      </x:c>
      <x:c r="P163" s="37" t="n">
        <x:f>EDATE(Dashboard!$B$10,A163)</x:f>
        <x:v>49949</x:v>
      </x:c>
    </x:row>
    <x:row r="164">
      <x:c r="A164" s="33" t="n">
        <x:v>163</x:v>
      </x:c>
      <x:c r="B164" s="33" t="str">
        <x:f>IF(A164&lt;=Dashboard!$F$8,"Holiday",IF(A164&lt;=Dashboard!$F$8+Dashboard!$F$7,"Repayment","Closed"))</x:f>
        <x:v>Repayment</x:v>
      </x:c>
      <x:c r="C164" s="32" t="n">
        <x:f>IF(A164=1,Dashboard!$B$6,IF(B164="Holiday",J163,L163))</x:f>
        <x:v>2349500</x:v>
      </x:c>
      <x:c r="D164" s="32" t="n">
        <x:f>IF(A164=1,0,IF(B164="Holiday",K163,0))</x:f>
        <x:v>0</x:v>
      </x:c>
      <x:c r="E164" s="32" t="n">
        <x:f>C164+D164</x:f>
        <x:v>2349500</x:v>
      </x:c>
      <x:c r="F164" s="32">
        <x:f>IF(B164="Holiday",IF(Dashboard!$B$14="Principal Only",MIN(Dashboard!$B$15,C164),0),0)</x:f>
      </x:c>
      <x:c r="G164" s="32" t="n">
        <x:f>IF(B164="Closed",0,IF(B164="Holiday",IF(Dashboard!$B$14="Interest Only",C164*Dashboard!$F$6,MAX(0,(C164-F164)*Dashboard!$F$6)),E164*Dashboard!$F$6))</x:f>
        <x:v>17621.25</x:v>
      </x:c>
      <x:c r="H164" s="32" t="n">
        <x:f>IF(B164="Holiday",IF(Dashboard!$B$14="Interest Only",G164,F164),IF(B164="Closed",0,MIN(Dashboard!$F$10,E164+G164)))</x:f>
        <x:v>0</x:v>
      </x:c>
      <x:c r="I164" s="32" t="n">
        <x:f>IF(B164="Holiday",F164,IF(B164="Closed",0,MAX(0,H164-G164)))</x:f>
        <x:v>0</x:v>
      </x:c>
      <x:c r="J164" s="32" t="n">
        <x:f>IF(B164="Holiday",MAX(0,C164-F164),IF(B164="Closed",0,MAX(0,E164-I164)))</x:f>
        <x:v>2349500</x:v>
      </x:c>
      <x:c r="K164" s="32" t="n">
        <x:f>IF(B164="Holiday",IF(Dashboard!$B$14="Interest Only",D164,D164+G164),0)</x:f>
        <x:v>0</x:v>
      </x:c>
      <x:c r="L164" s="32" t="n">
        <x:f>J164+K164</x:f>
        <x:v>2349500</x:v>
      </x:c>
      <x:c r="M164" s="32" t="n">
        <x:f>IF(A164=1,H164,M163+H164)</x:f>
        <x:v>0</x:v>
      </x:c>
      <x:c r="N164" s="32" t="n">
        <x:f>IF(A164=1,I164,N163+I164)</x:f>
        <x:v>0</x:v>
      </x:c>
      <x:c r="O164" s="32" t="n">
        <x:f>IF(A164=1,G164,O163+G164)</x:f>
        <x:v>2737398.75</x:v>
      </x:c>
      <x:c r="P164" s="37" t="n">
        <x:f>EDATE(Dashboard!$B$10,A164)</x:f>
        <x:v>49980</x:v>
      </x:c>
    </x:row>
    <x:row r="165">
      <x:c r="A165" s="33" t="n">
        <x:v>164</x:v>
      </x:c>
      <x:c r="B165" s="33" t="str">
        <x:f>IF(A165&lt;=Dashboard!$F$8,"Holiday",IF(A165&lt;=Dashboard!$F$8+Dashboard!$F$7,"Repayment","Closed"))</x:f>
        <x:v>Repayment</x:v>
      </x:c>
      <x:c r="C165" s="32" t="n">
        <x:f>IF(A165=1,Dashboard!$B$6,IF(B165="Holiday",J164,L164))</x:f>
        <x:v>2349500</x:v>
      </x:c>
      <x:c r="D165" s="32" t="n">
        <x:f>IF(A165=1,0,IF(B165="Holiday",K164,0))</x:f>
        <x:v>0</x:v>
      </x:c>
      <x:c r="E165" s="32" t="n">
        <x:f>C165+D165</x:f>
        <x:v>2349500</x:v>
      </x:c>
      <x:c r="F165" s="32">
        <x:f>IF(B165="Holiday",IF(Dashboard!$B$14="Principal Only",MIN(Dashboard!$B$15,C165),0),0)</x:f>
      </x:c>
      <x:c r="G165" s="32" t="n">
        <x:f>IF(B165="Closed",0,IF(B165="Holiday",IF(Dashboard!$B$14="Interest Only",C165*Dashboard!$F$6,MAX(0,(C165-F165)*Dashboard!$F$6)),E165*Dashboard!$F$6))</x:f>
        <x:v>17621.25</x:v>
      </x:c>
      <x:c r="H165" s="32" t="n">
        <x:f>IF(B165="Holiday",IF(Dashboard!$B$14="Interest Only",G165,F165),IF(B165="Closed",0,MIN(Dashboard!$F$10,E165+G165)))</x:f>
        <x:v>0</x:v>
      </x:c>
      <x:c r="I165" s="32" t="n">
        <x:f>IF(B165="Holiday",F165,IF(B165="Closed",0,MAX(0,H165-G165)))</x:f>
        <x:v>0</x:v>
      </x:c>
      <x:c r="J165" s="32" t="n">
        <x:f>IF(B165="Holiday",MAX(0,C165-F165),IF(B165="Closed",0,MAX(0,E165-I165)))</x:f>
        <x:v>2349500</x:v>
      </x:c>
      <x:c r="K165" s="32" t="n">
        <x:f>IF(B165="Holiday",IF(Dashboard!$B$14="Interest Only",D165,D165+G165),0)</x:f>
        <x:v>0</x:v>
      </x:c>
      <x:c r="L165" s="32" t="n">
        <x:f>J165+K165</x:f>
        <x:v>2349500</x:v>
      </x:c>
      <x:c r="M165" s="32" t="n">
        <x:f>IF(A165=1,H165,M164+H165)</x:f>
        <x:v>0</x:v>
      </x:c>
      <x:c r="N165" s="32" t="n">
        <x:f>IF(A165=1,I165,N164+I165)</x:f>
        <x:v>0</x:v>
      </x:c>
      <x:c r="O165" s="32" t="n">
        <x:f>IF(A165=1,G165,O164+G165)</x:f>
        <x:v>2755020</x:v>
      </x:c>
      <x:c r="P165" s="37" t="n">
        <x:f>EDATE(Dashboard!$B$10,A165)</x:f>
        <x:v>50010</x:v>
      </x:c>
    </x:row>
    <x:row r="166">
      <x:c r="A166" s="33" t="n">
        <x:v>165</x:v>
      </x:c>
      <x:c r="B166" s="33" t="str">
        <x:f>IF(A166&lt;=Dashboard!$F$8,"Holiday",IF(A166&lt;=Dashboard!$F$8+Dashboard!$F$7,"Repayment","Closed"))</x:f>
        <x:v>Repayment</x:v>
      </x:c>
      <x:c r="C166" s="32" t="n">
        <x:f>IF(A166=1,Dashboard!$B$6,IF(B166="Holiday",J165,L165))</x:f>
        <x:v>2349500</x:v>
      </x:c>
      <x:c r="D166" s="32" t="n">
        <x:f>IF(A166=1,0,IF(B166="Holiday",K165,0))</x:f>
        <x:v>0</x:v>
      </x:c>
      <x:c r="E166" s="32" t="n">
        <x:f>C166+D166</x:f>
        <x:v>2349500</x:v>
      </x:c>
      <x:c r="F166" s="32">
        <x:f>IF(B166="Holiday",IF(Dashboard!$B$14="Principal Only",MIN(Dashboard!$B$15,C166),0),0)</x:f>
      </x:c>
      <x:c r="G166" s="32" t="n">
        <x:f>IF(B166="Closed",0,IF(B166="Holiday",IF(Dashboard!$B$14="Interest Only",C166*Dashboard!$F$6,MAX(0,(C166-F166)*Dashboard!$F$6)),E166*Dashboard!$F$6))</x:f>
        <x:v>17621.25</x:v>
      </x:c>
      <x:c r="H166" s="32" t="n">
        <x:f>IF(B166="Holiday",IF(Dashboard!$B$14="Interest Only",G166,F166),IF(B166="Closed",0,MIN(Dashboard!$F$10,E166+G166)))</x:f>
        <x:v>0</x:v>
      </x:c>
      <x:c r="I166" s="32" t="n">
        <x:f>IF(B166="Holiday",F166,IF(B166="Closed",0,MAX(0,H166-G166)))</x:f>
        <x:v>0</x:v>
      </x:c>
      <x:c r="J166" s="32" t="n">
        <x:f>IF(B166="Holiday",MAX(0,C166-F166),IF(B166="Closed",0,MAX(0,E166-I166)))</x:f>
        <x:v>2349500</x:v>
      </x:c>
      <x:c r="K166" s="32" t="n">
        <x:f>IF(B166="Holiday",IF(Dashboard!$B$14="Interest Only",D166,D166+G166),0)</x:f>
        <x:v>0</x:v>
      </x:c>
      <x:c r="L166" s="32" t="n">
        <x:f>J166+K166</x:f>
        <x:v>2349500</x:v>
      </x:c>
      <x:c r="M166" s="32" t="n">
        <x:f>IF(A166=1,H166,M165+H166)</x:f>
        <x:v>0</x:v>
      </x:c>
      <x:c r="N166" s="32" t="n">
        <x:f>IF(A166=1,I166,N165+I166)</x:f>
        <x:v>0</x:v>
      </x:c>
      <x:c r="O166" s="32" t="n">
        <x:f>IF(A166=1,G166,O165+G166)</x:f>
        <x:v>2772641.25</x:v>
      </x:c>
      <x:c r="P166" s="37" t="n">
        <x:f>EDATE(Dashboard!$B$10,A166)</x:f>
        <x:v>50041</x:v>
      </x:c>
    </x:row>
    <x:row r="167">
      <x:c r="A167" s="33" t="n">
        <x:v>166</x:v>
      </x:c>
      <x:c r="B167" s="33" t="str">
        <x:f>IF(A167&lt;=Dashboard!$F$8,"Holiday",IF(A167&lt;=Dashboard!$F$8+Dashboard!$F$7,"Repayment","Closed"))</x:f>
        <x:v>Repayment</x:v>
      </x:c>
      <x:c r="C167" s="32" t="n">
        <x:f>IF(A167=1,Dashboard!$B$6,IF(B167="Holiday",J166,L166))</x:f>
        <x:v>2349500</x:v>
      </x:c>
      <x:c r="D167" s="32" t="n">
        <x:f>IF(A167=1,0,IF(B167="Holiday",K166,0))</x:f>
        <x:v>0</x:v>
      </x:c>
      <x:c r="E167" s="32" t="n">
        <x:f>C167+D167</x:f>
        <x:v>2349500</x:v>
      </x:c>
      <x:c r="F167" s="32">
        <x:f>IF(B167="Holiday",IF(Dashboard!$B$14="Principal Only",MIN(Dashboard!$B$15,C167),0),0)</x:f>
      </x:c>
      <x:c r="G167" s="32" t="n">
        <x:f>IF(B167="Closed",0,IF(B167="Holiday",IF(Dashboard!$B$14="Interest Only",C167*Dashboard!$F$6,MAX(0,(C167-F167)*Dashboard!$F$6)),E167*Dashboard!$F$6))</x:f>
        <x:v>17621.25</x:v>
      </x:c>
      <x:c r="H167" s="32" t="n">
        <x:f>IF(B167="Holiday",IF(Dashboard!$B$14="Interest Only",G167,F167),IF(B167="Closed",0,MIN(Dashboard!$F$10,E167+G167)))</x:f>
        <x:v>0</x:v>
      </x:c>
      <x:c r="I167" s="32" t="n">
        <x:f>IF(B167="Holiday",F167,IF(B167="Closed",0,MAX(0,H167-G167)))</x:f>
        <x:v>0</x:v>
      </x:c>
      <x:c r="J167" s="32" t="n">
        <x:f>IF(B167="Holiday",MAX(0,C167-F167),IF(B167="Closed",0,MAX(0,E167-I167)))</x:f>
        <x:v>2349500</x:v>
      </x:c>
      <x:c r="K167" s="32" t="n">
        <x:f>IF(B167="Holiday",IF(Dashboard!$B$14="Interest Only",D167,D167+G167),0)</x:f>
        <x:v>0</x:v>
      </x:c>
      <x:c r="L167" s="32" t="n">
        <x:f>J167+K167</x:f>
        <x:v>2349500</x:v>
      </x:c>
      <x:c r="M167" s="32" t="n">
        <x:f>IF(A167=1,H167,M166+H167)</x:f>
        <x:v>0</x:v>
      </x:c>
      <x:c r="N167" s="32" t="n">
        <x:f>IF(A167=1,I167,N166+I167)</x:f>
        <x:v>0</x:v>
      </x:c>
      <x:c r="O167" s="32" t="n">
        <x:f>IF(A167=1,G167,O166+G167)</x:f>
        <x:v>2790262.5</x:v>
      </x:c>
      <x:c r="P167" s="37" t="n">
        <x:f>EDATE(Dashboard!$B$10,A167)</x:f>
        <x:v>50072</x:v>
      </x:c>
    </x:row>
    <x:row r="168">
      <x:c r="A168" s="33" t="n">
        <x:v>167</x:v>
      </x:c>
      <x:c r="B168" s="33" t="str">
        <x:f>IF(A168&lt;=Dashboard!$F$8,"Holiday",IF(A168&lt;=Dashboard!$F$8+Dashboard!$F$7,"Repayment","Closed"))</x:f>
        <x:v>Repayment</x:v>
      </x:c>
      <x:c r="C168" s="32" t="n">
        <x:f>IF(A168=1,Dashboard!$B$6,IF(B168="Holiday",J167,L167))</x:f>
        <x:v>2349500</x:v>
      </x:c>
      <x:c r="D168" s="32" t="n">
        <x:f>IF(A168=1,0,IF(B168="Holiday",K167,0))</x:f>
        <x:v>0</x:v>
      </x:c>
      <x:c r="E168" s="32" t="n">
        <x:f>C168+D168</x:f>
        <x:v>2349500</x:v>
      </x:c>
      <x:c r="F168" s="32">
        <x:f>IF(B168="Holiday",IF(Dashboard!$B$14="Principal Only",MIN(Dashboard!$B$15,C168),0),0)</x:f>
      </x:c>
      <x:c r="G168" s="32" t="n">
        <x:f>IF(B168="Closed",0,IF(B168="Holiday",IF(Dashboard!$B$14="Interest Only",C168*Dashboard!$F$6,MAX(0,(C168-F168)*Dashboard!$F$6)),E168*Dashboard!$F$6))</x:f>
        <x:v>17621.25</x:v>
      </x:c>
      <x:c r="H168" s="32" t="n">
        <x:f>IF(B168="Holiday",IF(Dashboard!$B$14="Interest Only",G168,F168),IF(B168="Closed",0,MIN(Dashboard!$F$10,E168+G168)))</x:f>
        <x:v>0</x:v>
      </x:c>
      <x:c r="I168" s="32" t="n">
        <x:f>IF(B168="Holiday",F168,IF(B168="Closed",0,MAX(0,H168-G168)))</x:f>
        <x:v>0</x:v>
      </x:c>
      <x:c r="J168" s="32" t="n">
        <x:f>IF(B168="Holiday",MAX(0,C168-F168),IF(B168="Closed",0,MAX(0,E168-I168)))</x:f>
        <x:v>2349500</x:v>
      </x:c>
      <x:c r="K168" s="32" t="n">
        <x:f>IF(B168="Holiday",IF(Dashboard!$B$14="Interest Only",D168,D168+G168),0)</x:f>
        <x:v>0</x:v>
      </x:c>
      <x:c r="L168" s="32" t="n">
        <x:f>J168+K168</x:f>
        <x:v>2349500</x:v>
      </x:c>
      <x:c r="M168" s="32" t="n">
        <x:f>IF(A168=1,H168,M167+H168)</x:f>
        <x:v>0</x:v>
      </x:c>
      <x:c r="N168" s="32" t="n">
        <x:f>IF(A168=1,I168,N167+I168)</x:f>
        <x:v>0</x:v>
      </x:c>
      <x:c r="O168" s="32" t="n">
        <x:f>IF(A168=1,G168,O167+G168)</x:f>
        <x:v>2807883.75</x:v>
      </x:c>
      <x:c r="P168" s="37" t="n">
        <x:f>EDATE(Dashboard!$B$10,A168)</x:f>
        <x:v>50100</x:v>
      </x:c>
    </x:row>
    <x:row r="169">
      <x:c r="A169" s="33" t="n">
        <x:v>168</x:v>
      </x:c>
      <x:c r="B169" s="33" t="str">
        <x:f>IF(A169&lt;=Dashboard!$F$8,"Holiday",IF(A169&lt;=Dashboard!$F$8+Dashboard!$F$7,"Repayment","Closed"))</x:f>
        <x:v>Repayment</x:v>
      </x:c>
      <x:c r="C169" s="32" t="n">
        <x:f>IF(A169=1,Dashboard!$B$6,IF(B169="Holiday",J168,L168))</x:f>
        <x:v>2349500</x:v>
      </x:c>
      <x:c r="D169" s="32" t="n">
        <x:f>IF(A169=1,0,IF(B169="Holiday",K168,0))</x:f>
        <x:v>0</x:v>
      </x:c>
      <x:c r="E169" s="32" t="n">
        <x:f>C169+D169</x:f>
        <x:v>2349500</x:v>
      </x:c>
      <x:c r="F169" s="32">
        <x:f>IF(B169="Holiday",IF(Dashboard!$B$14="Principal Only",MIN(Dashboard!$B$15,C169),0),0)</x:f>
      </x:c>
      <x:c r="G169" s="32" t="n">
        <x:f>IF(B169="Closed",0,IF(B169="Holiday",IF(Dashboard!$B$14="Interest Only",C169*Dashboard!$F$6,MAX(0,(C169-F169)*Dashboard!$F$6)),E169*Dashboard!$F$6))</x:f>
        <x:v>17621.25</x:v>
      </x:c>
      <x:c r="H169" s="32" t="n">
        <x:f>IF(B169="Holiday",IF(Dashboard!$B$14="Interest Only",G169,F169),IF(B169="Closed",0,MIN(Dashboard!$F$10,E169+G169)))</x:f>
        <x:v>0</x:v>
      </x:c>
      <x:c r="I169" s="32" t="n">
        <x:f>IF(B169="Holiday",F169,IF(B169="Closed",0,MAX(0,H169-G169)))</x:f>
        <x:v>0</x:v>
      </x:c>
      <x:c r="J169" s="32" t="n">
        <x:f>IF(B169="Holiday",MAX(0,C169-F169),IF(B169="Closed",0,MAX(0,E169-I169)))</x:f>
        <x:v>2349500</x:v>
      </x:c>
      <x:c r="K169" s="32" t="n">
        <x:f>IF(B169="Holiday",IF(Dashboard!$B$14="Interest Only",D169,D169+G169),0)</x:f>
        <x:v>0</x:v>
      </x:c>
      <x:c r="L169" s="32" t="n">
        <x:f>J169+K169</x:f>
        <x:v>2349500</x:v>
      </x:c>
      <x:c r="M169" s="32" t="n">
        <x:f>IF(A169=1,H169,M168+H169)</x:f>
        <x:v>0</x:v>
      </x:c>
      <x:c r="N169" s="32" t="n">
        <x:f>IF(A169=1,I169,N168+I169)</x:f>
        <x:v>0</x:v>
      </x:c>
      <x:c r="O169" s="32" t="n">
        <x:f>IF(A169=1,G169,O168+G169)</x:f>
        <x:v>2825505</x:v>
      </x:c>
      <x:c r="P169" s="37" t="n">
        <x:f>EDATE(Dashboard!$B$10,A169)</x:f>
        <x:v>50131</x:v>
      </x:c>
    </x:row>
    <x:row r="170">
      <x:c r="A170" s="33" t="n">
        <x:v>169</x:v>
      </x:c>
      <x:c r="B170" s="33" t="str">
        <x:f>IF(A170&lt;=Dashboard!$F$8,"Holiday",IF(A170&lt;=Dashboard!$F$8+Dashboard!$F$7,"Repayment","Closed"))</x:f>
        <x:v>Repayment</x:v>
      </x:c>
      <x:c r="C170" s="32" t="n">
        <x:f>IF(A170=1,Dashboard!$B$6,IF(B170="Holiday",J169,L169))</x:f>
        <x:v>2349500</x:v>
      </x:c>
      <x:c r="D170" s="32" t="n">
        <x:f>IF(A170=1,0,IF(B170="Holiday",K169,0))</x:f>
        <x:v>0</x:v>
      </x:c>
      <x:c r="E170" s="32" t="n">
        <x:f>C170+D170</x:f>
        <x:v>2349500</x:v>
      </x:c>
      <x:c r="F170" s="32">
        <x:f>IF(B170="Holiday",IF(Dashboard!$B$14="Principal Only",MIN(Dashboard!$B$15,C170),0),0)</x:f>
      </x:c>
      <x:c r="G170" s="32" t="n">
        <x:f>IF(B170="Closed",0,IF(B170="Holiday",IF(Dashboard!$B$14="Interest Only",C170*Dashboard!$F$6,MAX(0,(C170-F170)*Dashboard!$F$6)),E170*Dashboard!$F$6))</x:f>
        <x:v>17621.25</x:v>
      </x:c>
      <x:c r="H170" s="32" t="n">
        <x:f>IF(B170="Holiday",IF(Dashboard!$B$14="Interest Only",G170,F170),IF(B170="Closed",0,MIN(Dashboard!$F$10,E170+G170)))</x:f>
        <x:v>0</x:v>
      </x:c>
      <x:c r="I170" s="32" t="n">
        <x:f>IF(B170="Holiday",F170,IF(B170="Closed",0,MAX(0,H170-G170)))</x:f>
        <x:v>0</x:v>
      </x:c>
      <x:c r="J170" s="32" t="n">
        <x:f>IF(B170="Holiday",MAX(0,C170-F170),IF(B170="Closed",0,MAX(0,E170-I170)))</x:f>
        <x:v>2349500</x:v>
      </x:c>
      <x:c r="K170" s="32" t="n">
        <x:f>IF(B170="Holiday",IF(Dashboard!$B$14="Interest Only",D170,D170+G170),0)</x:f>
        <x:v>0</x:v>
      </x:c>
      <x:c r="L170" s="32" t="n">
        <x:f>J170+K170</x:f>
        <x:v>2349500</x:v>
      </x:c>
      <x:c r="M170" s="32" t="n">
        <x:f>IF(A170=1,H170,M169+H170)</x:f>
        <x:v>0</x:v>
      </x:c>
      <x:c r="N170" s="32" t="n">
        <x:f>IF(A170=1,I170,N169+I170)</x:f>
        <x:v>0</x:v>
      </x:c>
      <x:c r="O170" s="32" t="n">
        <x:f>IF(A170=1,G170,O169+G170)</x:f>
        <x:v>2843126.25</x:v>
      </x:c>
      <x:c r="P170" s="37" t="n">
        <x:f>EDATE(Dashboard!$B$10,A170)</x:f>
        <x:v>50161</x:v>
      </x:c>
    </x:row>
    <x:row r="171">
      <x:c r="A171" s="33" t="n">
        <x:v>170</x:v>
      </x:c>
      <x:c r="B171" s="33" t="str">
        <x:f>IF(A171&lt;=Dashboard!$F$8,"Holiday",IF(A171&lt;=Dashboard!$F$8+Dashboard!$F$7,"Repayment","Closed"))</x:f>
        <x:v>Repayment</x:v>
      </x:c>
      <x:c r="C171" s="32" t="n">
        <x:f>IF(A171=1,Dashboard!$B$6,IF(B171="Holiday",J170,L170))</x:f>
        <x:v>2349500</x:v>
      </x:c>
      <x:c r="D171" s="32" t="n">
        <x:f>IF(A171=1,0,IF(B171="Holiday",K170,0))</x:f>
        <x:v>0</x:v>
      </x:c>
      <x:c r="E171" s="32" t="n">
        <x:f>C171+D171</x:f>
        <x:v>2349500</x:v>
      </x:c>
      <x:c r="F171" s="32">
        <x:f>IF(B171="Holiday",IF(Dashboard!$B$14="Principal Only",MIN(Dashboard!$B$15,C171),0),0)</x:f>
      </x:c>
      <x:c r="G171" s="32" t="n">
        <x:f>IF(B171="Closed",0,IF(B171="Holiday",IF(Dashboard!$B$14="Interest Only",C171*Dashboard!$F$6,MAX(0,(C171-F171)*Dashboard!$F$6)),E171*Dashboard!$F$6))</x:f>
        <x:v>17621.25</x:v>
      </x:c>
      <x:c r="H171" s="32" t="n">
        <x:f>IF(B171="Holiday",IF(Dashboard!$B$14="Interest Only",G171,F171),IF(B171="Closed",0,MIN(Dashboard!$F$10,E171+G171)))</x:f>
        <x:v>0</x:v>
      </x:c>
      <x:c r="I171" s="32" t="n">
        <x:f>IF(B171="Holiday",F171,IF(B171="Closed",0,MAX(0,H171-G171)))</x:f>
        <x:v>0</x:v>
      </x:c>
      <x:c r="J171" s="32" t="n">
        <x:f>IF(B171="Holiday",MAX(0,C171-F171),IF(B171="Closed",0,MAX(0,E171-I171)))</x:f>
        <x:v>2349500</x:v>
      </x:c>
      <x:c r="K171" s="32" t="n">
        <x:f>IF(B171="Holiday",IF(Dashboard!$B$14="Interest Only",D171,D171+G171),0)</x:f>
        <x:v>0</x:v>
      </x:c>
      <x:c r="L171" s="32" t="n">
        <x:f>J171+K171</x:f>
        <x:v>2349500</x:v>
      </x:c>
      <x:c r="M171" s="32" t="n">
        <x:f>IF(A171=1,H171,M170+H171)</x:f>
        <x:v>0</x:v>
      </x:c>
      <x:c r="N171" s="32" t="n">
        <x:f>IF(A171=1,I171,N170+I171)</x:f>
        <x:v>0</x:v>
      </x:c>
      <x:c r="O171" s="32" t="n">
        <x:f>IF(A171=1,G171,O170+G171)</x:f>
        <x:v>2860747.5</x:v>
      </x:c>
      <x:c r="P171" s="37" t="n">
        <x:f>EDATE(Dashboard!$B$10,A171)</x:f>
        <x:v>50192</x:v>
      </x:c>
    </x:row>
    <x:row r="172">
      <x:c r="A172" s="33" t="n">
        <x:v>171</x:v>
      </x:c>
      <x:c r="B172" s="33" t="str">
        <x:f>IF(A172&lt;=Dashboard!$F$8,"Holiday",IF(A172&lt;=Dashboard!$F$8+Dashboard!$F$7,"Repayment","Closed"))</x:f>
        <x:v>Repayment</x:v>
      </x:c>
      <x:c r="C172" s="32" t="n">
        <x:f>IF(A172=1,Dashboard!$B$6,IF(B172="Holiday",J171,L171))</x:f>
        <x:v>2349500</x:v>
      </x:c>
      <x:c r="D172" s="32" t="n">
        <x:f>IF(A172=1,0,IF(B172="Holiday",K171,0))</x:f>
        <x:v>0</x:v>
      </x:c>
      <x:c r="E172" s="32" t="n">
        <x:f>C172+D172</x:f>
        <x:v>2349500</x:v>
      </x:c>
      <x:c r="F172" s="32">
        <x:f>IF(B172="Holiday",IF(Dashboard!$B$14="Principal Only",MIN(Dashboard!$B$15,C172),0),0)</x:f>
      </x:c>
      <x:c r="G172" s="32" t="n">
        <x:f>IF(B172="Closed",0,IF(B172="Holiday",IF(Dashboard!$B$14="Interest Only",C172*Dashboard!$F$6,MAX(0,(C172-F172)*Dashboard!$F$6)),E172*Dashboard!$F$6))</x:f>
        <x:v>17621.25</x:v>
      </x:c>
      <x:c r="H172" s="32" t="n">
        <x:f>IF(B172="Holiday",IF(Dashboard!$B$14="Interest Only",G172,F172),IF(B172="Closed",0,MIN(Dashboard!$F$10,E172+G172)))</x:f>
        <x:v>0</x:v>
      </x:c>
      <x:c r="I172" s="32" t="n">
        <x:f>IF(B172="Holiday",F172,IF(B172="Closed",0,MAX(0,H172-G172)))</x:f>
        <x:v>0</x:v>
      </x:c>
      <x:c r="J172" s="32" t="n">
        <x:f>IF(B172="Holiday",MAX(0,C172-F172),IF(B172="Closed",0,MAX(0,E172-I172)))</x:f>
        <x:v>2349500</x:v>
      </x:c>
      <x:c r="K172" s="32" t="n">
        <x:f>IF(B172="Holiday",IF(Dashboard!$B$14="Interest Only",D172,D172+G172),0)</x:f>
        <x:v>0</x:v>
      </x:c>
      <x:c r="L172" s="32" t="n">
        <x:f>J172+K172</x:f>
        <x:v>2349500</x:v>
      </x:c>
      <x:c r="M172" s="32" t="n">
        <x:f>IF(A172=1,H172,M171+H172)</x:f>
        <x:v>0</x:v>
      </x:c>
      <x:c r="N172" s="32" t="n">
        <x:f>IF(A172=1,I172,N171+I172)</x:f>
        <x:v>0</x:v>
      </x:c>
      <x:c r="O172" s="32" t="n">
        <x:f>IF(A172=1,G172,O171+G172)</x:f>
        <x:v>2878368.75</x:v>
      </x:c>
      <x:c r="P172" s="37" t="n">
        <x:f>EDATE(Dashboard!$B$10,A172)</x:f>
        <x:v>50222</x:v>
      </x:c>
    </x:row>
    <x:row r="173">
      <x:c r="A173" s="33" t="n">
        <x:v>172</x:v>
      </x:c>
      <x:c r="B173" s="33" t="str">
        <x:f>IF(A173&lt;=Dashboard!$F$8,"Holiday",IF(A173&lt;=Dashboard!$F$8+Dashboard!$F$7,"Repayment","Closed"))</x:f>
        <x:v>Repayment</x:v>
      </x:c>
      <x:c r="C173" s="32" t="n">
        <x:f>IF(A173=1,Dashboard!$B$6,IF(B173="Holiday",J172,L172))</x:f>
        <x:v>2349500</x:v>
      </x:c>
      <x:c r="D173" s="32" t="n">
        <x:f>IF(A173=1,0,IF(B173="Holiday",K172,0))</x:f>
        <x:v>0</x:v>
      </x:c>
      <x:c r="E173" s="32" t="n">
        <x:f>C173+D173</x:f>
        <x:v>2349500</x:v>
      </x:c>
      <x:c r="F173" s="32">
        <x:f>IF(B173="Holiday",IF(Dashboard!$B$14="Principal Only",MIN(Dashboard!$B$15,C173),0),0)</x:f>
      </x:c>
      <x:c r="G173" s="32" t="n">
        <x:f>IF(B173="Closed",0,IF(B173="Holiday",IF(Dashboard!$B$14="Interest Only",C173*Dashboard!$F$6,MAX(0,(C173-F173)*Dashboard!$F$6)),E173*Dashboard!$F$6))</x:f>
        <x:v>17621.25</x:v>
      </x:c>
      <x:c r="H173" s="32" t="n">
        <x:f>IF(B173="Holiday",IF(Dashboard!$B$14="Interest Only",G173,F173),IF(B173="Closed",0,MIN(Dashboard!$F$10,E173+G173)))</x:f>
        <x:v>0</x:v>
      </x:c>
      <x:c r="I173" s="32" t="n">
        <x:f>IF(B173="Holiday",F173,IF(B173="Closed",0,MAX(0,H173-G173)))</x:f>
        <x:v>0</x:v>
      </x:c>
      <x:c r="J173" s="32" t="n">
        <x:f>IF(B173="Holiday",MAX(0,C173-F173),IF(B173="Closed",0,MAX(0,E173-I173)))</x:f>
        <x:v>2349500</x:v>
      </x:c>
      <x:c r="K173" s="32" t="n">
        <x:f>IF(B173="Holiday",IF(Dashboard!$B$14="Interest Only",D173,D173+G173),0)</x:f>
        <x:v>0</x:v>
      </x:c>
      <x:c r="L173" s="32" t="n">
        <x:f>J173+K173</x:f>
        <x:v>2349500</x:v>
      </x:c>
      <x:c r="M173" s="32" t="n">
        <x:f>IF(A173=1,H173,M172+H173)</x:f>
        <x:v>0</x:v>
      </x:c>
      <x:c r="N173" s="32" t="n">
        <x:f>IF(A173=1,I173,N172+I173)</x:f>
        <x:v>0</x:v>
      </x:c>
      <x:c r="O173" s="32" t="n">
        <x:f>IF(A173=1,G173,O172+G173)</x:f>
        <x:v>2895990</x:v>
      </x:c>
      <x:c r="P173" s="37" t="n">
        <x:f>EDATE(Dashboard!$B$10,A173)</x:f>
        <x:v>50253</x:v>
      </x:c>
    </x:row>
    <x:row r="174">
      <x:c r="A174" s="33" t="n">
        <x:v>173</x:v>
      </x:c>
      <x:c r="B174" s="33" t="str">
        <x:f>IF(A174&lt;=Dashboard!$F$8,"Holiday",IF(A174&lt;=Dashboard!$F$8+Dashboard!$F$7,"Repayment","Closed"))</x:f>
        <x:v>Repayment</x:v>
      </x:c>
      <x:c r="C174" s="32" t="n">
        <x:f>IF(A174=1,Dashboard!$B$6,IF(B174="Holiday",J173,L173))</x:f>
        <x:v>2349500</x:v>
      </x:c>
      <x:c r="D174" s="32" t="n">
        <x:f>IF(A174=1,0,IF(B174="Holiday",K173,0))</x:f>
        <x:v>0</x:v>
      </x:c>
      <x:c r="E174" s="32" t="n">
        <x:f>C174+D174</x:f>
        <x:v>2349500</x:v>
      </x:c>
      <x:c r="F174" s="32">
        <x:f>IF(B174="Holiday",IF(Dashboard!$B$14="Principal Only",MIN(Dashboard!$B$15,C174),0),0)</x:f>
      </x:c>
      <x:c r="G174" s="32" t="n">
        <x:f>IF(B174="Closed",0,IF(B174="Holiday",IF(Dashboard!$B$14="Interest Only",C174*Dashboard!$F$6,MAX(0,(C174-F174)*Dashboard!$F$6)),E174*Dashboard!$F$6))</x:f>
        <x:v>17621.25</x:v>
      </x:c>
      <x:c r="H174" s="32" t="n">
        <x:f>IF(B174="Holiday",IF(Dashboard!$B$14="Interest Only",G174,F174),IF(B174="Closed",0,MIN(Dashboard!$F$10,E174+G174)))</x:f>
        <x:v>0</x:v>
      </x:c>
      <x:c r="I174" s="32" t="n">
        <x:f>IF(B174="Holiday",F174,IF(B174="Closed",0,MAX(0,H174-G174)))</x:f>
        <x:v>0</x:v>
      </x:c>
      <x:c r="J174" s="32" t="n">
        <x:f>IF(B174="Holiday",MAX(0,C174-F174),IF(B174="Closed",0,MAX(0,E174-I174)))</x:f>
        <x:v>2349500</x:v>
      </x:c>
      <x:c r="K174" s="32" t="n">
        <x:f>IF(B174="Holiday",IF(Dashboard!$B$14="Interest Only",D174,D174+G174),0)</x:f>
        <x:v>0</x:v>
      </x:c>
      <x:c r="L174" s="32" t="n">
        <x:f>J174+K174</x:f>
        <x:v>2349500</x:v>
      </x:c>
      <x:c r="M174" s="32" t="n">
        <x:f>IF(A174=1,H174,M173+H174)</x:f>
        <x:v>0</x:v>
      </x:c>
      <x:c r="N174" s="32" t="n">
        <x:f>IF(A174=1,I174,N173+I174)</x:f>
        <x:v>0</x:v>
      </x:c>
      <x:c r="O174" s="32" t="n">
        <x:f>IF(A174=1,G174,O173+G174)</x:f>
        <x:v>2913611.25</x:v>
      </x:c>
      <x:c r="P174" s="37" t="n">
        <x:f>EDATE(Dashboard!$B$10,A174)</x:f>
        <x:v>50284</x:v>
      </x:c>
    </x:row>
    <x:row r="175">
      <x:c r="A175" s="33" t="n">
        <x:v>174</x:v>
      </x:c>
      <x:c r="B175" s="33" t="str">
        <x:f>IF(A175&lt;=Dashboard!$F$8,"Holiday",IF(A175&lt;=Dashboard!$F$8+Dashboard!$F$7,"Repayment","Closed"))</x:f>
        <x:v>Repayment</x:v>
      </x:c>
      <x:c r="C175" s="32" t="n">
        <x:f>IF(A175=1,Dashboard!$B$6,IF(B175="Holiday",J174,L174))</x:f>
        <x:v>2349500</x:v>
      </x:c>
      <x:c r="D175" s="32" t="n">
        <x:f>IF(A175=1,0,IF(B175="Holiday",K174,0))</x:f>
        <x:v>0</x:v>
      </x:c>
      <x:c r="E175" s="32" t="n">
        <x:f>C175+D175</x:f>
        <x:v>2349500</x:v>
      </x:c>
      <x:c r="F175" s="32">
        <x:f>IF(B175="Holiday",IF(Dashboard!$B$14="Principal Only",MIN(Dashboard!$B$15,C175),0),0)</x:f>
      </x:c>
      <x:c r="G175" s="32" t="n">
        <x:f>IF(B175="Closed",0,IF(B175="Holiday",IF(Dashboard!$B$14="Interest Only",C175*Dashboard!$F$6,MAX(0,(C175-F175)*Dashboard!$F$6)),E175*Dashboard!$F$6))</x:f>
        <x:v>17621.25</x:v>
      </x:c>
      <x:c r="H175" s="32" t="n">
        <x:f>IF(B175="Holiday",IF(Dashboard!$B$14="Interest Only",G175,F175),IF(B175="Closed",0,MIN(Dashboard!$F$10,E175+G175)))</x:f>
        <x:v>0</x:v>
      </x:c>
      <x:c r="I175" s="32" t="n">
        <x:f>IF(B175="Holiday",F175,IF(B175="Closed",0,MAX(0,H175-G175)))</x:f>
        <x:v>0</x:v>
      </x:c>
      <x:c r="J175" s="32" t="n">
        <x:f>IF(B175="Holiday",MAX(0,C175-F175),IF(B175="Closed",0,MAX(0,E175-I175)))</x:f>
        <x:v>2349500</x:v>
      </x:c>
      <x:c r="K175" s="32" t="n">
        <x:f>IF(B175="Holiday",IF(Dashboard!$B$14="Interest Only",D175,D175+G175),0)</x:f>
        <x:v>0</x:v>
      </x:c>
      <x:c r="L175" s="32" t="n">
        <x:f>J175+K175</x:f>
        <x:v>2349500</x:v>
      </x:c>
      <x:c r="M175" s="32" t="n">
        <x:f>IF(A175=1,H175,M174+H175)</x:f>
        <x:v>0</x:v>
      </x:c>
      <x:c r="N175" s="32" t="n">
        <x:f>IF(A175=1,I175,N174+I175)</x:f>
        <x:v>0</x:v>
      </x:c>
      <x:c r="O175" s="32" t="n">
        <x:f>IF(A175=1,G175,O174+G175)</x:f>
        <x:v>2931232.5</x:v>
      </x:c>
      <x:c r="P175" s="37" t="n">
        <x:f>EDATE(Dashboard!$B$10,A175)</x:f>
        <x:v>50314</x:v>
      </x:c>
    </x:row>
    <x:row r="176">
      <x:c r="A176" s="33" t="n">
        <x:v>175</x:v>
      </x:c>
      <x:c r="B176" s="33" t="str">
        <x:f>IF(A176&lt;=Dashboard!$F$8,"Holiday",IF(A176&lt;=Dashboard!$F$8+Dashboard!$F$7,"Repayment","Closed"))</x:f>
        <x:v>Repayment</x:v>
      </x:c>
      <x:c r="C176" s="32" t="n">
        <x:f>IF(A176=1,Dashboard!$B$6,IF(B176="Holiday",J175,L175))</x:f>
        <x:v>2349500</x:v>
      </x:c>
      <x:c r="D176" s="32" t="n">
        <x:f>IF(A176=1,0,IF(B176="Holiday",K175,0))</x:f>
        <x:v>0</x:v>
      </x:c>
      <x:c r="E176" s="32" t="n">
        <x:f>C176+D176</x:f>
        <x:v>2349500</x:v>
      </x:c>
      <x:c r="F176" s="32">
        <x:f>IF(B176="Holiday",IF(Dashboard!$B$14="Principal Only",MIN(Dashboard!$B$15,C176),0),0)</x:f>
      </x:c>
      <x:c r="G176" s="32" t="n">
        <x:f>IF(B176="Closed",0,IF(B176="Holiday",IF(Dashboard!$B$14="Interest Only",C176*Dashboard!$F$6,MAX(0,(C176-F176)*Dashboard!$F$6)),E176*Dashboard!$F$6))</x:f>
        <x:v>17621.25</x:v>
      </x:c>
      <x:c r="H176" s="32" t="n">
        <x:f>IF(B176="Holiday",IF(Dashboard!$B$14="Interest Only",G176,F176),IF(B176="Closed",0,MIN(Dashboard!$F$10,E176+G176)))</x:f>
        <x:v>0</x:v>
      </x:c>
      <x:c r="I176" s="32" t="n">
        <x:f>IF(B176="Holiday",F176,IF(B176="Closed",0,MAX(0,H176-G176)))</x:f>
        <x:v>0</x:v>
      </x:c>
      <x:c r="J176" s="32" t="n">
        <x:f>IF(B176="Holiday",MAX(0,C176-F176),IF(B176="Closed",0,MAX(0,E176-I176)))</x:f>
        <x:v>2349500</x:v>
      </x:c>
      <x:c r="K176" s="32" t="n">
        <x:f>IF(B176="Holiday",IF(Dashboard!$B$14="Interest Only",D176,D176+G176),0)</x:f>
        <x:v>0</x:v>
      </x:c>
      <x:c r="L176" s="32" t="n">
        <x:f>J176+K176</x:f>
        <x:v>2349500</x:v>
      </x:c>
      <x:c r="M176" s="32" t="n">
        <x:f>IF(A176=1,H176,M175+H176)</x:f>
        <x:v>0</x:v>
      </x:c>
      <x:c r="N176" s="32" t="n">
        <x:f>IF(A176=1,I176,N175+I176)</x:f>
        <x:v>0</x:v>
      </x:c>
      <x:c r="O176" s="32" t="n">
        <x:f>IF(A176=1,G176,O175+G176)</x:f>
        <x:v>2948853.75</x:v>
      </x:c>
      <x:c r="P176" s="37" t="n">
        <x:f>EDATE(Dashboard!$B$10,A176)</x:f>
        <x:v>50345</x:v>
      </x:c>
    </x:row>
    <x:row r="177">
      <x:c r="A177" s="33" t="n">
        <x:v>176</x:v>
      </x:c>
      <x:c r="B177" s="33" t="str">
        <x:f>IF(A177&lt;=Dashboard!$F$8,"Holiday",IF(A177&lt;=Dashboard!$F$8+Dashboard!$F$7,"Repayment","Closed"))</x:f>
        <x:v>Repayment</x:v>
      </x:c>
      <x:c r="C177" s="32" t="n">
        <x:f>IF(A177=1,Dashboard!$B$6,IF(B177="Holiday",J176,L176))</x:f>
        <x:v>2349500</x:v>
      </x:c>
      <x:c r="D177" s="32" t="n">
        <x:f>IF(A177=1,0,IF(B177="Holiday",K176,0))</x:f>
        <x:v>0</x:v>
      </x:c>
      <x:c r="E177" s="32" t="n">
        <x:f>C177+D177</x:f>
        <x:v>2349500</x:v>
      </x:c>
      <x:c r="F177" s="32">
        <x:f>IF(B177="Holiday",IF(Dashboard!$B$14="Principal Only",MIN(Dashboard!$B$15,C177),0),0)</x:f>
      </x:c>
      <x:c r="G177" s="32" t="n">
        <x:f>IF(B177="Closed",0,IF(B177="Holiday",IF(Dashboard!$B$14="Interest Only",C177*Dashboard!$F$6,MAX(0,(C177-F177)*Dashboard!$F$6)),E177*Dashboard!$F$6))</x:f>
        <x:v>17621.25</x:v>
      </x:c>
      <x:c r="H177" s="32" t="n">
        <x:f>IF(B177="Holiday",IF(Dashboard!$B$14="Interest Only",G177,F177),IF(B177="Closed",0,MIN(Dashboard!$F$10,E177+G177)))</x:f>
        <x:v>0</x:v>
      </x:c>
      <x:c r="I177" s="32" t="n">
        <x:f>IF(B177="Holiday",F177,IF(B177="Closed",0,MAX(0,H177-G177)))</x:f>
        <x:v>0</x:v>
      </x:c>
      <x:c r="J177" s="32" t="n">
        <x:f>IF(B177="Holiday",MAX(0,C177-F177),IF(B177="Closed",0,MAX(0,E177-I177)))</x:f>
        <x:v>2349500</x:v>
      </x:c>
      <x:c r="K177" s="32" t="n">
        <x:f>IF(B177="Holiday",IF(Dashboard!$B$14="Interest Only",D177,D177+G177),0)</x:f>
        <x:v>0</x:v>
      </x:c>
      <x:c r="L177" s="32" t="n">
        <x:f>J177+K177</x:f>
        <x:v>2349500</x:v>
      </x:c>
      <x:c r="M177" s="32" t="n">
        <x:f>IF(A177=1,H177,M176+H177)</x:f>
        <x:v>0</x:v>
      </x:c>
      <x:c r="N177" s="32" t="n">
        <x:f>IF(A177=1,I177,N176+I177)</x:f>
        <x:v>0</x:v>
      </x:c>
      <x:c r="O177" s="32" t="n">
        <x:f>IF(A177=1,G177,O176+G177)</x:f>
        <x:v>2966475</x:v>
      </x:c>
      <x:c r="P177" s="37" t="n">
        <x:f>EDATE(Dashboard!$B$10,A177)</x:f>
        <x:v>50375</x:v>
      </x:c>
    </x:row>
    <x:row r="178">
      <x:c r="A178" s="33" t="n">
        <x:v>177</x:v>
      </x:c>
      <x:c r="B178" s="33" t="str">
        <x:f>IF(A178&lt;=Dashboard!$F$8,"Holiday",IF(A178&lt;=Dashboard!$F$8+Dashboard!$F$7,"Repayment","Closed"))</x:f>
        <x:v>Repayment</x:v>
      </x:c>
      <x:c r="C178" s="32" t="n">
        <x:f>IF(A178=1,Dashboard!$B$6,IF(B178="Holiday",J177,L177))</x:f>
        <x:v>2349500</x:v>
      </x:c>
      <x:c r="D178" s="32" t="n">
        <x:f>IF(A178=1,0,IF(B178="Holiday",K177,0))</x:f>
        <x:v>0</x:v>
      </x:c>
      <x:c r="E178" s="32" t="n">
        <x:f>C178+D178</x:f>
        <x:v>2349500</x:v>
      </x:c>
      <x:c r="F178" s="32">
        <x:f>IF(B178="Holiday",IF(Dashboard!$B$14="Principal Only",MIN(Dashboard!$B$15,C178),0),0)</x:f>
      </x:c>
      <x:c r="G178" s="32" t="n">
        <x:f>IF(B178="Closed",0,IF(B178="Holiday",IF(Dashboard!$B$14="Interest Only",C178*Dashboard!$F$6,MAX(0,(C178-F178)*Dashboard!$F$6)),E178*Dashboard!$F$6))</x:f>
        <x:v>17621.25</x:v>
      </x:c>
      <x:c r="H178" s="32" t="n">
        <x:f>IF(B178="Holiday",IF(Dashboard!$B$14="Interest Only",G178,F178),IF(B178="Closed",0,MIN(Dashboard!$F$10,E178+G178)))</x:f>
        <x:v>0</x:v>
      </x:c>
      <x:c r="I178" s="32" t="n">
        <x:f>IF(B178="Holiday",F178,IF(B178="Closed",0,MAX(0,H178-G178)))</x:f>
        <x:v>0</x:v>
      </x:c>
      <x:c r="J178" s="32" t="n">
        <x:f>IF(B178="Holiday",MAX(0,C178-F178),IF(B178="Closed",0,MAX(0,E178-I178)))</x:f>
        <x:v>2349500</x:v>
      </x:c>
      <x:c r="K178" s="32" t="n">
        <x:f>IF(B178="Holiday",IF(Dashboard!$B$14="Interest Only",D178,D178+G178),0)</x:f>
        <x:v>0</x:v>
      </x:c>
      <x:c r="L178" s="32" t="n">
        <x:f>J178+K178</x:f>
        <x:v>2349500</x:v>
      </x:c>
      <x:c r="M178" s="32" t="n">
        <x:f>IF(A178=1,H178,M177+H178)</x:f>
        <x:v>0</x:v>
      </x:c>
      <x:c r="N178" s="32" t="n">
        <x:f>IF(A178=1,I178,N177+I178)</x:f>
        <x:v>0</x:v>
      </x:c>
      <x:c r="O178" s="32" t="n">
        <x:f>IF(A178=1,G178,O177+G178)</x:f>
        <x:v>2984096.25</x:v>
      </x:c>
      <x:c r="P178" s="37" t="n">
        <x:f>EDATE(Dashboard!$B$10,A178)</x:f>
        <x:v>50406</x:v>
      </x:c>
    </x:row>
    <x:row r="179">
      <x:c r="A179" s="33" t="n">
        <x:v>178</x:v>
      </x:c>
      <x:c r="B179" s="33" t="str">
        <x:f>IF(A179&lt;=Dashboard!$F$8,"Holiday",IF(A179&lt;=Dashboard!$F$8+Dashboard!$F$7,"Repayment","Closed"))</x:f>
        <x:v>Repayment</x:v>
      </x:c>
      <x:c r="C179" s="32" t="n">
        <x:f>IF(A179=1,Dashboard!$B$6,IF(B179="Holiday",J178,L178))</x:f>
        <x:v>2349500</x:v>
      </x:c>
      <x:c r="D179" s="32" t="n">
        <x:f>IF(A179=1,0,IF(B179="Holiday",K178,0))</x:f>
        <x:v>0</x:v>
      </x:c>
      <x:c r="E179" s="32" t="n">
        <x:f>C179+D179</x:f>
        <x:v>2349500</x:v>
      </x:c>
      <x:c r="F179" s="32">
        <x:f>IF(B179="Holiday",IF(Dashboard!$B$14="Principal Only",MIN(Dashboard!$B$15,C179),0),0)</x:f>
      </x:c>
      <x:c r="G179" s="32" t="n">
        <x:f>IF(B179="Closed",0,IF(B179="Holiday",IF(Dashboard!$B$14="Interest Only",C179*Dashboard!$F$6,MAX(0,(C179-F179)*Dashboard!$F$6)),E179*Dashboard!$F$6))</x:f>
        <x:v>17621.25</x:v>
      </x:c>
      <x:c r="H179" s="32" t="n">
        <x:f>IF(B179="Holiday",IF(Dashboard!$B$14="Interest Only",G179,F179),IF(B179="Closed",0,MIN(Dashboard!$F$10,E179+G179)))</x:f>
        <x:v>0</x:v>
      </x:c>
      <x:c r="I179" s="32" t="n">
        <x:f>IF(B179="Holiday",F179,IF(B179="Closed",0,MAX(0,H179-G179)))</x:f>
        <x:v>0</x:v>
      </x:c>
      <x:c r="J179" s="32" t="n">
        <x:f>IF(B179="Holiday",MAX(0,C179-F179),IF(B179="Closed",0,MAX(0,E179-I179)))</x:f>
        <x:v>2349500</x:v>
      </x:c>
      <x:c r="K179" s="32" t="n">
        <x:f>IF(B179="Holiday",IF(Dashboard!$B$14="Interest Only",D179,D179+G179),0)</x:f>
        <x:v>0</x:v>
      </x:c>
      <x:c r="L179" s="32" t="n">
        <x:f>J179+K179</x:f>
        <x:v>2349500</x:v>
      </x:c>
      <x:c r="M179" s="32" t="n">
        <x:f>IF(A179=1,H179,M178+H179)</x:f>
        <x:v>0</x:v>
      </x:c>
      <x:c r="N179" s="32" t="n">
        <x:f>IF(A179=1,I179,N178+I179)</x:f>
        <x:v>0</x:v>
      </x:c>
      <x:c r="O179" s="32" t="n">
        <x:f>IF(A179=1,G179,O178+G179)</x:f>
        <x:v>3001717.5</x:v>
      </x:c>
      <x:c r="P179" s="37" t="n">
        <x:f>EDATE(Dashboard!$B$10,A179)</x:f>
        <x:v>50437</x:v>
      </x:c>
    </x:row>
    <x:row r="180">
      <x:c r="A180" s="33" t="n">
        <x:v>179</x:v>
      </x:c>
      <x:c r="B180" s="33" t="str">
        <x:f>IF(A180&lt;=Dashboard!$F$8,"Holiday",IF(A180&lt;=Dashboard!$F$8+Dashboard!$F$7,"Repayment","Closed"))</x:f>
        <x:v>Repayment</x:v>
      </x:c>
      <x:c r="C180" s="32" t="n">
        <x:f>IF(A180=1,Dashboard!$B$6,IF(B180="Holiday",J179,L179))</x:f>
        <x:v>2349500</x:v>
      </x:c>
      <x:c r="D180" s="32" t="n">
        <x:f>IF(A180=1,0,IF(B180="Holiday",K179,0))</x:f>
        <x:v>0</x:v>
      </x:c>
      <x:c r="E180" s="32" t="n">
        <x:f>C180+D180</x:f>
        <x:v>2349500</x:v>
      </x:c>
      <x:c r="F180" s="32">
        <x:f>IF(B180="Holiday",IF(Dashboard!$B$14="Principal Only",MIN(Dashboard!$B$15,C180),0),0)</x:f>
      </x:c>
      <x:c r="G180" s="32" t="n">
        <x:f>IF(B180="Closed",0,IF(B180="Holiday",IF(Dashboard!$B$14="Interest Only",C180*Dashboard!$F$6,MAX(0,(C180-F180)*Dashboard!$F$6)),E180*Dashboard!$F$6))</x:f>
        <x:v>17621.25</x:v>
      </x:c>
      <x:c r="H180" s="32" t="n">
        <x:f>IF(B180="Holiday",IF(Dashboard!$B$14="Interest Only",G180,F180),IF(B180="Closed",0,MIN(Dashboard!$F$10,E180+G180)))</x:f>
        <x:v>0</x:v>
      </x:c>
      <x:c r="I180" s="32" t="n">
        <x:f>IF(B180="Holiday",F180,IF(B180="Closed",0,MAX(0,H180-G180)))</x:f>
        <x:v>0</x:v>
      </x:c>
      <x:c r="J180" s="32" t="n">
        <x:f>IF(B180="Holiday",MAX(0,C180-F180),IF(B180="Closed",0,MAX(0,E180-I180)))</x:f>
        <x:v>2349500</x:v>
      </x:c>
      <x:c r="K180" s="32" t="n">
        <x:f>IF(B180="Holiday",IF(Dashboard!$B$14="Interest Only",D180,D180+G180),0)</x:f>
        <x:v>0</x:v>
      </x:c>
      <x:c r="L180" s="32" t="n">
        <x:f>J180+K180</x:f>
        <x:v>2349500</x:v>
      </x:c>
      <x:c r="M180" s="32" t="n">
        <x:f>IF(A180=1,H180,M179+H180)</x:f>
        <x:v>0</x:v>
      </x:c>
      <x:c r="N180" s="32" t="n">
        <x:f>IF(A180=1,I180,N179+I180)</x:f>
        <x:v>0</x:v>
      </x:c>
      <x:c r="O180" s="32" t="n">
        <x:f>IF(A180=1,G180,O179+G180)</x:f>
        <x:v>3019338.75</x:v>
      </x:c>
      <x:c r="P180" s="37" t="n">
        <x:f>EDATE(Dashboard!$B$10,A180)</x:f>
        <x:v>50465</x:v>
      </x:c>
    </x:row>
    <x:row r="181">
      <x:c r="A181" s="33" t="n">
        <x:v>180</x:v>
      </x:c>
      <x:c r="B181" s="33" t="str">
        <x:f>IF(A181&lt;=Dashboard!$F$8,"Holiday",IF(A181&lt;=Dashboard!$F$8+Dashboard!$F$7,"Repayment","Closed"))</x:f>
        <x:v>Repayment</x:v>
      </x:c>
      <x:c r="C181" s="32" t="n">
        <x:f>IF(A181=1,Dashboard!$B$6,IF(B181="Holiday",J180,L180))</x:f>
        <x:v>2349500</x:v>
      </x:c>
      <x:c r="D181" s="32" t="n">
        <x:f>IF(A181=1,0,IF(B181="Holiday",K180,0))</x:f>
        <x:v>0</x:v>
      </x:c>
      <x:c r="E181" s="32" t="n">
        <x:f>C181+D181</x:f>
        <x:v>2349500</x:v>
      </x:c>
      <x:c r="F181" s="32">
        <x:f>IF(B181="Holiday",IF(Dashboard!$B$14="Principal Only",MIN(Dashboard!$B$15,C181),0),0)</x:f>
      </x:c>
      <x:c r="G181" s="32" t="n">
        <x:f>IF(B181="Closed",0,IF(B181="Holiday",IF(Dashboard!$B$14="Interest Only",C181*Dashboard!$F$6,MAX(0,(C181-F181)*Dashboard!$F$6)),E181*Dashboard!$F$6))</x:f>
        <x:v>17621.25</x:v>
      </x:c>
      <x:c r="H181" s="32" t="n">
        <x:f>IF(B181="Holiday",IF(Dashboard!$B$14="Interest Only",G181,F181),IF(B181="Closed",0,MIN(Dashboard!$F$10,E181+G181)))</x:f>
        <x:v>0</x:v>
      </x:c>
      <x:c r="I181" s="32" t="n">
        <x:f>IF(B181="Holiday",F181,IF(B181="Closed",0,MAX(0,H181-G181)))</x:f>
        <x:v>0</x:v>
      </x:c>
      <x:c r="J181" s="32" t="n">
        <x:f>IF(B181="Holiday",MAX(0,C181-F181),IF(B181="Closed",0,MAX(0,E181-I181)))</x:f>
        <x:v>2349500</x:v>
      </x:c>
      <x:c r="K181" s="32" t="n">
        <x:f>IF(B181="Holiday",IF(Dashboard!$B$14="Interest Only",D181,D181+G181),0)</x:f>
        <x:v>0</x:v>
      </x:c>
      <x:c r="L181" s="32" t="n">
        <x:f>J181+K181</x:f>
        <x:v>2349500</x:v>
      </x:c>
      <x:c r="M181" s="32" t="n">
        <x:f>IF(A181=1,H181,M180+H181)</x:f>
        <x:v>0</x:v>
      </x:c>
      <x:c r="N181" s="32" t="n">
        <x:f>IF(A181=1,I181,N180+I181)</x:f>
        <x:v>0</x:v>
      </x:c>
      <x:c r="O181" s="32" t="n">
        <x:f>IF(A181=1,G181,O180+G181)</x:f>
        <x:v>3036960</x:v>
      </x:c>
      <x:c r="P181" s="37" t="n">
        <x:f>EDATE(Dashboard!$B$10,A181)</x:f>
        <x:v>50496</x:v>
      </x:c>
    </x:row>
    <x:row r="182">
      <x:c r="A182" s="33" t="n">
        <x:v>181</x:v>
      </x:c>
      <x:c r="B182" s="33" t="str">
        <x:f>IF(A182&lt;=Dashboard!$F$8,"Holiday",IF(A182&lt;=Dashboard!$F$8+Dashboard!$F$7,"Repayment","Closed"))</x:f>
        <x:v>Repayment</x:v>
      </x:c>
      <x:c r="C182" s="32" t="n">
        <x:f>IF(A182=1,Dashboard!$B$6,IF(B182="Holiday",J181,L181))</x:f>
        <x:v>2349500</x:v>
      </x:c>
      <x:c r="D182" s="32" t="n">
        <x:f>IF(A182=1,0,IF(B182="Holiday",K181,0))</x:f>
        <x:v>0</x:v>
      </x:c>
      <x:c r="E182" s="32" t="n">
        <x:f>C182+D182</x:f>
        <x:v>2349500</x:v>
      </x:c>
      <x:c r="F182" s="32">
        <x:f>IF(B182="Holiday",IF(Dashboard!$B$14="Principal Only",MIN(Dashboard!$B$15,C182),0),0)</x:f>
      </x:c>
      <x:c r="G182" s="32" t="n">
        <x:f>IF(B182="Closed",0,IF(B182="Holiday",IF(Dashboard!$B$14="Interest Only",C182*Dashboard!$F$6,MAX(0,(C182-F182)*Dashboard!$F$6)),E182*Dashboard!$F$6))</x:f>
        <x:v>17621.25</x:v>
      </x:c>
      <x:c r="H182" s="32" t="n">
        <x:f>IF(B182="Holiday",IF(Dashboard!$B$14="Interest Only",G182,F182),IF(B182="Closed",0,MIN(Dashboard!$F$10,E182+G182)))</x:f>
        <x:v>0</x:v>
      </x:c>
      <x:c r="I182" s="32" t="n">
        <x:f>IF(B182="Holiday",F182,IF(B182="Closed",0,MAX(0,H182-G182)))</x:f>
        <x:v>0</x:v>
      </x:c>
      <x:c r="J182" s="32" t="n">
        <x:f>IF(B182="Holiday",MAX(0,C182-F182),IF(B182="Closed",0,MAX(0,E182-I182)))</x:f>
        <x:v>2349500</x:v>
      </x:c>
      <x:c r="K182" s="32" t="n">
        <x:f>IF(B182="Holiday",IF(Dashboard!$B$14="Interest Only",D182,D182+G182),0)</x:f>
        <x:v>0</x:v>
      </x:c>
      <x:c r="L182" s="32" t="n">
        <x:f>J182+K182</x:f>
        <x:v>2349500</x:v>
      </x:c>
      <x:c r="M182" s="32" t="n">
        <x:f>IF(A182=1,H182,M181+H182)</x:f>
        <x:v>0</x:v>
      </x:c>
      <x:c r="N182" s="32" t="n">
        <x:f>IF(A182=1,I182,N181+I182)</x:f>
        <x:v>0</x:v>
      </x:c>
      <x:c r="O182" s="32" t="n">
        <x:f>IF(A182=1,G182,O181+G182)</x:f>
        <x:v>3054581.25</x:v>
      </x:c>
      <x:c r="P182" s="37" t="n">
        <x:f>EDATE(Dashboard!$B$10,A182)</x:f>
        <x:v>50526</x:v>
      </x:c>
    </x:row>
    <x:row r="183">
      <x:c r="A183" s="33" t="n">
        <x:v>182</x:v>
      </x:c>
      <x:c r="B183" s="33" t="str">
        <x:f>IF(A183&lt;=Dashboard!$F$8,"Holiday",IF(A183&lt;=Dashboard!$F$8+Dashboard!$F$7,"Repayment","Closed"))</x:f>
        <x:v>Repayment</x:v>
      </x:c>
      <x:c r="C183" s="32" t="n">
        <x:f>IF(A183=1,Dashboard!$B$6,IF(B183="Holiday",J182,L182))</x:f>
        <x:v>2349500</x:v>
      </x:c>
      <x:c r="D183" s="32" t="n">
        <x:f>IF(A183=1,0,IF(B183="Holiday",K182,0))</x:f>
        <x:v>0</x:v>
      </x:c>
      <x:c r="E183" s="32" t="n">
        <x:f>C183+D183</x:f>
        <x:v>2349500</x:v>
      </x:c>
      <x:c r="F183" s="32">
        <x:f>IF(B183="Holiday",IF(Dashboard!$B$14="Principal Only",MIN(Dashboard!$B$15,C183),0),0)</x:f>
      </x:c>
      <x:c r="G183" s="32" t="n">
        <x:f>IF(B183="Closed",0,IF(B183="Holiday",IF(Dashboard!$B$14="Interest Only",C183*Dashboard!$F$6,MAX(0,(C183-F183)*Dashboard!$F$6)),E183*Dashboard!$F$6))</x:f>
        <x:v>17621.25</x:v>
      </x:c>
      <x:c r="H183" s="32" t="n">
        <x:f>IF(B183="Holiday",IF(Dashboard!$B$14="Interest Only",G183,F183),IF(B183="Closed",0,MIN(Dashboard!$F$10,E183+G183)))</x:f>
        <x:v>0</x:v>
      </x:c>
      <x:c r="I183" s="32" t="n">
        <x:f>IF(B183="Holiday",F183,IF(B183="Closed",0,MAX(0,H183-G183)))</x:f>
        <x:v>0</x:v>
      </x:c>
      <x:c r="J183" s="32" t="n">
        <x:f>IF(B183="Holiday",MAX(0,C183-F183),IF(B183="Closed",0,MAX(0,E183-I183)))</x:f>
        <x:v>2349500</x:v>
      </x:c>
      <x:c r="K183" s="32" t="n">
        <x:f>IF(B183="Holiday",IF(Dashboard!$B$14="Interest Only",D183,D183+G183),0)</x:f>
        <x:v>0</x:v>
      </x:c>
      <x:c r="L183" s="32" t="n">
        <x:f>J183+K183</x:f>
        <x:v>2349500</x:v>
      </x:c>
      <x:c r="M183" s="32" t="n">
        <x:f>IF(A183=1,H183,M182+H183)</x:f>
        <x:v>0</x:v>
      </x:c>
      <x:c r="N183" s="32" t="n">
        <x:f>IF(A183=1,I183,N182+I183)</x:f>
        <x:v>0</x:v>
      </x:c>
      <x:c r="O183" s="32" t="n">
        <x:f>IF(A183=1,G183,O182+G183)</x:f>
        <x:v>3072202.5</x:v>
      </x:c>
      <x:c r="P183" s="37" t="n">
        <x:f>EDATE(Dashboard!$B$10,A183)</x:f>
        <x:v>50557</x:v>
      </x:c>
    </x:row>
    <x:row r="184">
      <x:c r="A184" s="33" t="n">
        <x:v>183</x:v>
      </x:c>
      <x:c r="B184" s="33" t="str">
        <x:f>IF(A184&lt;=Dashboard!$F$8,"Holiday",IF(A184&lt;=Dashboard!$F$8+Dashboard!$F$7,"Repayment","Closed"))</x:f>
        <x:v>Repayment</x:v>
      </x:c>
      <x:c r="C184" s="32" t="n">
        <x:f>IF(A184=1,Dashboard!$B$6,IF(B184="Holiday",J183,L183))</x:f>
        <x:v>2349500</x:v>
      </x:c>
      <x:c r="D184" s="32" t="n">
        <x:f>IF(A184=1,0,IF(B184="Holiday",K183,0))</x:f>
        <x:v>0</x:v>
      </x:c>
      <x:c r="E184" s="32" t="n">
        <x:f>C184+D184</x:f>
        <x:v>2349500</x:v>
      </x:c>
      <x:c r="F184" s="32">
        <x:f>IF(B184="Holiday",IF(Dashboard!$B$14="Principal Only",MIN(Dashboard!$B$15,C184),0),0)</x:f>
      </x:c>
      <x:c r="G184" s="32" t="n">
        <x:f>IF(B184="Closed",0,IF(B184="Holiday",IF(Dashboard!$B$14="Interest Only",C184*Dashboard!$F$6,MAX(0,(C184-F184)*Dashboard!$F$6)),E184*Dashboard!$F$6))</x:f>
        <x:v>17621.25</x:v>
      </x:c>
      <x:c r="H184" s="32" t="n">
        <x:f>IF(B184="Holiday",IF(Dashboard!$B$14="Interest Only",G184,F184),IF(B184="Closed",0,MIN(Dashboard!$F$10,E184+G184)))</x:f>
        <x:v>0</x:v>
      </x:c>
      <x:c r="I184" s="32" t="n">
        <x:f>IF(B184="Holiday",F184,IF(B184="Closed",0,MAX(0,H184-G184)))</x:f>
        <x:v>0</x:v>
      </x:c>
      <x:c r="J184" s="32" t="n">
        <x:f>IF(B184="Holiday",MAX(0,C184-F184),IF(B184="Closed",0,MAX(0,E184-I184)))</x:f>
        <x:v>2349500</x:v>
      </x:c>
      <x:c r="K184" s="32" t="n">
        <x:f>IF(B184="Holiday",IF(Dashboard!$B$14="Interest Only",D184,D184+G184),0)</x:f>
        <x:v>0</x:v>
      </x:c>
      <x:c r="L184" s="32" t="n">
        <x:f>J184+K184</x:f>
        <x:v>2349500</x:v>
      </x:c>
      <x:c r="M184" s="32" t="n">
        <x:f>IF(A184=1,H184,M183+H184)</x:f>
        <x:v>0</x:v>
      </x:c>
      <x:c r="N184" s="32" t="n">
        <x:f>IF(A184=1,I184,N183+I184)</x:f>
        <x:v>0</x:v>
      </x:c>
      <x:c r="O184" s="32" t="n">
        <x:f>IF(A184=1,G184,O183+G184)</x:f>
        <x:v>3089823.75</x:v>
      </x:c>
      <x:c r="P184" s="37" t="n">
        <x:f>EDATE(Dashboard!$B$10,A184)</x:f>
        <x:v>50587</x:v>
      </x:c>
    </x:row>
    <x:row r="185">
      <x:c r="A185" s="33" t="n">
        <x:v>184</x:v>
      </x:c>
      <x:c r="B185" s="33" t="str">
        <x:f>IF(A185&lt;=Dashboard!$F$8,"Holiday",IF(A185&lt;=Dashboard!$F$8+Dashboard!$F$7,"Repayment","Closed"))</x:f>
        <x:v>Repayment</x:v>
      </x:c>
      <x:c r="C185" s="32" t="n">
        <x:f>IF(A185=1,Dashboard!$B$6,IF(B185="Holiday",J184,L184))</x:f>
        <x:v>2349500</x:v>
      </x:c>
      <x:c r="D185" s="32" t="n">
        <x:f>IF(A185=1,0,IF(B185="Holiday",K184,0))</x:f>
        <x:v>0</x:v>
      </x:c>
      <x:c r="E185" s="32" t="n">
        <x:f>C185+D185</x:f>
        <x:v>2349500</x:v>
      </x:c>
      <x:c r="F185" s="32">
        <x:f>IF(B185="Holiday",IF(Dashboard!$B$14="Principal Only",MIN(Dashboard!$B$15,C185),0),0)</x:f>
      </x:c>
      <x:c r="G185" s="32" t="n">
        <x:f>IF(B185="Closed",0,IF(B185="Holiday",IF(Dashboard!$B$14="Interest Only",C185*Dashboard!$F$6,MAX(0,(C185-F185)*Dashboard!$F$6)),E185*Dashboard!$F$6))</x:f>
        <x:v>17621.25</x:v>
      </x:c>
      <x:c r="H185" s="32" t="n">
        <x:f>IF(B185="Holiday",IF(Dashboard!$B$14="Interest Only",G185,F185),IF(B185="Closed",0,MIN(Dashboard!$F$10,E185+G185)))</x:f>
        <x:v>0</x:v>
      </x:c>
      <x:c r="I185" s="32" t="n">
        <x:f>IF(B185="Holiday",F185,IF(B185="Closed",0,MAX(0,H185-G185)))</x:f>
        <x:v>0</x:v>
      </x:c>
      <x:c r="J185" s="32" t="n">
        <x:f>IF(B185="Holiday",MAX(0,C185-F185),IF(B185="Closed",0,MAX(0,E185-I185)))</x:f>
        <x:v>2349500</x:v>
      </x:c>
      <x:c r="K185" s="32" t="n">
        <x:f>IF(B185="Holiday",IF(Dashboard!$B$14="Interest Only",D185,D185+G185),0)</x:f>
        <x:v>0</x:v>
      </x:c>
      <x:c r="L185" s="32" t="n">
        <x:f>J185+K185</x:f>
        <x:v>2349500</x:v>
      </x:c>
      <x:c r="M185" s="32" t="n">
        <x:f>IF(A185=1,H185,M184+H185)</x:f>
        <x:v>0</x:v>
      </x:c>
      <x:c r="N185" s="32" t="n">
        <x:f>IF(A185=1,I185,N184+I185)</x:f>
        <x:v>0</x:v>
      </x:c>
      <x:c r="O185" s="32" t="n">
        <x:f>IF(A185=1,G185,O184+G185)</x:f>
        <x:v>3107445</x:v>
      </x:c>
      <x:c r="P185" s="37" t="n">
        <x:f>EDATE(Dashboard!$B$10,A185)</x:f>
        <x:v>50618</x:v>
      </x:c>
    </x:row>
    <x:row r="186">
      <x:c r="A186" s="33" t="n">
        <x:v>185</x:v>
      </x:c>
      <x:c r="B186" s="33" t="str">
        <x:f>IF(A186&lt;=Dashboard!$F$8,"Holiday",IF(A186&lt;=Dashboard!$F$8+Dashboard!$F$7,"Repayment","Closed"))</x:f>
        <x:v>Repayment</x:v>
      </x:c>
      <x:c r="C186" s="32" t="n">
        <x:f>IF(A186=1,Dashboard!$B$6,IF(B186="Holiday",J185,L185))</x:f>
        <x:v>2349500</x:v>
      </x:c>
      <x:c r="D186" s="32" t="n">
        <x:f>IF(A186=1,0,IF(B186="Holiday",K185,0))</x:f>
        <x:v>0</x:v>
      </x:c>
      <x:c r="E186" s="32" t="n">
        <x:f>C186+D186</x:f>
        <x:v>2349500</x:v>
      </x:c>
      <x:c r="F186" s="32">
        <x:f>IF(B186="Holiday",IF(Dashboard!$B$14="Principal Only",MIN(Dashboard!$B$15,C186),0),0)</x:f>
      </x:c>
      <x:c r="G186" s="32" t="n">
        <x:f>IF(B186="Closed",0,IF(B186="Holiday",IF(Dashboard!$B$14="Interest Only",C186*Dashboard!$F$6,MAX(0,(C186-F186)*Dashboard!$F$6)),E186*Dashboard!$F$6))</x:f>
        <x:v>17621.25</x:v>
      </x:c>
      <x:c r="H186" s="32" t="n">
        <x:f>IF(B186="Holiday",IF(Dashboard!$B$14="Interest Only",G186,F186),IF(B186="Closed",0,MIN(Dashboard!$F$10,E186+G186)))</x:f>
        <x:v>0</x:v>
      </x:c>
      <x:c r="I186" s="32" t="n">
        <x:f>IF(B186="Holiday",F186,IF(B186="Closed",0,MAX(0,H186-G186)))</x:f>
        <x:v>0</x:v>
      </x:c>
      <x:c r="J186" s="32" t="n">
        <x:f>IF(B186="Holiday",MAX(0,C186-F186),IF(B186="Closed",0,MAX(0,E186-I186)))</x:f>
        <x:v>2349500</x:v>
      </x:c>
      <x:c r="K186" s="32" t="n">
        <x:f>IF(B186="Holiday",IF(Dashboard!$B$14="Interest Only",D186,D186+G186),0)</x:f>
        <x:v>0</x:v>
      </x:c>
      <x:c r="L186" s="32" t="n">
        <x:f>J186+K186</x:f>
        <x:v>2349500</x:v>
      </x:c>
      <x:c r="M186" s="32" t="n">
        <x:f>IF(A186=1,H186,M185+H186)</x:f>
        <x:v>0</x:v>
      </x:c>
      <x:c r="N186" s="32" t="n">
        <x:f>IF(A186=1,I186,N185+I186)</x:f>
        <x:v>0</x:v>
      </x:c>
      <x:c r="O186" s="32" t="n">
        <x:f>IF(A186=1,G186,O185+G186)</x:f>
        <x:v>3125066.25</x:v>
      </x:c>
      <x:c r="P186" s="37" t="n">
        <x:f>EDATE(Dashboard!$B$10,A186)</x:f>
        <x:v>50649</x:v>
      </x:c>
    </x:row>
    <x:row r="187">
      <x:c r="A187" s="33" t="n">
        <x:v>186</x:v>
      </x:c>
      <x:c r="B187" s="33" t="str">
        <x:f>IF(A187&lt;=Dashboard!$F$8,"Holiday",IF(A187&lt;=Dashboard!$F$8+Dashboard!$F$7,"Repayment","Closed"))</x:f>
        <x:v>Repayment</x:v>
      </x:c>
      <x:c r="C187" s="32" t="n">
        <x:f>IF(A187=1,Dashboard!$B$6,IF(B187="Holiday",J186,L186))</x:f>
        <x:v>2349500</x:v>
      </x:c>
      <x:c r="D187" s="32" t="n">
        <x:f>IF(A187=1,0,IF(B187="Holiday",K186,0))</x:f>
        <x:v>0</x:v>
      </x:c>
      <x:c r="E187" s="32" t="n">
        <x:f>C187+D187</x:f>
        <x:v>2349500</x:v>
      </x:c>
      <x:c r="F187" s="32">
        <x:f>IF(B187="Holiday",IF(Dashboard!$B$14="Principal Only",MIN(Dashboard!$B$15,C187),0),0)</x:f>
      </x:c>
      <x:c r="G187" s="32" t="n">
        <x:f>IF(B187="Closed",0,IF(B187="Holiday",IF(Dashboard!$B$14="Interest Only",C187*Dashboard!$F$6,MAX(0,(C187-F187)*Dashboard!$F$6)),E187*Dashboard!$F$6))</x:f>
        <x:v>17621.25</x:v>
      </x:c>
      <x:c r="H187" s="32" t="n">
        <x:f>IF(B187="Holiday",IF(Dashboard!$B$14="Interest Only",G187,F187),IF(B187="Closed",0,MIN(Dashboard!$F$10,E187+G187)))</x:f>
        <x:v>0</x:v>
      </x:c>
      <x:c r="I187" s="32" t="n">
        <x:f>IF(B187="Holiday",F187,IF(B187="Closed",0,MAX(0,H187-G187)))</x:f>
        <x:v>0</x:v>
      </x:c>
      <x:c r="J187" s="32" t="n">
        <x:f>IF(B187="Holiday",MAX(0,C187-F187),IF(B187="Closed",0,MAX(0,E187-I187)))</x:f>
        <x:v>2349500</x:v>
      </x:c>
      <x:c r="K187" s="32" t="n">
        <x:f>IF(B187="Holiday",IF(Dashboard!$B$14="Interest Only",D187,D187+G187),0)</x:f>
        <x:v>0</x:v>
      </x:c>
      <x:c r="L187" s="32" t="n">
        <x:f>J187+K187</x:f>
        <x:v>2349500</x:v>
      </x:c>
      <x:c r="M187" s="32" t="n">
        <x:f>IF(A187=1,H187,M186+H187)</x:f>
        <x:v>0</x:v>
      </x:c>
      <x:c r="N187" s="32" t="n">
        <x:f>IF(A187=1,I187,N186+I187)</x:f>
        <x:v>0</x:v>
      </x:c>
      <x:c r="O187" s="32" t="n">
        <x:f>IF(A187=1,G187,O186+G187)</x:f>
        <x:v>3142687.5</x:v>
      </x:c>
      <x:c r="P187" s="37" t="n">
        <x:f>EDATE(Dashboard!$B$10,A187)</x:f>
        <x:v>50679</x:v>
      </x:c>
    </x:row>
    <x:row r="188">
      <x:c r="A188" s="33" t="n">
        <x:v>187</x:v>
      </x:c>
      <x:c r="B188" s="33" t="str">
        <x:f>IF(A188&lt;=Dashboard!$F$8,"Holiday",IF(A188&lt;=Dashboard!$F$8+Dashboard!$F$7,"Repayment","Closed"))</x:f>
        <x:v>Repayment</x:v>
      </x:c>
      <x:c r="C188" s="32" t="n">
        <x:f>IF(A188=1,Dashboard!$B$6,IF(B188="Holiday",J187,L187))</x:f>
        <x:v>2349500</x:v>
      </x:c>
      <x:c r="D188" s="32" t="n">
        <x:f>IF(A188=1,0,IF(B188="Holiday",K187,0))</x:f>
        <x:v>0</x:v>
      </x:c>
      <x:c r="E188" s="32" t="n">
        <x:f>C188+D188</x:f>
        <x:v>2349500</x:v>
      </x:c>
      <x:c r="F188" s="32">
        <x:f>IF(B188="Holiday",IF(Dashboard!$B$14="Principal Only",MIN(Dashboard!$B$15,C188),0),0)</x:f>
      </x:c>
      <x:c r="G188" s="32" t="n">
        <x:f>IF(B188="Closed",0,IF(B188="Holiday",IF(Dashboard!$B$14="Interest Only",C188*Dashboard!$F$6,MAX(0,(C188-F188)*Dashboard!$F$6)),E188*Dashboard!$F$6))</x:f>
        <x:v>17621.25</x:v>
      </x:c>
      <x:c r="H188" s="32" t="n">
        <x:f>IF(B188="Holiday",IF(Dashboard!$B$14="Interest Only",G188,F188),IF(B188="Closed",0,MIN(Dashboard!$F$10,E188+G188)))</x:f>
        <x:v>0</x:v>
      </x:c>
      <x:c r="I188" s="32" t="n">
        <x:f>IF(B188="Holiday",F188,IF(B188="Closed",0,MAX(0,H188-G188)))</x:f>
        <x:v>0</x:v>
      </x:c>
      <x:c r="J188" s="32" t="n">
        <x:f>IF(B188="Holiday",MAX(0,C188-F188),IF(B188="Closed",0,MAX(0,E188-I188)))</x:f>
        <x:v>2349500</x:v>
      </x:c>
      <x:c r="K188" s="32" t="n">
        <x:f>IF(B188="Holiday",IF(Dashboard!$B$14="Interest Only",D188,D188+G188),0)</x:f>
        <x:v>0</x:v>
      </x:c>
      <x:c r="L188" s="32" t="n">
        <x:f>J188+K188</x:f>
        <x:v>2349500</x:v>
      </x:c>
      <x:c r="M188" s="32" t="n">
        <x:f>IF(A188=1,H188,M187+H188)</x:f>
        <x:v>0</x:v>
      </x:c>
      <x:c r="N188" s="32" t="n">
        <x:f>IF(A188=1,I188,N187+I188)</x:f>
        <x:v>0</x:v>
      </x:c>
      <x:c r="O188" s="32" t="n">
        <x:f>IF(A188=1,G188,O187+G188)</x:f>
        <x:v>3160308.75</x:v>
      </x:c>
      <x:c r="P188" s="37" t="n">
        <x:f>EDATE(Dashboard!$B$10,A188)</x:f>
        <x:v>50710</x:v>
      </x:c>
    </x:row>
    <x:row r="189">
      <x:c r="A189" s="33" t="n">
        <x:v>188</x:v>
      </x:c>
      <x:c r="B189" s="33" t="str">
        <x:f>IF(A189&lt;=Dashboard!$F$8,"Holiday",IF(A189&lt;=Dashboard!$F$8+Dashboard!$F$7,"Repayment","Closed"))</x:f>
        <x:v>Repayment</x:v>
      </x:c>
      <x:c r="C189" s="32" t="n">
        <x:f>IF(A189=1,Dashboard!$B$6,IF(B189="Holiday",J188,L188))</x:f>
        <x:v>2349500</x:v>
      </x:c>
      <x:c r="D189" s="32" t="n">
        <x:f>IF(A189=1,0,IF(B189="Holiday",K188,0))</x:f>
        <x:v>0</x:v>
      </x:c>
      <x:c r="E189" s="32" t="n">
        <x:f>C189+D189</x:f>
        <x:v>2349500</x:v>
      </x:c>
      <x:c r="F189" s="32">
        <x:f>IF(B189="Holiday",IF(Dashboard!$B$14="Principal Only",MIN(Dashboard!$B$15,C189),0),0)</x:f>
      </x:c>
      <x:c r="G189" s="32" t="n">
        <x:f>IF(B189="Closed",0,IF(B189="Holiday",IF(Dashboard!$B$14="Interest Only",C189*Dashboard!$F$6,MAX(0,(C189-F189)*Dashboard!$F$6)),E189*Dashboard!$F$6))</x:f>
        <x:v>17621.25</x:v>
      </x:c>
      <x:c r="H189" s="32" t="n">
        <x:f>IF(B189="Holiday",IF(Dashboard!$B$14="Interest Only",G189,F189),IF(B189="Closed",0,MIN(Dashboard!$F$10,E189+G189)))</x:f>
        <x:v>0</x:v>
      </x:c>
      <x:c r="I189" s="32" t="n">
        <x:f>IF(B189="Holiday",F189,IF(B189="Closed",0,MAX(0,H189-G189)))</x:f>
        <x:v>0</x:v>
      </x:c>
      <x:c r="J189" s="32" t="n">
        <x:f>IF(B189="Holiday",MAX(0,C189-F189),IF(B189="Closed",0,MAX(0,E189-I189)))</x:f>
        <x:v>2349500</x:v>
      </x:c>
      <x:c r="K189" s="32" t="n">
        <x:f>IF(B189="Holiday",IF(Dashboard!$B$14="Interest Only",D189,D189+G189),0)</x:f>
        <x:v>0</x:v>
      </x:c>
      <x:c r="L189" s="32" t="n">
        <x:f>J189+K189</x:f>
        <x:v>2349500</x:v>
      </x:c>
      <x:c r="M189" s="32" t="n">
        <x:f>IF(A189=1,H189,M188+H189)</x:f>
        <x:v>0</x:v>
      </x:c>
      <x:c r="N189" s="32" t="n">
        <x:f>IF(A189=1,I189,N188+I189)</x:f>
        <x:v>0</x:v>
      </x:c>
      <x:c r="O189" s="32" t="n">
        <x:f>IF(A189=1,G189,O188+G189)</x:f>
        <x:v>3177930</x:v>
      </x:c>
      <x:c r="P189" s="37" t="n">
        <x:f>EDATE(Dashboard!$B$10,A189)</x:f>
        <x:v>50740</x:v>
      </x:c>
    </x:row>
    <x:row r="190">
      <x:c r="A190" s="33" t="n">
        <x:v>189</x:v>
      </x:c>
      <x:c r="B190" s="33" t="str">
        <x:f>IF(A190&lt;=Dashboard!$F$8,"Holiday",IF(A190&lt;=Dashboard!$F$8+Dashboard!$F$7,"Repayment","Closed"))</x:f>
        <x:v>Repayment</x:v>
      </x:c>
      <x:c r="C190" s="32" t="n">
        <x:f>IF(A190=1,Dashboard!$B$6,IF(B190="Holiday",J189,L189))</x:f>
        <x:v>2349500</x:v>
      </x:c>
      <x:c r="D190" s="32" t="n">
        <x:f>IF(A190=1,0,IF(B190="Holiday",K189,0))</x:f>
        <x:v>0</x:v>
      </x:c>
      <x:c r="E190" s="32" t="n">
        <x:f>C190+D190</x:f>
        <x:v>2349500</x:v>
      </x:c>
      <x:c r="F190" s="32">
        <x:f>IF(B190="Holiday",IF(Dashboard!$B$14="Principal Only",MIN(Dashboard!$B$15,C190),0),0)</x:f>
      </x:c>
      <x:c r="G190" s="32" t="n">
        <x:f>IF(B190="Closed",0,IF(B190="Holiday",IF(Dashboard!$B$14="Interest Only",C190*Dashboard!$F$6,MAX(0,(C190-F190)*Dashboard!$F$6)),E190*Dashboard!$F$6))</x:f>
        <x:v>17621.25</x:v>
      </x:c>
      <x:c r="H190" s="32" t="n">
        <x:f>IF(B190="Holiday",IF(Dashboard!$B$14="Interest Only",G190,F190),IF(B190="Closed",0,MIN(Dashboard!$F$10,E190+G190)))</x:f>
        <x:v>0</x:v>
      </x:c>
      <x:c r="I190" s="32" t="n">
        <x:f>IF(B190="Holiday",F190,IF(B190="Closed",0,MAX(0,H190-G190)))</x:f>
        <x:v>0</x:v>
      </x:c>
      <x:c r="J190" s="32" t="n">
        <x:f>IF(B190="Holiday",MAX(0,C190-F190),IF(B190="Closed",0,MAX(0,E190-I190)))</x:f>
        <x:v>2349500</x:v>
      </x:c>
      <x:c r="K190" s="32" t="n">
        <x:f>IF(B190="Holiday",IF(Dashboard!$B$14="Interest Only",D190,D190+G190),0)</x:f>
        <x:v>0</x:v>
      </x:c>
      <x:c r="L190" s="32" t="n">
        <x:f>J190+K190</x:f>
        <x:v>2349500</x:v>
      </x:c>
      <x:c r="M190" s="32" t="n">
        <x:f>IF(A190=1,H190,M189+H190)</x:f>
        <x:v>0</x:v>
      </x:c>
      <x:c r="N190" s="32" t="n">
        <x:f>IF(A190=1,I190,N189+I190)</x:f>
        <x:v>0</x:v>
      </x:c>
      <x:c r="O190" s="32" t="n">
        <x:f>IF(A190=1,G190,O189+G190)</x:f>
        <x:v>3195551.25</x:v>
      </x:c>
      <x:c r="P190" s="37" t="n">
        <x:f>EDATE(Dashboard!$B$10,A190)</x:f>
        <x:v>50771</x:v>
      </x:c>
    </x:row>
    <x:row r="191">
      <x:c r="A191" s="33" t="n">
        <x:v>190</x:v>
      </x:c>
      <x:c r="B191" s="33" t="str">
        <x:f>IF(A191&lt;=Dashboard!$F$8,"Holiday",IF(A191&lt;=Dashboard!$F$8+Dashboard!$F$7,"Repayment","Closed"))</x:f>
        <x:v>Repayment</x:v>
      </x:c>
      <x:c r="C191" s="32" t="n">
        <x:f>IF(A191=1,Dashboard!$B$6,IF(B191="Holiday",J190,L190))</x:f>
        <x:v>2349500</x:v>
      </x:c>
      <x:c r="D191" s="32" t="n">
        <x:f>IF(A191=1,0,IF(B191="Holiday",K190,0))</x:f>
        <x:v>0</x:v>
      </x:c>
      <x:c r="E191" s="32" t="n">
        <x:f>C191+D191</x:f>
        <x:v>2349500</x:v>
      </x:c>
      <x:c r="F191" s="32">
        <x:f>IF(B191="Holiday",IF(Dashboard!$B$14="Principal Only",MIN(Dashboard!$B$15,C191),0),0)</x:f>
      </x:c>
      <x:c r="G191" s="32" t="n">
        <x:f>IF(B191="Closed",0,IF(B191="Holiday",IF(Dashboard!$B$14="Interest Only",C191*Dashboard!$F$6,MAX(0,(C191-F191)*Dashboard!$F$6)),E191*Dashboard!$F$6))</x:f>
        <x:v>17621.25</x:v>
      </x:c>
      <x:c r="H191" s="32" t="n">
        <x:f>IF(B191="Holiday",IF(Dashboard!$B$14="Interest Only",G191,F191),IF(B191="Closed",0,MIN(Dashboard!$F$10,E191+G191)))</x:f>
        <x:v>0</x:v>
      </x:c>
      <x:c r="I191" s="32" t="n">
        <x:f>IF(B191="Holiday",F191,IF(B191="Closed",0,MAX(0,H191-G191)))</x:f>
        <x:v>0</x:v>
      </x:c>
      <x:c r="J191" s="32" t="n">
        <x:f>IF(B191="Holiday",MAX(0,C191-F191),IF(B191="Closed",0,MAX(0,E191-I191)))</x:f>
        <x:v>2349500</x:v>
      </x:c>
      <x:c r="K191" s="32" t="n">
        <x:f>IF(B191="Holiday",IF(Dashboard!$B$14="Interest Only",D191,D191+G191),0)</x:f>
        <x:v>0</x:v>
      </x:c>
      <x:c r="L191" s="32" t="n">
        <x:f>J191+K191</x:f>
        <x:v>2349500</x:v>
      </x:c>
      <x:c r="M191" s="32" t="n">
        <x:f>IF(A191=1,H191,M190+H191)</x:f>
        <x:v>0</x:v>
      </x:c>
      <x:c r="N191" s="32" t="n">
        <x:f>IF(A191=1,I191,N190+I191)</x:f>
        <x:v>0</x:v>
      </x:c>
      <x:c r="O191" s="32" t="n">
        <x:f>IF(A191=1,G191,O190+G191)</x:f>
        <x:v>3213172.5</x:v>
      </x:c>
      <x:c r="P191" s="37" t="n">
        <x:f>EDATE(Dashboard!$B$10,A191)</x:f>
        <x:v>50802</x:v>
      </x:c>
    </x:row>
    <x:row r="192">
      <x:c r="A192" s="33" t="n">
        <x:v>191</x:v>
      </x:c>
      <x:c r="B192" s="33" t="str">
        <x:f>IF(A192&lt;=Dashboard!$F$8,"Holiday",IF(A192&lt;=Dashboard!$F$8+Dashboard!$F$7,"Repayment","Closed"))</x:f>
        <x:v>Repayment</x:v>
      </x:c>
      <x:c r="C192" s="32" t="n">
        <x:f>IF(A192=1,Dashboard!$B$6,IF(B192="Holiday",J191,L191))</x:f>
        <x:v>2349500</x:v>
      </x:c>
      <x:c r="D192" s="32" t="n">
        <x:f>IF(A192=1,0,IF(B192="Holiday",K191,0))</x:f>
        <x:v>0</x:v>
      </x:c>
      <x:c r="E192" s="32" t="n">
        <x:f>C192+D192</x:f>
        <x:v>2349500</x:v>
      </x:c>
      <x:c r="F192" s="32">
        <x:f>IF(B192="Holiday",IF(Dashboard!$B$14="Principal Only",MIN(Dashboard!$B$15,C192),0),0)</x:f>
      </x:c>
      <x:c r="G192" s="32" t="n">
        <x:f>IF(B192="Closed",0,IF(B192="Holiday",IF(Dashboard!$B$14="Interest Only",C192*Dashboard!$F$6,MAX(0,(C192-F192)*Dashboard!$F$6)),E192*Dashboard!$F$6))</x:f>
        <x:v>17621.25</x:v>
      </x:c>
      <x:c r="H192" s="32" t="n">
        <x:f>IF(B192="Holiday",IF(Dashboard!$B$14="Interest Only",G192,F192),IF(B192="Closed",0,MIN(Dashboard!$F$10,E192+G192)))</x:f>
        <x:v>0</x:v>
      </x:c>
      <x:c r="I192" s="32" t="n">
        <x:f>IF(B192="Holiday",F192,IF(B192="Closed",0,MAX(0,H192-G192)))</x:f>
        <x:v>0</x:v>
      </x:c>
      <x:c r="J192" s="32" t="n">
        <x:f>IF(B192="Holiday",MAX(0,C192-F192),IF(B192="Closed",0,MAX(0,E192-I192)))</x:f>
        <x:v>2349500</x:v>
      </x:c>
      <x:c r="K192" s="32" t="n">
        <x:f>IF(B192="Holiday",IF(Dashboard!$B$14="Interest Only",D192,D192+G192),0)</x:f>
        <x:v>0</x:v>
      </x:c>
      <x:c r="L192" s="32" t="n">
        <x:f>J192+K192</x:f>
        <x:v>2349500</x:v>
      </x:c>
      <x:c r="M192" s="32" t="n">
        <x:f>IF(A192=1,H192,M191+H192)</x:f>
        <x:v>0</x:v>
      </x:c>
      <x:c r="N192" s="32" t="n">
        <x:f>IF(A192=1,I192,N191+I192)</x:f>
        <x:v>0</x:v>
      </x:c>
      <x:c r="O192" s="32" t="n">
        <x:f>IF(A192=1,G192,O191+G192)</x:f>
        <x:v>3230793.75</x:v>
      </x:c>
      <x:c r="P192" s="37" t="n">
        <x:f>EDATE(Dashboard!$B$10,A192)</x:f>
        <x:v>50830</x:v>
      </x:c>
    </x:row>
    <x:row r="193">
      <x:c r="A193" s="33" t="n">
        <x:v>192</x:v>
      </x:c>
      <x:c r="B193" s="33" t="str">
        <x:f>IF(A193&lt;=Dashboard!$F$8,"Holiday",IF(A193&lt;=Dashboard!$F$8+Dashboard!$F$7,"Repayment","Closed"))</x:f>
        <x:v>Repayment</x:v>
      </x:c>
      <x:c r="C193" s="32" t="n">
        <x:f>IF(A193=1,Dashboard!$B$6,IF(B193="Holiday",J192,L192))</x:f>
        <x:v>2349500</x:v>
      </x:c>
      <x:c r="D193" s="32" t="n">
        <x:f>IF(A193=1,0,IF(B193="Holiday",K192,0))</x:f>
        <x:v>0</x:v>
      </x:c>
      <x:c r="E193" s="32" t="n">
        <x:f>C193+D193</x:f>
        <x:v>2349500</x:v>
      </x:c>
      <x:c r="F193" s="32">
        <x:f>IF(B193="Holiday",IF(Dashboard!$B$14="Principal Only",MIN(Dashboard!$B$15,C193),0),0)</x:f>
      </x:c>
      <x:c r="G193" s="32" t="n">
        <x:f>IF(B193="Closed",0,IF(B193="Holiday",IF(Dashboard!$B$14="Interest Only",C193*Dashboard!$F$6,MAX(0,(C193-F193)*Dashboard!$F$6)),E193*Dashboard!$F$6))</x:f>
        <x:v>17621.25</x:v>
      </x:c>
      <x:c r="H193" s="32" t="n">
        <x:f>IF(B193="Holiday",IF(Dashboard!$B$14="Interest Only",G193,F193),IF(B193="Closed",0,MIN(Dashboard!$F$10,E193+G193)))</x:f>
        <x:v>0</x:v>
      </x:c>
      <x:c r="I193" s="32" t="n">
        <x:f>IF(B193="Holiday",F193,IF(B193="Closed",0,MAX(0,H193-G193)))</x:f>
        <x:v>0</x:v>
      </x:c>
      <x:c r="J193" s="32" t="n">
        <x:f>IF(B193="Holiday",MAX(0,C193-F193),IF(B193="Closed",0,MAX(0,E193-I193)))</x:f>
        <x:v>2349500</x:v>
      </x:c>
      <x:c r="K193" s="32" t="n">
        <x:f>IF(B193="Holiday",IF(Dashboard!$B$14="Interest Only",D193,D193+G193),0)</x:f>
        <x:v>0</x:v>
      </x:c>
      <x:c r="L193" s="32" t="n">
        <x:f>J193+K193</x:f>
        <x:v>2349500</x:v>
      </x:c>
      <x:c r="M193" s="32" t="n">
        <x:f>IF(A193=1,H193,M192+H193)</x:f>
        <x:v>0</x:v>
      </x:c>
      <x:c r="N193" s="32" t="n">
        <x:f>IF(A193=1,I193,N192+I193)</x:f>
        <x:v>0</x:v>
      </x:c>
      <x:c r="O193" s="32" t="n">
        <x:f>IF(A193=1,G193,O192+G193)</x:f>
        <x:v>3248415</x:v>
      </x:c>
      <x:c r="P193" s="37" t="n">
        <x:f>EDATE(Dashboard!$B$10,A193)</x:f>
        <x:v>50861</x:v>
      </x:c>
    </x:row>
    <x:row r="194">
      <x:c r="A194" s="33" t="n">
        <x:v>193</x:v>
      </x:c>
      <x:c r="B194" s="33" t="str">
        <x:f>IF(A194&lt;=Dashboard!$F$8,"Holiday",IF(A194&lt;=Dashboard!$F$8+Dashboard!$F$7,"Repayment","Closed"))</x:f>
        <x:v>Repayment</x:v>
      </x:c>
      <x:c r="C194" s="32" t="n">
        <x:f>IF(A194=1,Dashboard!$B$6,IF(B194="Holiday",J193,L193))</x:f>
        <x:v>2349500</x:v>
      </x:c>
      <x:c r="D194" s="32" t="n">
        <x:f>IF(A194=1,0,IF(B194="Holiday",K193,0))</x:f>
        <x:v>0</x:v>
      </x:c>
      <x:c r="E194" s="32" t="n">
        <x:f>C194+D194</x:f>
        <x:v>2349500</x:v>
      </x:c>
      <x:c r="F194" s="32">
        <x:f>IF(B194="Holiday",IF(Dashboard!$B$14="Principal Only",MIN(Dashboard!$B$15,C194),0),0)</x:f>
      </x:c>
      <x:c r="G194" s="32" t="n">
        <x:f>IF(B194="Closed",0,IF(B194="Holiday",IF(Dashboard!$B$14="Interest Only",C194*Dashboard!$F$6,MAX(0,(C194-F194)*Dashboard!$F$6)),E194*Dashboard!$F$6))</x:f>
        <x:v>17621.25</x:v>
      </x:c>
      <x:c r="H194" s="32" t="n">
        <x:f>IF(B194="Holiday",IF(Dashboard!$B$14="Interest Only",G194,F194),IF(B194="Closed",0,MIN(Dashboard!$F$10,E194+G194)))</x:f>
        <x:v>0</x:v>
      </x:c>
      <x:c r="I194" s="32" t="n">
        <x:f>IF(B194="Holiday",F194,IF(B194="Closed",0,MAX(0,H194-G194)))</x:f>
        <x:v>0</x:v>
      </x:c>
      <x:c r="J194" s="32" t="n">
        <x:f>IF(B194="Holiday",MAX(0,C194-F194),IF(B194="Closed",0,MAX(0,E194-I194)))</x:f>
        <x:v>2349500</x:v>
      </x:c>
      <x:c r="K194" s="32" t="n">
        <x:f>IF(B194="Holiday",IF(Dashboard!$B$14="Interest Only",D194,D194+G194),0)</x:f>
        <x:v>0</x:v>
      </x:c>
      <x:c r="L194" s="32" t="n">
        <x:f>J194+K194</x:f>
        <x:v>2349500</x:v>
      </x:c>
      <x:c r="M194" s="32" t="n">
        <x:f>IF(A194=1,H194,M193+H194)</x:f>
        <x:v>0</x:v>
      </x:c>
      <x:c r="N194" s="32" t="n">
        <x:f>IF(A194=1,I194,N193+I194)</x:f>
        <x:v>0</x:v>
      </x:c>
      <x:c r="O194" s="32" t="n">
        <x:f>IF(A194=1,G194,O193+G194)</x:f>
        <x:v>3266036.25</x:v>
      </x:c>
      <x:c r="P194" s="37" t="n">
        <x:f>EDATE(Dashboard!$B$10,A194)</x:f>
        <x:v>50891</x:v>
      </x:c>
    </x:row>
    <x:row r="195">
      <x:c r="A195" s="33" t="n">
        <x:v>194</x:v>
      </x:c>
      <x:c r="B195" s="33" t="str">
        <x:f>IF(A195&lt;=Dashboard!$F$8,"Holiday",IF(A195&lt;=Dashboard!$F$8+Dashboard!$F$7,"Repayment","Closed"))</x:f>
        <x:v>Repayment</x:v>
      </x:c>
      <x:c r="C195" s="32" t="n">
        <x:f>IF(A195=1,Dashboard!$B$6,IF(B195="Holiday",J194,L194))</x:f>
        <x:v>2349500</x:v>
      </x:c>
      <x:c r="D195" s="32" t="n">
        <x:f>IF(A195=1,0,IF(B195="Holiday",K194,0))</x:f>
        <x:v>0</x:v>
      </x:c>
      <x:c r="E195" s="32" t="n">
        <x:f>C195+D195</x:f>
        <x:v>2349500</x:v>
      </x:c>
      <x:c r="F195" s="32">
        <x:f>IF(B195="Holiday",IF(Dashboard!$B$14="Principal Only",MIN(Dashboard!$B$15,C195),0),0)</x:f>
      </x:c>
      <x:c r="G195" s="32" t="n">
        <x:f>IF(B195="Closed",0,IF(B195="Holiday",IF(Dashboard!$B$14="Interest Only",C195*Dashboard!$F$6,MAX(0,(C195-F195)*Dashboard!$F$6)),E195*Dashboard!$F$6))</x:f>
        <x:v>17621.25</x:v>
      </x:c>
      <x:c r="H195" s="32" t="n">
        <x:f>IF(B195="Holiday",IF(Dashboard!$B$14="Interest Only",G195,F195),IF(B195="Closed",0,MIN(Dashboard!$F$10,E195+G195)))</x:f>
        <x:v>0</x:v>
      </x:c>
      <x:c r="I195" s="32" t="n">
        <x:f>IF(B195="Holiday",F195,IF(B195="Closed",0,MAX(0,H195-G195)))</x:f>
        <x:v>0</x:v>
      </x:c>
      <x:c r="J195" s="32" t="n">
        <x:f>IF(B195="Holiday",MAX(0,C195-F195),IF(B195="Closed",0,MAX(0,E195-I195)))</x:f>
        <x:v>2349500</x:v>
      </x:c>
      <x:c r="K195" s="32" t="n">
        <x:f>IF(B195="Holiday",IF(Dashboard!$B$14="Interest Only",D195,D195+G195),0)</x:f>
        <x:v>0</x:v>
      </x:c>
      <x:c r="L195" s="32" t="n">
        <x:f>J195+K195</x:f>
        <x:v>2349500</x:v>
      </x:c>
      <x:c r="M195" s="32" t="n">
        <x:f>IF(A195=1,H195,M194+H195)</x:f>
        <x:v>0</x:v>
      </x:c>
      <x:c r="N195" s="32" t="n">
        <x:f>IF(A195=1,I195,N194+I195)</x:f>
        <x:v>0</x:v>
      </x:c>
      <x:c r="O195" s="32" t="n">
        <x:f>IF(A195=1,G195,O194+G195)</x:f>
        <x:v>3283657.5</x:v>
      </x:c>
      <x:c r="P195" s="37" t="n">
        <x:f>EDATE(Dashboard!$B$10,A195)</x:f>
        <x:v>50922</x:v>
      </x:c>
    </x:row>
    <x:row r="196">
      <x:c r="A196" s="33" t="n">
        <x:v>195</x:v>
      </x:c>
      <x:c r="B196" s="33" t="str">
        <x:f>IF(A196&lt;=Dashboard!$F$8,"Holiday",IF(A196&lt;=Dashboard!$F$8+Dashboard!$F$7,"Repayment","Closed"))</x:f>
        <x:v>Repayment</x:v>
      </x:c>
      <x:c r="C196" s="32" t="n">
        <x:f>IF(A196=1,Dashboard!$B$6,IF(B196="Holiday",J195,L195))</x:f>
        <x:v>2349500</x:v>
      </x:c>
      <x:c r="D196" s="32" t="n">
        <x:f>IF(A196=1,0,IF(B196="Holiday",K195,0))</x:f>
        <x:v>0</x:v>
      </x:c>
      <x:c r="E196" s="32" t="n">
        <x:f>C196+D196</x:f>
        <x:v>2349500</x:v>
      </x:c>
      <x:c r="F196" s="32">
        <x:f>IF(B196="Holiday",IF(Dashboard!$B$14="Principal Only",MIN(Dashboard!$B$15,C196),0),0)</x:f>
      </x:c>
      <x:c r="G196" s="32" t="n">
        <x:f>IF(B196="Closed",0,IF(B196="Holiday",IF(Dashboard!$B$14="Interest Only",C196*Dashboard!$F$6,MAX(0,(C196-F196)*Dashboard!$F$6)),E196*Dashboard!$F$6))</x:f>
        <x:v>17621.25</x:v>
      </x:c>
      <x:c r="H196" s="32" t="n">
        <x:f>IF(B196="Holiday",IF(Dashboard!$B$14="Interest Only",G196,F196),IF(B196="Closed",0,MIN(Dashboard!$F$10,E196+G196)))</x:f>
        <x:v>0</x:v>
      </x:c>
      <x:c r="I196" s="32" t="n">
        <x:f>IF(B196="Holiday",F196,IF(B196="Closed",0,MAX(0,H196-G196)))</x:f>
        <x:v>0</x:v>
      </x:c>
      <x:c r="J196" s="32" t="n">
        <x:f>IF(B196="Holiday",MAX(0,C196-F196),IF(B196="Closed",0,MAX(0,E196-I196)))</x:f>
        <x:v>2349500</x:v>
      </x:c>
      <x:c r="K196" s="32" t="n">
        <x:f>IF(B196="Holiday",IF(Dashboard!$B$14="Interest Only",D196,D196+G196),0)</x:f>
        <x:v>0</x:v>
      </x:c>
      <x:c r="L196" s="32" t="n">
        <x:f>J196+K196</x:f>
        <x:v>2349500</x:v>
      </x:c>
      <x:c r="M196" s="32" t="n">
        <x:f>IF(A196=1,H196,M195+H196)</x:f>
        <x:v>0</x:v>
      </x:c>
      <x:c r="N196" s="32" t="n">
        <x:f>IF(A196=1,I196,N195+I196)</x:f>
        <x:v>0</x:v>
      </x:c>
      <x:c r="O196" s="32" t="n">
        <x:f>IF(A196=1,G196,O195+G196)</x:f>
        <x:v>3301278.75</x:v>
      </x:c>
      <x:c r="P196" s="37" t="n">
        <x:f>EDATE(Dashboard!$B$10,A196)</x:f>
        <x:v>50952</x:v>
      </x:c>
    </x:row>
    <x:row r="197">
      <x:c r="A197" s="33" t="n">
        <x:v>196</x:v>
      </x:c>
      <x:c r="B197" s="33" t="str">
        <x:f>IF(A197&lt;=Dashboard!$F$8,"Holiday",IF(A197&lt;=Dashboard!$F$8+Dashboard!$F$7,"Repayment","Closed"))</x:f>
        <x:v>Repayment</x:v>
      </x:c>
      <x:c r="C197" s="32" t="n">
        <x:f>IF(A197=1,Dashboard!$B$6,IF(B197="Holiday",J196,L196))</x:f>
        <x:v>2349500</x:v>
      </x:c>
      <x:c r="D197" s="32" t="n">
        <x:f>IF(A197=1,0,IF(B197="Holiday",K196,0))</x:f>
        <x:v>0</x:v>
      </x:c>
      <x:c r="E197" s="32" t="n">
        <x:f>C197+D197</x:f>
        <x:v>2349500</x:v>
      </x:c>
      <x:c r="F197" s="32">
        <x:f>IF(B197="Holiday",IF(Dashboard!$B$14="Principal Only",MIN(Dashboard!$B$15,C197),0),0)</x:f>
      </x:c>
      <x:c r="G197" s="32" t="n">
        <x:f>IF(B197="Closed",0,IF(B197="Holiday",IF(Dashboard!$B$14="Interest Only",C197*Dashboard!$F$6,MAX(0,(C197-F197)*Dashboard!$F$6)),E197*Dashboard!$F$6))</x:f>
        <x:v>17621.25</x:v>
      </x:c>
      <x:c r="H197" s="32" t="n">
        <x:f>IF(B197="Holiday",IF(Dashboard!$B$14="Interest Only",G197,F197),IF(B197="Closed",0,MIN(Dashboard!$F$10,E197+G197)))</x:f>
        <x:v>0</x:v>
      </x:c>
      <x:c r="I197" s="32" t="n">
        <x:f>IF(B197="Holiday",F197,IF(B197="Closed",0,MAX(0,H197-G197)))</x:f>
        <x:v>0</x:v>
      </x:c>
      <x:c r="J197" s="32" t="n">
        <x:f>IF(B197="Holiday",MAX(0,C197-F197),IF(B197="Closed",0,MAX(0,E197-I197)))</x:f>
        <x:v>2349500</x:v>
      </x:c>
      <x:c r="K197" s="32" t="n">
        <x:f>IF(B197="Holiday",IF(Dashboard!$B$14="Interest Only",D197,D197+G197),0)</x:f>
        <x:v>0</x:v>
      </x:c>
      <x:c r="L197" s="32" t="n">
        <x:f>J197+K197</x:f>
        <x:v>2349500</x:v>
      </x:c>
      <x:c r="M197" s="32" t="n">
        <x:f>IF(A197=1,H197,M196+H197)</x:f>
        <x:v>0</x:v>
      </x:c>
      <x:c r="N197" s="32" t="n">
        <x:f>IF(A197=1,I197,N196+I197)</x:f>
        <x:v>0</x:v>
      </x:c>
      <x:c r="O197" s="32" t="n">
        <x:f>IF(A197=1,G197,O196+G197)</x:f>
        <x:v>3318900</x:v>
      </x:c>
      <x:c r="P197" s="37" t="n">
        <x:f>EDATE(Dashboard!$B$10,A197)</x:f>
        <x:v>50983</x:v>
      </x:c>
    </x:row>
    <x:row r="198">
      <x:c r="A198" s="33" t="n">
        <x:v>197</x:v>
      </x:c>
      <x:c r="B198" s="33" t="str">
        <x:f>IF(A198&lt;=Dashboard!$F$8,"Holiday",IF(A198&lt;=Dashboard!$F$8+Dashboard!$F$7,"Repayment","Closed"))</x:f>
        <x:v>Repayment</x:v>
      </x:c>
      <x:c r="C198" s="32" t="n">
        <x:f>IF(A198=1,Dashboard!$B$6,IF(B198="Holiday",J197,L197))</x:f>
        <x:v>2349500</x:v>
      </x:c>
      <x:c r="D198" s="32" t="n">
        <x:f>IF(A198=1,0,IF(B198="Holiday",K197,0))</x:f>
        <x:v>0</x:v>
      </x:c>
      <x:c r="E198" s="32" t="n">
        <x:f>C198+D198</x:f>
        <x:v>2349500</x:v>
      </x:c>
      <x:c r="F198" s="32">
        <x:f>IF(B198="Holiday",IF(Dashboard!$B$14="Principal Only",MIN(Dashboard!$B$15,C198),0),0)</x:f>
      </x:c>
      <x:c r="G198" s="32" t="n">
        <x:f>IF(B198="Closed",0,IF(B198="Holiday",IF(Dashboard!$B$14="Interest Only",C198*Dashboard!$F$6,MAX(0,(C198-F198)*Dashboard!$F$6)),E198*Dashboard!$F$6))</x:f>
        <x:v>17621.25</x:v>
      </x:c>
      <x:c r="H198" s="32" t="n">
        <x:f>IF(B198="Holiday",IF(Dashboard!$B$14="Interest Only",G198,F198),IF(B198="Closed",0,MIN(Dashboard!$F$10,E198+G198)))</x:f>
        <x:v>0</x:v>
      </x:c>
      <x:c r="I198" s="32" t="n">
        <x:f>IF(B198="Holiday",F198,IF(B198="Closed",0,MAX(0,H198-G198)))</x:f>
        <x:v>0</x:v>
      </x:c>
      <x:c r="J198" s="32" t="n">
        <x:f>IF(B198="Holiday",MAX(0,C198-F198),IF(B198="Closed",0,MAX(0,E198-I198)))</x:f>
        <x:v>2349500</x:v>
      </x:c>
      <x:c r="K198" s="32" t="n">
        <x:f>IF(B198="Holiday",IF(Dashboard!$B$14="Interest Only",D198,D198+G198),0)</x:f>
        <x:v>0</x:v>
      </x:c>
      <x:c r="L198" s="32" t="n">
        <x:f>J198+K198</x:f>
        <x:v>2349500</x:v>
      </x:c>
      <x:c r="M198" s="32" t="n">
        <x:f>IF(A198=1,H198,M197+H198)</x:f>
        <x:v>0</x:v>
      </x:c>
      <x:c r="N198" s="32" t="n">
        <x:f>IF(A198=1,I198,N197+I198)</x:f>
        <x:v>0</x:v>
      </x:c>
      <x:c r="O198" s="32" t="n">
        <x:f>IF(A198=1,G198,O197+G198)</x:f>
        <x:v>3336521.25</x:v>
      </x:c>
      <x:c r="P198" s="37" t="n">
        <x:f>EDATE(Dashboard!$B$10,A198)</x:f>
        <x:v>51014</x:v>
      </x:c>
    </x:row>
    <x:row r="199">
      <x:c r="A199" s="33" t="n">
        <x:v>198</x:v>
      </x:c>
      <x:c r="B199" s="33" t="str">
        <x:f>IF(A199&lt;=Dashboard!$F$8,"Holiday",IF(A199&lt;=Dashboard!$F$8+Dashboard!$F$7,"Repayment","Closed"))</x:f>
        <x:v>Repayment</x:v>
      </x:c>
      <x:c r="C199" s="32" t="n">
        <x:f>IF(A199=1,Dashboard!$B$6,IF(B199="Holiday",J198,L198))</x:f>
        <x:v>2349500</x:v>
      </x:c>
      <x:c r="D199" s="32" t="n">
        <x:f>IF(A199=1,0,IF(B199="Holiday",K198,0))</x:f>
        <x:v>0</x:v>
      </x:c>
      <x:c r="E199" s="32" t="n">
        <x:f>C199+D199</x:f>
        <x:v>2349500</x:v>
      </x:c>
      <x:c r="F199" s="32">
        <x:f>IF(B199="Holiday",IF(Dashboard!$B$14="Principal Only",MIN(Dashboard!$B$15,C199),0),0)</x:f>
      </x:c>
      <x:c r="G199" s="32" t="n">
        <x:f>IF(B199="Closed",0,IF(B199="Holiday",IF(Dashboard!$B$14="Interest Only",C199*Dashboard!$F$6,MAX(0,(C199-F199)*Dashboard!$F$6)),E199*Dashboard!$F$6))</x:f>
        <x:v>17621.25</x:v>
      </x:c>
      <x:c r="H199" s="32" t="n">
        <x:f>IF(B199="Holiday",IF(Dashboard!$B$14="Interest Only",G199,F199),IF(B199="Closed",0,MIN(Dashboard!$F$10,E199+G199)))</x:f>
        <x:v>0</x:v>
      </x:c>
      <x:c r="I199" s="32" t="n">
        <x:f>IF(B199="Holiday",F199,IF(B199="Closed",0,MAX(0,H199-G199)))</x:f>
        <x:v>0</x:v>
      </x:c>
      <x:c r="J199" s="32" t="n">
        <x:f>IF(B199="Holiday",MAX(0,C199-F199),IF(B199="Closed",0,MAX(0,E199-I199)))</x:f>
        <x:v>2349500</x:v>
      </x:c>
      <x:c r="K199" s="32" t="n">
        <x:f>IF(B199="Holiday",IF(Dashboard!$B$14="Interest Only",D199,D199+G199),0)</x:f>
        <x:v>0</x:v>
      </x:c>
      <x:c r="L199" s="32" t="n">
        <x:f>J199+K199</x:f>
        <x:v>2349500</x:v>
      </x:c>
      <x:c r="M199" s="32" t="n">
        <x:f>IF(A199=1,H199,M198+H199)</x:f>
        <x:v>0</x:v>
      </x:c>
      <x:c r="N199" s="32" t="n">
        <x:f>IF(A199=1,I199,N198+I199)</x:f>
        <x:v>0</x:v>
      </x:c>
      <x:c r="O199" s="32" t="n">
        <x:f>IF(A199=1,G199,O198+G199)</x:f>
        <x:v>3354142.5</x:v>
      </x:c>
      <x:c r="P199" s="37" t="n">
        <x:f>EDATE(Dashboard!$B$10,A199)</x:f>
        <x:v>51044</x:v>
      </x:c>
    </x:row>
    <x:row r="200">
      <x:c r="A200" s="33" t="n">
        <x:v>199</x:v>
      </x:c>
      <x:c r="B200" s="33" t="str">
        <x:f>IF(A200&lt;=Dashboard!$F$8,"Holiday",IF(A200&lt;=Dashboard!$F$8+Dashboard!$F$7,"Repayment","Closed"))</x:f>
        <x:v>Repayment</x:v>
      </x:c>
      <x:c r="C200" s="32" t="n">
        <x:f>IF(A200=1,Dashboard!$B$6,IF(B200="Holiday",J199,L199))</x:f>
        <x:v>2349500</x:v>
      </x:c>
      <x:c r="D200" s="32" t="n">
        <x:f>IF(A200=1,0,IF(B200="Holiday",K199,0))</x:f>
        <x:v>0</x:v>
      </x:c>
      <x:c r="E200" s="32" t="n">
        <x:f>C200+D200</x:f>
        <x:v>2349500</x:v>
      </x:c>
      <x:c r="F200" s="32">
        <x:f>IF(B200="Holiday",IF(Dashboard!$B$14="Principal Only",MIN(Dashboard!$B$15,C200),0),0)</x:f>
      </x:c>
      <x:c r="G200" s="32" t="n">
        <x:f>IF(B200="Closed",0,IF(B200="Holiday",IF(Dashboard!$B$14="Interest Only",C200*Dashboard!$F$6,MAX(0,(C200-F200)*Dashboard!$F$6)),E200*Dashboard!$F$6))</x:f>
        <x:v>17621.25</x:v>
      </x:c>
      <x:c r="H200" s="32" t="n">
        <x:f>IF(B200="Holiday",IF(Dashboard!$B$14="Interest Only",G200,F200),IF(B200="Closed",0,MIN(Dashboard!$F$10,E200+G200)))</x:f>
        <x:v>0</x:v>
      </x:c>
      <x:c r="I200" s="32" t="n">
        <x:f>IF(B200="Holiday",F200,IF(B200="Closed",0,MAX(0,H200-G200)))</x:f>
        <x:v>0</x:v>
      </x:c>
      <x:c r="J200" s="32" t="n">
        <x:f>IF(B200="Holiday",MAX(0,C200-F200),IF(B200="Closed",0,MAX(0,E200-I200)))</x:f>
        <x:v>2349500</x:v>
      </x:c>
      <x:c r="K200" s="32" t="n">
        <x:f>IF(B200="Holiday",IF(Dashboard!$B$14="Interest Only",D200,D200+G200),0)</x:f>
        <x:v>0</x:v>
      </x:c>
      <x:c r="L200" s="32" t="n">
        <x:f>J200+K200</x:f>
        <x:v>2349500</x:v>
      </x:c>
      <x:c r="M200" s="32" t="n">
        <x:f>IF(A200=1,H200,M199+H200)</x:f>
        <x:v>0</x:v>
      </x:c>
      <x:c r="N200" s="32" t="n">
        <x:f>IF(A200=1,I200,N199+I200)</x:f>
        <x:v>0</x:v>
      </x:c>
      <x:c r="O200" s="32" t="n">
        <x:f>IF(A200=1,G200,O199+G200)</x:f>
        <x:v>3371763.75</x:v>
      </x:c>
      <x:c r="P200" s="37" t="n">
        <x:f>EDATE(Dashboard!$B$10,A200)</x:f>
        <x:v>51075</x:v>
      </x:c>
    </x:row>
    <x:row r="201">
      <x:c r="A201" s="33" t="n">
        <x:v>200</x:v>
      </x:c>
      <x:c r="B201" s="33" t="str">
        <x:f>IF(A201&lt;=Dashboard!$F$8,"Holiday",IF(A201&lt;=Dashboard!$F$8+Dashboard!$F$7,"Repayment","Closed"))</x:f>
        <x:v>Repayment</x:v>
      </x:c>
      <x:c r="C201" s="32" t="n">
        <x:f>IF(A201=1,Dashboard!$B$6,IF(B201="Holiday",J200,L200))</x:f>
        <x:v>2349500</x:v>
      </x:c>
      <x:c r="D201" s="32" t="n">
        <x:f>IF(A201=1,0,IF(B201="Holiday",K200,0))</x:f>
        <x:v>0</x:v>
      </x:c>
      <x:c r="E201" s="32" t="n">
        <x:f>C201+D201</x:f>
        <x:v>2349500</x:v>
      </x:c>
      <x:c r="F201" s="32">
        <x:f>IF(B201="Holiday",IF(Dashboard!$B$14="Principal Only",MIN(Dashboard!$B$15,C201),0),0)</x:f>
      </x:c>
      <x:c r="G201" s="32" t="n">
        <x:f>IF(B201="Closed",0,IF(B201="Holiday",IF(Dashboard!$B$14="Interest Only",C201*Dashboard!$F$6,MAX(0,(C201-F201)*Dashboard!$F$6)),E201*Dashboard!$F$6))</x:f>
        <x:v>17621.25</x:v>
      </x:c>
      <x:c r="H201" s="32" t="n">
        <x:f>IF(B201="Holiday",IF(Dashboard!$B$14="Interest Only",G201,F201),IF(B201="Closed",0,MIN(Dashboard!$F$10,E201+G201)))</x:f>
        <x:v>0</x:v>
      </x:c>
      <x:c r="I201" s="32" t="n">
        <x:f>IF(B201="Holiday",F201,IF(B201="Closed",0,MAX(0,H201-G201)))</x:f>
        <x:v>0</x:v>
      </x:c>
      <x:c r="J201" s="32" t="n">
        <x:f>IF(B201="Holiday",MAX(0,C201-F201),IF(B201="Closed",0,MAX(0,E201-I201)))</x:f>
        <x:v>2349500</x:v>
      </x:c>
      <x:c r="K201" s="32" t="n">
        <x:f>IF(B201="Holiday",IF(Dashboard!$B$14="Interest Only",D201,D201+G201),0)</x:f>
        <x:v>0</x:v>
      </x:c>
      <x:c r="L201" s="32" t="n">
        <x:f>J201+K201</x:f>
        <x:v>2349500</x:v>
      </x:c>
      <x:c r="M201" s="32" t="n">
        <x:f>IF(A201=1,H201,M200+H201)</x:f>
        <x:v>0</x:v>
      </x:c>
      <x:c r="N201" s="32" t="n">
        <x:f>IF(A201=1,I201,N200+I201)</x:f>
        <x:v>0</x:v>
      </x:c>
      <x:c r="O201" s="32" t="n">
        <x:f>IF(A201=1,G201,O200+G201)</x:f>
        <x:v>3389385</x:v>
      </x:c>
      <x:c r="P201" s="37" t="n">
        <x:f>EDATE(Dashboard!$B$10,A201)</x:f>
        <x:v>51105</x:v>
      </x:c>
    </x:row>
    <x:row r="202">
      <x:c r="A202" s="33" t="n">
        <x:v>201</x:v>
      </x:c>
      <x:c r="B202" s="33" t="str">
        <x:f>IF(A202&lt;=Dashboard!$F$8,"Holiday",IF(A202&lt;=Dashboard!$F$8+Dashboard!$F$7,"Repayment","Closed"))</x:f>
        <x:v>Repayment</x:v>
      </x:c>
      <x:c r="C202" s="32" t="n">
        <x:f>IF(A202=1,Dashboard!$B$6,IF(B202="Holiday",J201,L201))</x:f>
        <x:v>2349500</x:v>
      </x:c>
      <x:c r="D202" s="32" t="n">
        <x:f>IF(A202=1,0,IF(B202="Holiday",K201,0))</x:f>
        <x:v>0</x:v>
      </x:c>
      <x:c r="E202" s="32" t="n">
        <x:f>C202+D202</x:f>
        <x:v>2349500</x:v>
      </x:c>
      <x:c r="F202" s="32">
        <x:f>IF(B202="Holiday",IF(Dashboard!$B$14="Principal Only",MIN(Dashboard!$B$15,C202),0),0)</x:f>
      </x:c>
      <x:c r="G202" s="32" t="n">
        <x:f>IF(B202="Closed",0,IF(B202="Holiday",IF(Dashboard!$B$14="Interest Only",C202*Dashboard!$F$6,MAX(0,(C202-F202)*Dashboard!$F$6)),E202*Dashboard!$F$6))</x:f>
        <x:v>17621.25</x:v>
      </x:c>
      <x:c r="H202" s="32" t="n">
        <x:f>IF(B202="Holiday",IF(Dashboard!$B$14="Interest Only",G202,F202),IF(B202="Closed",0,MIN(Dashboard!$F$10,E202+G202)))</x:f>
        <x:v>0</x:v>
      </x:c>
      <x:c r="I202" s="32" t="n">
        <x:f>IF(B202="Holiday",F202,IF(B202="Closed",0,MAX(0,H202-G202)))</x:f>
        <x:v>0</x:v>
      </x:c>
      <x:c r="J202" s="32" t="n">
        <x:f>IF(B202="Holiday",MAX(0,C202-F202),IF(B202="Closed",0,MAX(0,E202-I202)))</x:f>
        <x:v>2349500</x:v>
      </x:c>
      <x:c r="K202" s="32" t="n">
        <x:f>IF(B202="Holiday",IF(Dashboard!$B$14="Interest Only",D202,D202+G202),0)</x:f>
        <x:v>0</x:v>
      </x:c>
      <x:c r="L202" s="32" t="n">
        <x:f>J202+K202</x:f>
        <x:v>2349500</x:v>
      </x:c>
      <x:c r="M202" s="32" t="n">
        <x:f>IF(A202=1,H202,M201+H202)</x:f>
        <x:v>0</x:v>
      </x:c>
      <x:c r="N202" s="32" t="n">
        <x:f>IF(A202=1,I202,N201+I202)</x:f>
        <x:v>0</x:v>
      </x:c>
      <x:c r="O202" s="32" t="n">
        <x:f>IF(A202=1,G202,O201+G202)</x:f>
        <x:v>3407006.25</x:v>
      </x:c>
      <x:c r="P202" s="37" t="n">
        <x:f>EDATE(Dashboard!$B$10,A202)</x:f>
        <x:v>51136</x:v>
      </x:c>
    </x:row>
    <x:row r="203">
      <x:c r="A203" s="33" t="n">
        <x:v>202</x:v>
      </x:c>
      <x:c r="B203" s="33" t="str">
        <x:f>IF(A203&lt;=Dashboard!$F$8,"Holiday",IF(A203&lt;=Dashboard!$F$8+Dashboard!$F$7,"Repayment","Closed"))</x:f>
        <x:v>Repayment</x:v>
      </x:c>
      <x:c r="C203" s="32" t="n">
        <x:f>IF(A203=1,Dashboard!$B$6,IF(B203="Holiday",J202,L202))</x:f>
        <x:v>2349500</x:v>
      </x:c>
      <x:c r="D203" s="32" t="n">
        <x:f>IF(A203=1,0,IF(B203="Holiday",K202,0))</x:f>
        <x:v>0</x:v>
      </x:c>
      <x:c r="E203" s="32" t="n">
        <x:f>C203+D203</x:f>
        <x:v>2349500</x:v>
      </x:c>
      <x:c r="F203" s="32">
        <x:f>IF(B203="Holiday",IF(Dashboard!$B$14="Principal Only",MIN(Dashboard!$B$15,C203),0),0)</x:f>
      </x:c>
      <x:c r="G203" s="32" t="n">
        <x:f>IF(B203="Closed",0,IF(B203="Holiday",IF(Dashboard!$B$14="Interest Only",C203*Dashboard!$F$6,MAX(0,(C203-F203)*Dashboard!$F$6)),E203*Dashboard!$F$6))</x:f>
        <x:v>17621.25</x:v>
      </x:c>
      <x:c r="H203" s="32" t="n">
        <x:f>IF(B203="Holiday",IF(Dashboard!$B$14="Interest Only",G203,F203),IF(B203="Closed",0,MIN(Dashboard!$F$10,E203+G203)))</x:f>
        <x:v>0</x:v>
      </x:c>
      <x:c r="I203" s="32" t="n">
        <x:f>IF(B203="Holiday",F203,IF(B203="Closed",0,MAX(0,H203-G203)))</x:f>
        <x:v>0</x:v>
      </x:c>
      <x:c r="J203" s="32" t="n">
        <x:f>IF(B203="Holiday",MAX(0,C203-F203),IF(B203="Closed",0,MAX(0,E203-I203)))</x:f>
        <x:v>2349500</x:v>
      </x:c>
      <x:c r="K203" s="32" t="n">
        <x:f>IF(B203="Holiday",IF(Dashboard!$B$14="Interest Only",D203,D203+G203),0)</x:f>
        <x:v>0</x:v>
      </x:c>
      <x:c r="L203" s="32" t="n">
        <x:f>J203+K203</x:f>
        <x:v>2349500</x:v>
      </x:c>
      <x:c r="M203" s="32" t="n">
        <x:f>IF(A203=1,H203,M202+H203)</x:f>
        <x:v>0</x:v>
      </x:c>
      <x:c r="N203" s="32" t="n">
        <x:f>IF(A203=1,I203,N202+I203)</x:f>
        <x:v>0</x:v>
      </x:c>
      <x:c r="O203" s="32" t="n">
        <x:f>IF(A203=1,G203,O202+G203)</x:f>
        <x:v>3424627.5</x:v>
      </x:c>
      <x:c r="P203" s="37" t="n">
        <x:f>EDATE(Dashboard!$B$10,A203)</x:f>
        <x:v>51167</x:v>
      </x:c>
    </x:row>
    <x:row r="204">
      <x:c r="A204" s="33" t="n">
        <x:v>203</x:v>
      </x:c>
      <x:c r="B204" s="33" t="str">
        <x:f>IF(A204&lt;=Dashboard!$F$8,"Holiday",IF(A204&lt;=Dashboard!$F$8+Dashboard!$F$7,"Repayment","Closed"))</x:f>
        <x:v>Repayment</x:v>
      </x:c>
      <x:c r="C204" s="32" t="n">
        <x:f>IF(A204=1,Dashboard!$B$6,IF(B204="Holiday",J203,L203))</x:f>
        <x:v>2349500</x:v>
      </x:c>
      <x:c r="D204" s="32" t="n">
        <x:f>IF(A204=1,0,IF(B204="Holiday",K203,0))</x:f>
        <x:v>0</x:v>
      </x:c>
      <x:c r="E204" s="32" t="n">
        <x:f>C204+D204</x:f>
        <x:v>2349500</x:v>
      </x:c>
      <x:c r="F204" s="32">
        <x:f>IF(B204="Holiday",IF(Dashboard!$B$14="Principal Only",MIN(Dashboard!$B$15,C204),0),0)</x:f>
      </x:c>
      <x:c r="G204" s="32" t="n">
        <x:f>IF(B204="Closed",0,IF(B204="Holiday",IF(Dashboard!$B$14="Interest Only",C204*Dashboard!$F$6,MAX(0,(C204-F204)*Dashboard!$F$6)),E204*Dashboard!$F$6))</x:f>
        <x:v>17621.25</x:v>
      </x:c>
      <x:c r="H204" s="32" t="n">
        <x:f>IF(B204="Holiday",IF(Dashboard!$B$14="Interest Only",G204,F204),IF(B204="Closed",0,MIN(Dashboard!$F$10,E204+G204)))</x:f>
        <x:v>0</x:v>
      </x:c>
      <x:c r="I204" s="32" t="n">
        <x:f>IF(B204="Holiday",F204,IF(B204="Closed",0,MAX(0,H204-G204)))</x:f>
        <x:v>0</x:v>
      </x:c>
      <x:c r="J204" s="32" t="n">
        <x:f>IF(B204="Holiday",MAX(0,C204-F204),IF(B204="Closed",0,MAX(0,E204-I204)))</x:f>
        <x:v>2349500</x:v>
      </x:c>
      <x:c r="K204" s="32" t="n">
        <x:f>IF(B204="Holiday",IF(Dashboard!$B$14="Interest Only",D204,D204+G204),0)</x:f>
        <x:v>0</x:v>
      </x:c>
      <x:c r="L204" s="32" t="n">
        <x:f>J204+K204</x:f>
        <x:v>2349500</x:v>
      </x:c>
      <x:c r="M204" s="32" t="n">
        <x:f>IF(A204=1,H204,M203+H204)</x:f>
        <x:v>0</x:v>
      </x:c>
      <x:c r="N204" s="32" t="n">
        <x:f>IF(A204=1,I204,N203+I204)</x:f>
        <x:v>0</x:v>
      </x:c>
      <x:c r="O204" s="32" t="n">
        <x:f>IF(A204=1,G204,O203+G204)</x:f>
        <x:v>3442248.75</x:v>
      </x:c>
      <x:c r="P204" s="37" t="n">
        <x:f>EDATE(Dashboard!$B$10,A204)</x:f>
        <x:v>51196</x:v>
      </x:c>
    </x:row>
    <x:row r="205">
      <x:c r="A205" s="33" t="n">
        <x:v>204</x:v>
      </x:c>
      <x:c r="B205" s="33" t="str">
        <x:f>IF(A205&lt;=Dashboard!$F$8,"Holiday",IF(A205&lt;=Dashboard!$F$8+Dashboard!$F$7,"Repayment","Closed"))</x:f>
        <x:v>Repayment</x:v>
      </x:c>
      <x:c r="C205" s="32" t="n">
        <x:f>IF(A205=1,Dashboard!$B$6,IF(B205="Holiday",J204,L204))</x:f>
        <x:v>2349500</x:v>
      </x:c>
      <x:c r="D205" s="32" t="n">
        <x:f>IF(A205=1,0,IF(B205="Holiday",K204,0))</x:f>
        <x:v>0</x:v>
      </x:c>
      <x:c r="E205" s="32" t="n">
        <x:f>C205+D205</x:f>
        <x:v>2349500</x:v>
      </x:c>
      <x:c r="F205" s="32">
        <x:f>IF(B205="Holiday",IF(Dashboard!$B$14="Principal Only",MIN(Dashboard!$B$15,C205),0),0)</x:f>
      </x:c>
      <x:c r="G205" s="32" t="n">
        <x:f>IF(B205="Closed",0,IF(B205="Holiday",IF(Dashboard!$B$14="Interest Only",C205*Dashboard!$F$6,MAX(0,(C205-F205)*Dashboard!$F$6)),E205*Dashboard!$F$6))</x:f>
        <x:v>17621.25</x:v>
      </x:c>
      <x:c r="H205" s="32" t="n">
        <x:f>IF(B205="Holiday",IF(Dashboard!$B$14="Interest Only",G205,F205),IF(B205="Closed",0,MIN(Dashboard!$F$10,E205+G205)))</x:f>
        <x:v>0</x:v>
      </x:c>
      <x:c r="I205" s="32" t="n">
        <x:f>IF(B205="Holiday",F205,IF(B205="Closed",0,MAX(0,H205-G205)))</x:f>
        <x:v>0</x:v>
      </x:c>
      <x:c r="J205" s="32" t="n">
        <x:f>IF(B205="Holiday",MAX(0,C205-F205),IF(B205="Closed",0,MAX(0,E205-I205)))</x:f>
        <x:v>2349500</x:v>
      </x:c>
      <x:c r="K205" s="32" t="n">
        <x:f>IF(B205="Holiday",IF(Dashboard!$B$14="Interest Only",D205,D205+G205),0)</x:f>
        <x:v>0</x:v>
      </x:c>
      <x:c r="L205" s="32" t="n">
        <x:f>J205+K205</x:f>
        <x:v>2349500</x:v>
      </x:c>
      <x:c r="M205" s="32" t="n">
        <x:f>IF(A205=1,H205,M204+H205)</x:f>
        <x:v>0</x:v>
      </x:c>
      <x:c r="N205" s="32" t="n">
        <x:f>IF(A205=1,I205,N204+I205)</x:f>
        <x:v>0</x:v>
      </x:c>
      <x:c r="O205" s="32" t="n">
        <x:f>IF(A205=1,G205,O204+G205)</x:f>
        <x:v>3459870</x:v>
      </x:c>
      <x:c r="P205" s="37" t="n">
        <x:f>EDATE(Dashboard!$B$10,A205)</x:f>
        <x:v>51227</x:v>
      </x:c>
    </x:row>
    <x:row r="206">
      <x:c r="A206" s="33" t="n">
        <x:v>205</x:v>
      </x:c>
      <x:c r="B206" s="33" t="str">
        <x:f>IF(A206&lt;=Dashboard!$F$8,"Holiday",IF(A206&lt;=Dashboard!$F$8+Dashboard!$F$7,"Repayment","Closed"))</x:f>
        <x:v>Repayment</x:v>
      </x:c>
      <x:c r="C206" s="32" t="n">
        <x:f>IF(A206=1,Dashboard!$B$6,IF(B206="Holiday",J205,L205))</x:f>
        <x:v>2349500</x:v>
      </x:c>
      <x:c r="D206" s="32" t="n">
        <x:f>IF(A206=1,0,IF(B206="Holiday",K205,0))</x:f>
        <x:v>0</x:v>
      </x:c>
      <x:c r="E206" s="32" t="n">
        <x:f>C206+D206</x:f>
        <x:v>2349500</x:v>
      </x:c>
      <x:c r="F206" s="32">
        <x:f>IF(B206="Holiday",IF(Dashboard!$B$14="Principal Only",MIN(Dashboard!$B$15,C206),0),0)</x:f>
      </x:c>
      <x:c r="G206" s="32" t="n">
        <x:f>IF(B206="Closed",0,IF(B206="Holiday",IF(Dashboard!$B$14="Interest Only",C206*Dashboard!$F$6,MAX(0,(C206-F206)*Dashboard!$F$6)),E206*Dashboard!$F$6))</x:f>
        <x:v>17621.25</x:v>
      </x:c>
      <x:c r="H206" s="32" t="n">
        <x:f>IF(B206="Holiday",IF(Dashboard!$B$14="Interest Only",G206,F206),IF(B206="Closed",0,MIN(Dashboard!$F$10,E206+G206)))</x:f>
        <x:v>0</x:v>
      </x:c>
      <x:c r="I206" s="32" t="n">
        <x:f>IF(B206="Holiday",F206,IF(B206="Closed",0,MAX(0,H206-G206)))</x:f>
        <x:v>0</x:v>
      </x:c>
      <x:c r="J206" s="32" t="n">
        <x:f>IF(B206="Holiday",MAX(0,C206-F206),IF(B206="Closed",0,MAX(0,E206-I206)))</x:f>
        <x:v>2349500</x:v>
      </x:c>
      <x:c r="K206" s="32" t="n">
        <x:f>IF(B206="Holiday",IF(Dashboard!$B$14="Interest Only",D206,D206+G206),0)</x:f>
        <x:v>0</x:v>
      </x:c>
      <x:c r="L206" s="32" t="n">
        <x:f>J206+K206</x:f>
        <x:v>2349500</x:v>
      </x:c>
      <x:c r="M206" s="32" t="n">
        <x:f>IF(A206=1,H206,M205+H206)</x:f>
        <x:v>0</x:v>
      </x:c>
      <x:c r="N206" s="32" t="n">
        <x:f>IF(A206=1,I206,N205+I206)</x:f>
        <x:v>0</x:v>
      </x:c>
      <x:c r="O206" s="32" t="n">
        <x:f>IF(A206=1,G206,O205+G206)</x:f>
        <x:v>3477491.25</x:v>
      </x:c>
      <x:c r="P206" s="37" t="n">
        <x:f>EDATE(Dashboard!$B$10,A206)</x:f>
        <x:v>51257</x:v>
      </x:c>
    </x:row>
    <x:row r="207">
      <x:c r="A207" s="33" t="n">
        <x:v>206</x:v>
      </x:c>
      <x:c r="B207" s="33" t="str">
        <x:f>IF(A207&lt;=Dashboard!$F$8,"Holiday",IF(A207&lt;=Dashboard!$F$8+Dashboard!$F$7,"Repayment","Closed"))</x:f>
        <x:v>Repayment</x:v>
      </x:c>
      <x:c r="C207" s="32" t="n">
        <x:f>IF(A207=1,Dashboard!$B$6,IF(B207="Holiday",J206,L206))</x:f>
        <x:v>2349500</x:v>
      </x:c>
      <x:c r="D207" s="32" t="n">
        <x:f>IF(A207=1,0,IF(B207="Holiday",K206,0))</x:f>
        <x:v>0</x:v>
      </x:c>
      <x:c r="E207" s="32" t="n">
        <x:f>C207+D207</x:f>
        <x:v>2349500</x:v>
      </x:c>
      <x:c r="F207" s="32">
        <x:f>IF(B207="Holiday",IF(Dashboard!$B$14="Principal Only",MIN(Dashboard!$B$15,C207),0),0)</x:f>
      </x:c>
      <x:c r="G207" s="32" t="n">
        <x:f>IF(B207="Closed",0,IF(B207="Holiday",IF(Dashboard!$B$14="Interest Only",C207*Dashboard!$F$6,MAX(0,(C207-F207)*Dashboard!$F$6)),E207*Dashboard!$F$6))</x:f>
        <x:v>17621.25</x:v>
      </x:c>
      <x:c r="H207" s="32" t="n">
        <x:f>IF(B207="Holiday",IF(Dashboard!$B$14="Interest Only",G207,F207),IF(B207="Closed",0,MIN(Dashboard!$F$10,E207+G207)))</x:f>
        <x:v>0</x:v>
      </x:c>
      <x:c r="I207" s="32" t="n">
        <x:f>IF(B207="Holiday",F207,IF(B207="Closed",0,MAX(0,H207-G207)))</x:f>
        <x:v>0</x:v>
      </x:c>
      <x:c r="J207" s="32" t="n">
        <x:f>IF(B207="Holiday",MAX(0,C207-F207),IF(B207="Closed",0,MAX(0,E207-I207)))</x:f>
        <x:v>2349500</x:v>
      </x:c>
      <x:c r="K207" s="32" t="n">
        <x:f>IF(B207="Holiday",IF(Dashboard!$B$14="Interest Only",D207,D207+G207),0)</x:f>
        <x:v>0</x:v>
      </x:c>
      <x:c r="L207" s="32" t="n">
        <x:f>J207+K207</x:f>
        <x:v>2349500</x:v>
      </x:c>
      <x:c r="M207" s="32" t="n">
        <x:f>IF(A207=1,H207,M206+H207)</x:f>
        <x:v>0</x:v>
      </x:c>
      <x:c r="N207" s="32" t="n">
        <x:f>IF(A207=1,I207,N206+I207)</x:f>
        <x:v>0</x:v>
      </x:c>
      <x:c r="O207" s="32" t="n">
        <x:f>IF(A207=1,G207,O206+G207)</x:f>
        <x:v>3495112.5</x:v>
      </x:c>
      <x:c r="P207" s="37" t="n">
        <x:f>EDATE(Dashboard!$B$10,A207)</x:f>
        <x:v>51288</x:v>
      </x:c>
    </x:row>
    <x:row r="208">
      <x:c r="A208" s="33" t="n">
        <x:v>207</x:v>
      </x:c>
      <x:c r="B208" s="33" t="str">
        <x:f>IF(A208&lt;=Dashboard!$F$8,"Holiday",IF(A208&lt;=Dashboard!$F$8+Dashboard!$F$7,"Repayment","Closed"))</x:f>
        <x:v>Repayment</x:v>
      </x:c>
      <x:c r="C208" s="32" t="n">
        <x:f>IF(A208=1,Dashboard!$B$6,IF(B208="Holiday",J207,L207))</x:f>
        <x:v>2349500</x:v>
      </x:c>
      <x:c r="D208" s="32" t="n">
        <x:f>IF(A208=1,0,IF(B208="Holiday",K207,0))</x:f>
        <x:v>0</x:v>
      </x:c>
      <x:c r="E208" s="32" t="n">
        <x:f>C208+D208</x:f>
        <x:v>2349500</x:v>
      </x:c>
      <x:c r="F208" s="32">
        <x:f>IF(B208="Holiday",IF(Dashboard!$B$14="Principal Only",MIN(Dashboard!$B$15,C208),0),0)</x:f>
      </x:c>
      <x:c r="G208" s="32" t="n">
        <x:f>IF(B208="Closed",0,IF(B208="Holiday",IF(Dashboard!$B$14="Interest Only",C208*Dashboard!$F$6,MAX(0,(C208-F208)*Dashboard!$F$6)),E208*Dashboard!$F$6))</x:f>
        <x:v>17621.25</x:v>
      </x:c>
      <x:c r="H208" s="32" t="n">
        <x:f>IF(B208="Holiday",IF(Dashboard!$B$14="Interest Only",G208,F208),IF(B208="Closed",0,MIN(Dashboard!$F$10,E208+G208)))</x:f>
        <x:v>0</x:v>
      </x:c>
      <x:c r="I208" s="32" t="n">
        <x:f>IF(B208="Holiday",F208,IF(B208="Closed",0,MAX(0,H208-G208)))</x:f>
        <x:v>0</x:v>
      </x:c>
      <x:c r="J208" s="32" t="n">
        <x:f>IF(B208="Holiday",MAX(0,C208-F208),IF(B208="Closed",0,MAX(0,E208-I208)))</x:f>
        <x:v>2349500</x:v>
      </x:c>
      <x:c r="K208" s="32" t="n">
        <x:f>IF(B208="Holiday",IF(Dashboard!$B$14="Interest Only",D208,D208+G208),0)</x:f>
        <x:v>0</x:v>
      </x:c>
      <x:c r="L208" s="32" t="n">
        <x:f>J208+K208</x:f>
        <x:v>2349500</x:v>
      </x:c>
      <x:c r="M208" s="32" t="n">
        <x:f>IF(A208=1,H208,M207+H208)</x:f>
        <x:v>0</x:v>
      </x:c>
      <x:c r="N208" s="32" t="n">
        <x:f>IF(A208=1,I208,N207+I208)</x:f>
        <x:v>0</x:v>
      </x:c>
      <x:c r="O208" s="32" t="n">
        <x:f>IF(A208=1,G208,O207+G208)</x:f>
        <x:v>3512733.75</x:v>
      </x:c>
      <x:c r="P208" s="37" t="n">
        <x:f>EDATE(Dashboard!$B$10,A208)</x:f>
        <x:v>51318</x:v>
      </x:c>
    </x:row>
    <x:row r="209">
      <x:c r="A209" s="33" t="n">
        <x:v>208</x:v>
      </x:c>
      <x:c r="B209" s="33" t="str">
        <x:f>IF(A209&lt;=Dashboard!$F$8,"Holiday",IF(A209&lt;=Dashboard!$F$8+Dashboard!$F$7,"Repayment","Closed"))</x:f>
        <x:v>Repayment</x:v>
      </x:c>
      <x:c r="C209" s="32" t="n">
        <x:f>IF(A209=1,Dashboard!$B$6,IF(B209="Holiday",J208,L208))</x:f>
        <x:v>2349500</x:v>
      </x:c>
      <x:c r="D209" s="32" t="n">
        <x:f>IF(A209=1,0,IF(B209="Holiday",K208,0))</x:f>
        <x:v>0</x:v>
      </x:c>
      <x:c r="E209" s="32" t="n">
        <x:f>C209+D209</x:f>
        <x:v>2349500</x:v>
      </x:c>
      <x:c r="F209" s="32">
        <x:f>IF(B209="Holiday",IF(Dashboard!$B$14="Principal Only",MIN(Dashboard!$B$15,C209),0),0)</x:f>
      </x:c>
      <x:c r="G209" s="32" t="n">
        <x:f>IF(B209="Closed",0,IF(B209="Holiday",IF(Dashboard!$B$14="Interest Only",C209*Dashboard!$F$6,MAX(0,(C209-F209)*Dashboard!$F$6)),E209*Dashboard!$F$6))</x:f>
        <x:v>17621.25</x:v>
      </x:c>
      <x:c r="H209" s="32" t="n">
        <x:f>IF(B209="Holiday",IF(Dashboard!$B$14="Interest Only",G209,F209),IF(B209="Closed",0,MIN(Dashboard!$F$10,E209+G209)))</x:f>
        <x:v>0</x:v>
      </x:c>
      <x:c r="I209" s="32" t="n">
        <x:f>IF(B209="Holiday",F209,IF(B209="Closed",0,MAX(0,H209-G209)))</x:f>
        <x:v>0</x:v>
      </x:c>
      <x:c r="J209" s="32" t="n">
        <x:f>IF(B209="Holiday",MAX(0,C209-F209),IF(B209="Closed",0,MAX(0,E209-I209)))</x:f>
        <x:v>2349500</x:v>
      </x:c>
      <x:c r="K209" s="32" t="n">
        <x:f>IF(B209="Holiday",IF(Dashboard!$B$14="Interest Only",D209,D209+G209),0)</x:f>
        <x:v>0</x:v>
      </x:c>
      <x:c r="L209" s="32" t="n">
        <x:f>J209+K209</x:f>
        <x:v>2349500</x:v>
      </x:c>
      <x:c r="M209" s="32" t="n">
        <x:f>IF(A209=1,H209,M208+H209)</x:f>
        <x:v>0</x:v>
      </x:c>
      <x:c r="N209" s="32" t="n">
        <x:f>IF(A209=1,I209,N208+I209)</x:f>
        <x:v>0</x:v>
      </x:c>
      <x:c r="O209" s="32" t="n">
        <x:f>IF(A209=1,G209,O208+G209)</x:f>
        <x:v>3530355</x:v>
      </x:c>
      <x:c r="P209" s="37" t="n">
        <x:f>EDATE(Dashboard!$B$10,A209)</x:f>
        <x:v>51349</x:v>
      </x:c>
    </x:row>
    <x:row r="210">
      <x:c r="A210" s="33" t="n">
        <x:v>209</x:v>
      </x:c>
      <x:c r="B210" s="33" t="str">
        <x:f>IF(A210&lt;=Dashboard!$F$8,"Holiday",IF(A210&lt;=Dashboard!$F$8+Dashboard!$F$7,"Repayment","Closed"))</x:f>
        <x:v>Repayment</x:v>
      </x:c>
      <x:c r="C210" s="32" t="n">
        <x:f>IF(A210=1,Dashboard!$B$6,IF(B210="Holiday",J209,L209))</x:f>
        <x:v>2349500</x:v>
      </x:c>
      <x:c r="D210" s="32" t="n">
        <x:f>IF(A210=1,0,IF(B210="Holiday",K209,0))</x:f>
        <x:v>0</x:v>
      </x:c>
      <x:c r="E210" s="32" t="n">
        <x:f>C210+D210</x:f>
        <x:v>2349500</x:v>
      </x:c>
      <x:c r="F210" s="32">
        <x:f>IF(B210="Holiday",IF(Dashboard!$B$14="Principal Only",MIN(Dashboard!$B$15,C210),0),0)</x:f>
      </x:c>
      <x:c r="G210" s="32" t="n">
        <x:f>IF(B210="Closed",0,IF(B210="Holiday",IF(Dashboard!$B$14="Interest Only",C210*Dashboard!$F$6,MAX(0,(C210-F210)*Dashboard!$F$6)),E210*Dashboard!$F$6))</x:f>
        <x:v>17621.25</x:v>
      </x:c>
      <x:c r="H210" s="32" t="n">
        <x:f>IF(B210="Holiday",IF(Dashboard!$B$14="Interest Only",G210,F210),IF(B210="Closed",0,MIN(Dashboard!$F$10,E210+G210)))</x:f>
        <x:v>0</x:v>
      </x:c>
      <x:c r="I210" s="32" t="n">
        <x:f>IF(B210="Holiday",F210,IF(B210="Closed",0,MAX(0,H210-G210)))</x:f>
        <x:v>0</x:v>
      </x:c>
      <x:c r="J210" s="32" t="n">
        <x:f>IF(B210="Holiday",MAX(0,C210-F210),IF(B210="Closed",0,MAX(0,E210-I210)))</x:f>
        <x:v>2349500</x:v>
      </x:c>
      <x:c r="K210" s="32" t="n">
        <x:f>IF(B210="Holiday",IF(Dashboard!$B$14="Interest Only",D210,D210+G210),0)</x:f>
        <x:v>0</x:v>
      </x:c>
      <x:c r="L210" s="32" t="n">
        <x:f>J210+K210</x:f>
        <x:v>2349500</x:v>
      </x:c>
      <x:c r="M210" s="32" t="n">
        <x:f>IF(A210=1,H210,M209+H210)</x:f>
        <x:v>0</x:v>
      </x:c>
      <x:c r="N210" s="32" t="n">
        <x:f>IF(A210=1,I210,N209+I210)</x:f>
        <x:v>0</x:v>
      </x:c>
      <x:c r="O210" s="32" t="n">
        <x:f>IF(A210=1,G210,O209+G210)</x:f>
        <x:v>3547976.25</x:v>
      </x:c>
      <x:c r="P210" s="37" t="n">
        <x:f>EDATE(Dashboard!$B$10,A210)</x:f>
        <x:v>51380</x:v>
      </x:c>
    </x:row>
    <x:row r="211">
      <x:c r="A211" s="33" t="n">
        <x:v>210</x:v>
      </x:c>
      <x:c r="B211" s="33" t="str">
        <x:f>IF(A211&lt;=Dashboard!$F$8,"Holiday",IF(A211&lt;=Dashboard!$F$8+Dashboard!$F$7,"Repayment","Closed"))</x:f>
        <x:v>Repayment</x:v>
      </x:c>
      <x:c r="C211" s="32" t="n">
        <x:f>IF(A211=1,Dashboard!$B$6,IF(B211="Holiday",J210,L210))</x:f>
        <x:v>2349500</x:v>
      </x:c>
      <x:c r="D211" s="32" t="n">
        <x:f>IF(A211=1,0,IF(B211="Holiday",K210,0))</x:f>
        <x:v>0</x:v>
      </x:c>
      <x:c r="E211" s="32" t="n">
        <x:f>C211+D211</x:f>
        <x:v>2349500</x:v>
      </x:c>
      <x:c r="F211" s="32">
        <x:f>IF(B211="Holiday",IF(Dashboard!$B$14="Principal Only",MIN(Dashboard!$B$15,C211),0),0)</x:f>
      </x:c>
      <x:c r="G211" s="32" t="n">
        <x:f>IF(B211="Closed",0,IF(B211="Holiday",IF(Dashboard!$B$14="Interest Only",C211*Dashboard!$F$6,MAX(0,(C211-F211)*Dashboard!$F$6)),E211*Dashboard!$F$6))</x:f>
        <x:v>17621.25</x:v>
      </x:c>
      <x:c r="H211" s="32" t="n">
        <x:f>IF(B211="Holiday",IF(Dashboard!$B$14="Interest Only",G211,F211),IF(B211="Closed",0,MIN(Dashboard!$F$10,E211+G211)))</x:f>
        <x:v>0</x:v>
      </x:c>
      <x:c r="I211" s="32" t="n">
        <x:f>IF(B211="Holiday",F211,IF(B211="Closed",0,MAX(0,H211-G211)))</x:f>
        <x:v>0</x:v>
      </x:c>
      <x:c r="J211" s="32" t="n">
        <x:f>IF(B211="Holiday",MAX(0,C211-F211),IF(B211="Closed",0,MAX(0,E211-I211)))</x:f>
        <x:v>2349500</x:v>
      </x:c>
      <x:c r="K211" s="32" t="n">
        <x:f>IF(B211="Holiday",IF(Dashboard!$B$14="Interest Only",D211,D211+G211),0)</x:f>
        <x:v>0</x:v>
      </x:c>
      <x:c r="L211" s="32" t="n">
        <x:f>J211+K211</x:f>
        <x:v>2349500</x:v>
      </x:c>
      <x:c r="M211" s="32" t="n">
        <x:f>IF(A211=1,H211,M210+H211)</x:f>
        <x:v>0</x:v>
      </x:c>
      <x:c r="N211" s="32" t="n">
        <x:f>IF(A211=1,I211,N210+I211)</x:f>
        <x:v>0</x:v>
      </x:c>
      <x:c r="O211" s="32" t="n">
        <x:f>IF(A211=1,G211,O210+G211)</x:f>
        <x:v>3565597.5</x:v>
      </x:c>
      <x:c r="P211" s="37" t="n">
        <x:f>EDATE(Dashboard!$B$10,A211)</x:f>
        <x:v>51410</x:v>
      </x:c>
    </x:row>
    <x:row r="212">
      <x:c r="A212" s="33" t="n">
        <x:v>211</x:v>
      </x:c>
      <x:c r="B212" s="33" t="str">
        <x:f>IF(A212&lt;=Dashboard!$F$8,"Holiday",IF(A212&lt;=Dashboard!$F$8+Dashboard!$F$7,"Repayment","Closed"))</x:f>
        <x:v>Repayment</x:v>
      </x:c>
      <x:c r="C212" s="32" t="n">
        <x:f>IF(A212=1,Dashboard!$B$6,IF(B212="Holiday",J211,L211))</x:f>
        <x:v>2349500</x:v>
      </x:c>
      <x:c r="D212" s="32" t="n">
        <x:f>IF(A212=1,0,IF(B212="Holiday",K211,0))</x:f>
        <x:v>0</x:v>
      </x:c>
      <x:c r="E212" s="32" t="n">
        <x:f>C212+D212</x:f>
        <x:v>2349500</x:v>
      </x:c>
      <x:c r="F212" s="32">
        <x:f>IF(B212="Holiday",IF(Dashboard!$B$14="Principal Only",MIN(Dashboard!$B$15,C212),0),0)</x:f>
      </x:c>
      <x:c r="G212" s="32" t="n">
        <x:f>IF(B212="Closed",0,IF(B212="Holiday",IF(Dashboard!$B$14="Interest Only",C212*Dashboard!$F$6,MAX(0,(C212-F212)*Dashboard!$F$6)),E212*Dashboard!$F$6))</x:f>
        <x:v>17621.25</x:v>
      </x:c>
      <x:c r="H212" s="32" t="n">
        <x:f>IF(B212="Holiday",IF(Dashboard!$B$14="Interest Only",G212,F212),IF(B212="Closed",0,MIN(Dashboard!$F$10,E212+G212)))</x:f>
        <x:v>0</x:v>
      </x:c>
      <x:c r="I212" s="32" t="n">
        <x:f>IF(B212="Holiday",F212,IF(B212="Closed",0,MAX(0,H212-G212)))</x:f>
        <x:v>0</x:v>
      </x:c>
      <x:c r="J212" s="32" t="n">
        <x:f>IF(B212="Holiday",MAX(0,C212-F212),IF(B212="Closed",0,MAX(0,E212-I212)))</x:f>
        <x:v>2349500</x:v>
      </x:c>
      <x:c r="K212" s="32" t="n">
        <x:f>IF(B212="Holiday",IF(Dashboard!$B$14="Interest Only",D212,D212+G212),0)</x:f>
        <x:v>0</x:v>
      </x:c>
      <x:c r="L212" s="32" t="n">
        <x:f>J212+K212</x:f>
        <x:v>2349500</x:v>
      </x:c>
      <x:c r="M212" s="32" t="n">
        <x:f>IF(A212=1,H212,M211+H212)</x:f>
        <x:v>0</x:v>
      </x:c>
      <x:c r="N212" s="32" t="n">
        <x:f>IF(A212=1,I212,N211+I212)</x:f>
        <x:v>0</x:v>
      </x:c>
      <x:c r="O212" s="32" t="n">
        <x:f>IF(A212=1,G212,O211+G212)</x:f>
        <x:v>3583218.75</x:v>
      </x:c>
      <x:c r="P212" s="37" t="n">
        <x:f>EDATE(Dashboard!$B$10,A212)</x:f>
        <x:v>51441</x:v>
      </x:c>
    </x:row>
    <x:row r="213">
      <x:c r="A213" s="33" t="n">
        <x:v>212</x:v>
      </x:c>
      <x:c r="B213" s="33" t="str">
        <x:f>IF(A213&lt;=Dashboard!$F$8,"Holiday",IF(A213&lt;=Dashboard!$F$8+Dashboard!$F$7,"Repayment","Closed"))</x:f>
        <x:v>Repayment</x:v>
      </x:c>
      <x:c r="C213" s="32" t="n">
        <x:f>IF(A213=1,Dashboard!$B$6,IF(B213="Holiday",J212,L212))</x:f>
        <x:v>2349500</x:v>
      </x:c>
      <x:c r="D213" s="32" t="n">
        <x:f>IF(A213=1,0,IF(B213="Holiday",K212,0))</x:f>
        <x:v>0</x:v>
      </x:c>
      <x:c r="E213" s="32" t="n">
        <x:f>C213+D213</x:f>
        <x:v>2349500</x:v>
      </x:c>
      <x:c r="F213" s="32">
        <x:f>IF(B213="Holiday",IF(Dashboard!$B$14="Principal Only",MIN(Dashboard!$B$15,C213),0),0)</x:f>
      </x:c>
      <x:c r="G213" s="32" t="n">
        <x:f>IF(B213="Closed",0,IF(B213="Holiday",IF(Dashboard!$B$14="Interest Only",C213*Dashboard!$F$6,MAX(0,(C213-F213)*Dashboard!$F$6)),E213*Dashboard!$F$6))</x:f>
        <x:v>17621.25</x:v>
      </x:c>
      <x:c r="H213" s="32" t="n">
        <x:f>IF(B213="Holiday",IF(Dashboard!$B$14="Interest Only",G213,F213),IF(B213="Closed",0,MIN(Dashboard!$F$10,E213+G213)))</x:f>
        <x:v>0</x:v>
      </x:c>
      <x:c r="I213" s="32" t="n">
        <x:f>IF(B213="Holiday",F213,IF(B213="Closed",0,MAX(0,H213-G213)))</x:f>
        <x:v>0</x:v>
      </x:c>
      <x:c r="J213" s="32" t="n">
        <x:f>IF(B213="Holiday",MAX(0,C213-F213),IF(B213="Closed",0,MAX(0,E213-I213)))</x:f>
        <x:v>2349500</x:v>
      </x:c>
      <x:c r="K213" s="32" t="n">
        <x:f>IF(B213="Holiday",IF(Dashboard!$B$14="Interest Only",D213,D213+G213),0)</x:f>
        <x:v>0</x:v>
      </x:c>
      <x:c r="L213" s="32" t="n">
        <x:f>J213+K213</x:f>
        <x:v>2349500</x:v>
      </x:c>
      <x:c r="M213" s="32" t="n">
        <x:f>IF(A213=1,H213,M212+H213)</x:f>
        <x:v>0</x:v>
      </x:c>
      <x:c r="N213" s="32" t="n">
        <x:f>IF(A213=1,I213,N212+I213)</x:f>
        <x:v>0</x:v>
      </x:c>
      <x:c r="O213" s="32" t="n">
        <x:f>IF(A213=1,G213,O212+G213)</x:f>
        <x:v>3600840</x:v>
      </x:c>
      <x:c r="P213" s="37" t="n">
        <x:f>EDATE(Dashboard!$B$10,A213)</x:f>
        <x:v>51471</x:v>
      </x:c>
    </x:row>
    <x:row r="214">
      <x:c r="A214" s="33" t="n">
        <x:v>213</x:v>
      </x:c>
      <x:c r="B214" s="33" t="str">
        <x:f>IF(A214&lt;=Dashboard!$F$8,"Holiday",IF(A214&lt;=Dashboard!$F$8+Dashboard!$F$7,"Repayment","Closed"))</x:f>
        <x:v>Repayment</x:v>
      </x:c>
      <x:c r="C214" s="32" t="n">
        <x:f>IF(A214=1,Dashboard!$B$6,IF(B214="Holiday",J213,L213))</x:f>
        <x:v>2349500</x:v>
      </x:c>
      <x:c r="D214" s="32" t="n">
        <x:f>IF(A214=1,0,IF(B214="Holiday",K213,0))</x:f>
        <x:v>0</x:v>
      </x:c>
      <x:c r="E214" s="32" t="n">
        <x:f>C214+D214</x:f>
        <x:v>2349500</x:v>
      </x:c>
      <x:c r="F214" s="32">
        <x:f>IF(B214="Holiday",IF(Dashboard!$B$14="Principal Only",MIN(Dashboard!$B$15,C214),0),0)</x:f>
      </x:c>
      <x:c r="G214" s="32" t="n">
        <x:f>IF(B214="Closed",0,IF(B214="Holiday",IF(Dashboard!$B$14="Interest Only",C214*Dashboard!$F$6,MAX(0,(C214-F214)*Dashboard!$F$6)),E214*Dashboard!$F$6))</x:f>
        <x:v>17621.25</x:v>
      </x:c>
      <x:c r="H214" s="32" t="n">
        <x:f>IF(B214="Holiday",IF(Dashboard!$B$14="Interest Only",G214,F214),IF(B214="Closed",0,MIN(Dashboard!$F$10,E214+G214)))</x:f>
        <x:v>0</x:v>
      </x:c>
      <x:c r="I214" s="32" t="n">
        <x:f>IF(B214="Holiday",F214,IF(B214="Closed",0,MAX(0,H214-G214)))</x:f>
        <x:v>0</x:v>
      </x:c>
      <x:c r="J214" s="32" t="n">
        <x:f>IF(B214="Holiday",MAX(0,C214-F214),IF(B214="Closed",0,MAX(0,E214-I214)))</x:f>
        <x:v>2349500</x:v>
      </x:c>
      <x:c r="K214" s="32" t="n">
        <x:f>IF(B214="Holiday",IF(Dashboard!$B$14="Interest Only",D214,D214+G214),0)</x:f>
        <x:v>0</x:v>
      </x:c>
      <x:c r="L214" s="32" t="n">
        <x:f>J214+K214</x:f>
        <x:v>2349500</x:v>
      </x:c>
      <x:c r="M214" s="32" t="n">
        <x:f>IF(A214=1,H214,M213+H214)</x:f>
        <x:v>0</x:v>
      </x:c>
      <x:c r="N214" s="32" t="n">
        <x:f>IF(A214=1,I214,N213+I214)</x:f>
        <x:v>0</x:v>
      </x:c>
      <x:c r="O214" s="32" t="n">
        <x:f>IF(A214=1,G214,O213+G214)</x:f>
        <x:v>3618461.25</x:v>
      </x:c>
      <x:c r="P214" s="37" t="n">
        <x:f>EDATE(Dashboard!$B$10,A214)</x:f>
        <x:v>51502</x:v>
      </x:c>
    </x:row>
    <x:row r="215">
      <x:c r="A215" s="33" t="n">
        <x:v>214</x:v>
      </x:c>
      <x:c r="B215" s="33" t="str">
        <x:f>IF(A215&lt;=Dashboard!$F$8,"Holiday",IF(A215&lt;=Dashboard!$F$8+Dashboard!$F$7,"Repayment","Closed"))</x:f>
        <x:v>Repayment</x:v>
      </x:c>
      <x:c r="C215" s="32" t="n">
        <x:f>IF(A215=1,Dashboard!$B$6,IF(B215="Holiday",J214,L214))</x:f>
        <x:v>2349500</x:v>
      </x:c>
      <x:c r="D215" s="32" t="n">
        <x:f>IF(A215=1,0,IF(B215="Holiday",K214,0))</x:f>
        <x:v>0</x:v>
      </x:c>
      <x:c r="E215" s="32" t="n">
        <x:f>C215+D215</x:f>
        <x:v>2349500</x:v>
      </x:c>
      <x:c r="F215" s="32">
        <x:f>IF(B215="Holiday",IF(Dashboard!$B$14="Principal Only",MIN(Dashboard!$B$15,C215),0),0)</x:f>
      </x:c>
      <x:c r="G215" s="32" t="n">
        <x:f>IF(B215="Closed",0,IF(B215="Holiday",IF(Dashboard!$B$14="Interest Only",C215*Dashboard!$F$6,MAX(0,(C215-F215)*Dashboard!$F$6)),E215*Dashboard!$F$6))</x:f>
        <x:v>17621.25</x:v>
      </x:c>
      <x:c r="H215" s="32" t="n">
        <x:f>IF(B215="Holiday",IF(Dashboard!$B$14="Interest Only",G215,F215),IF(B215="Closed",0,MIN(Dashboard!$F$10,E215+G215)))</x:f>
        <x:v>0</x:v>
      </x:c>
      <x:c r="I215" s="32" t="n">
        <x:f>IF(B215="Holiday",F215,IF(B215="Closed",0,MAX(0,H215-G215)))</x:f>
        <x:v>0</x:v>
      </x:c>
      <x:c r="J215" s="32" t="n">
        <x:f>IF(B215="Holiday",MAX(0,C215-F215),IF(B215="Closed",0,MAX(0,E215-I215)))</x:f>
        <x:v>2349500</x:v>
      </x:c>
      <x:c r="K215" s="32" t="n">
        <x:f>IF(B215="Holiday",IF(Dashboard!$B$14="Interest Only",D215,D215+G215),0)</x:f>
        <x:v>0</x:v>
      </x:c>
      <x:c r="L215" s="32" t="n">
        <x:f>J215+K215</x:f>
        <x:v>2349500</x:v>
      </x:c>
      <x:c r="M215" s="32" t="n">
        <x:f>IF(A215=1,H215,M214+H215)</x:f>
        <x:v>0</x:v>
      </x:c>
      <x:c r="N215" s="32" t="n">
        <x:f>IF(A215=1,I215,N214+I215)</x:f>
        <x:v>0</x:v>
      </x:c>
      <x:c r="O215" s="32" t="n">
        <x:f>IF(A215=1,G215,O214+G215)</x:f>
        <x:v>3636082.5</x:v>
      </x:c>
      <x:c r="P215" s="37" t="n">
        <x:f>EDATE(Dashboard!$B$10,A215)</x:f>
        <x:v>51533</x:v>
      </x:c>
    </x:row>
    <x:row r="216">
      <x:c r="A216" s="33" t="n">
        <x:v>215</x:v>
      </x:c>
      <x:c r="B216" s="33" t="str">
        <x:f>IF(A216&lt;=Dashboard!$F$8,"Holiday",IF(A216&lt;=Dashboard!$F$8+Dashboard!$F$7,"Repayment","Closed"))</x:f>
        <x:v>Repayment</x:v>
      </x:c>
      <x:c r="C216" s="32" t="n">
        <x:f>IF(A216=1,Dashboard!$B$6,IF(B216="Holiday",J215,L215))</x:f>
        <x:v>2349500</x:v>
      </x:c>
      <x:c r="D216" s="32" t="n">
        <x:f>IF(A216=1,0,IF(B216="Holiday",K215,0))</x:f>
        <x:v>0</x:v>
      </x:c>
      <x:c r="E216" s="32" t="n">
        <x:f>C216+D216</x:f>
        <x:v>2349500</x:v>
      </x:c>
      <x:c r="F216" s="32">
        <x:f>IF(B216="Holiday",IF(Dashboard!$B$14="Principal Only",MIN(Dashboard!$B$15,C216),0),0)</x:f>
      </x:c>
      <x:c r="G216" s="32" t="n">
        <x:f>IF(B216="Closed",0,IF(B216="Holiday",IF(Dashboard!$B$14="Interest Only",C216*Dashboard!$F$6,MAX(0,(C216-F216)*Dashboard!$F$6)),E216*Dashboard!$F$6))</x:f>
        <x:v>17621.25</x:v>
      </x:c>
      <x:c r="H216" s="32" t="n">
        <x:f>IF(B216="Holiday",IF(Dashboard!$B$14="Interest Only",G216,F216),IF(B216="Closed",0,MIN(Dashboard!$F$10,E216+G216)))</x:f>
        <x:v>0</x:v>
      </x:c>
      <x:c r="I216" s="32" t="n">
        <x:f>IF(B216="Holiday",F216,IF(B216="Closed",0,MAX(0,H216-G216)))</x:f>
        <x:v>0</x:v>
      </x:c>
      <x:c r="J216" s="32" t="n">
        <x:f>IF(B216="Holiday",MAX(0,C216-F216),IF(B216="Closed",0,MAX(0,E216-I216)))</x:f>
        <x:v>2349500</x:v>
      </x:c>
      <x:c r="K216" s="32" t="n">
        <x:f>IF(B216="Holiday",IF(Dashboard!$B$14="Interest Only",D216,D216+G216),0)</x:f>
        <x:v>0</x:v>
      </x:c>
      <x:c r="L216" s="32" t="n">
        <x:f>J216+K216</x:f>
        <x:v>2349500</x:v>
      </x:c>
      <x:c r="M216" s="32" t="n">
        <x:f>IF(A216=1,H216,M215+H216)</x:f>
        <x:v>0</x:v>
      </x:c>
      <x:c r="N216" s="32" t="n">
        <x:f>IF(A216=1,I216,N215+I216)</x:f>
        <x:v>0</x:v>
      </x:c>
      <x:c r="O216" s="32" t="n">
        <x:f>IF(A216=1,G216,O215+G216)</x:f>
        <x:v>3653703.75</x:v>
      </x:c>
      <x:c r="P216" s="37" t="n">
        <x:f>EDATE(Dashboard!$B$10,A216)</x:f>
        <x:v>51561</x:v>
      </x:c>
    </x:row>
    <x:row r="217">
      <x:c r="A217" s="33" t="n">
        <x:v>216</x:v>
      </x:c>
      <x:c r="B217" s="33" t="str">
        <x:f>IF(A217&lt;=Dashboard!$F$8,"Holiday",IF(A217&lt;=Dashboard!$F$8+Dashboard!$F$7,"Repayment","Closed"))</x:f>
        <x:v>Repayment</x:v>
      </x:c>
      <x:c r="C217" s="32" t="n">
        <x:f>IF(A217=1,Dashboard!$B$6,IF(B217="Holiday",J216,L216))</x:f>
        <x:v>2349500</x:v>
      </x:c>
      <x:c r="D217" s="32" t="n">
        <x:f>IF(A217=1,0,IF(B217="Holiday",K216,0))</x:f>
        <x:v>0</x:v>
      </x:c>
      <x:c r="E217" s="32" t="n">
        <x:f>C217+D217</x:f>
        <x:v>2349500</x:v>
      </x:c>
      <x:c r="F217" s="32">
        <x:f>IF(B217="Holiday",IF(Dashboard!$B$14="Principal Only",MIN(Dashboard!$B$15,C217),0),0)</x:f>
      </x:c>
      <x:c r="G217" s="32" t="n">
        <x:f>IF(B217="Closed",0,IF(B217="Holiday",IF(Dashboard!$B$14="Interest Only",C217*Dashboard!$F$6,MAX(0,(C217-F217)*Dashboard!$F$6)),E217*Dashboard!$F$6))</x:f>
        <x:v>17621.25</x:v>
      </x:c>
      <x:c r="H217" s="32" t="n">
        <x:f>IF(B217="Holiday",IF(Dashboard!$B$14="Interest Only",G217,F217),IF(B217="Closed",0,MIN(Dashboard!$F$10,E217+G217)))</x:f>
        <x:v>0</x:v>
      </x:c>
      <x:c r="I217" s="32" t="n">
        <x:f>IF(B217="Holiday",F217,IF(B217="Closed",0,MAX(0,H217-G217)))</x:f>
        <x:v>0</x:v>
      </x:c>
      <x:c r="J217" s="32" t="n">
        <x:f>IF(B217="Holiday",MAX(0,C217-F217),IF(B217="Closed",0,MAX(0,E217-I217)))</x:f>
        <x:v>2349500</x:v>
      </x:c>
      <x:c r="K217" s="32" t="n">
        <x:f>IF(B217="Holiday",IF(Dashboard!$B$14="Interest Only",D217,D217+G217),0)</x:f>
        <x:v>0</x:v>
      </x:c>
      <x:c r="L217" s="32" t="n">
        <x:f>J217+K217</x:f>
        <x:v>2349500</x:v>
      </x:c>
      <x:c r="M217" s="32" t="n">
        <x:f>IF(A217=1,H217,M216+H217)</x:f>
        <x:v>0</x:v>
      </x:c>
      <x:c r="N217" s="32" t="n">
        <x:f>IF(A217=1,I217,N216+I217)</x:f>
        <x:v>0</x:v>
      </x:c>
      <x:c r="O217" s="32" t="n">
        <x:f>IF(A217=1,G217,O216+G217)</x:f>
        <x:v>3671325</x:v>
      </x:c>
      <x:c r="P217" s="37" t="n">
        <x:f>EDATE(Dashboard!$B$10,A217)</x:f>
        <x:v>51592</x:v>
      </x:c>
    </x:row>
    <x:row r="218">
      <x:c r="A218" s="33" t="n">
        <x:v>217</x:v>
      </x:c>
      <x:c r="B218" s="33" t="str">
        <x:f>IF(A218&lt;=Dashboard!$F$8,"Holiday",IF(A218&lt;=Dashboard!$F$8+Dashboard!$F$7,"Repayment","Closed"))</x:f>
        <x:v>Closed</x:v>
      </x:c>
      <x:c r="C218" s="32">
        <x:f>IF(A218=1,Dashboard!$B$6,IF(B218="Holiday",J217,L217))</x:f>
      </x:c>
      <x:c r="D218" s="32">
        <x:f>IF(A218=1,0,IF(B218="Holiday",K217,0))</x:f>
      </x:c>
      <x:c r="E218" s="32">
        <x:f>C218+D218</x:f>
      </x:c>
      <x:c r="F218" s="32">
        <x:f>IF(B218="Holiday",IF(Dashboard!$B$14="Principal Only",MIN(Dashboard!$B$15,C218),0),0)</x:f>
      </x:c>
      <x:c r="G218" s="32" t="n">
        <x:f>IF(B218="Closed",0,IF(B218="Holiday",IF(Dashboard!$B$14="Interest Only",C218*Dashboard!$F$6,MAX(0,(C218-F218)*Dashboard!$F$6)),E218*Dashboard!$F$6))</x:f>
        <x:v>0</x:v>
      </x:c>
      <x:c r="H218" s="32" t="n">
        <x:f>IF(B218="Holiday",IF(Dashboard!$B$14="Interest Only",G218,F218),IF(B218="Closed",0,MIN(Dashboard!$F$10,E218+G218)))</x:f>
        <x:v>0</x:v>
      </x:c>
      <x:c r="I218" s="32" t="n">
        <x:f>IF(B218="Holiday",F218,IF(B218="Closed",0,MAX(0,H218-G218)))</x:f>
        <x:v>0</x:v>
      </x:c>
      <x:c r="J218" s="32" t="n">
        <x:f>IF(B218="Holiday",MAX(0,C218-F218),IF(B218="Closed",0,MAX(0,E218-I218)))</x:f>
        <x:v>0</x:v>
      </x:c>
      <x:c r="K218" s="32" t="n">
        <x:f>IF(B218="Holiday",IF(Dashboard!$B$14="Interest Only",D218,D218+G218),0)</x:f>
        <x:v>0</x:v>
      </x:c>
      <x:c r="L218" s="32" t="n">
        <x:f>J218+K218</x:f>
        <x:v>0</x:v>
      </x:c>
      <x:c r="M218" s="32" t="n">
        <x:f>IF(A218=1,H218,M217+H218)</x:f>
        <x:v>0</x:v>
      </x:c>
      <x:c r="N218" s="32" t="n">
        <x:f>IF(A218=1,I218,N217+I218)</x:f>
        <x:v>0</x:v>
      </x:c>
      <x:c r="O218" s="32" t="n">
        <x:f>IF(A218=1,G218,O217+G218)</x:f>
        <x:v>3671325</x:v>
      </x:c>
      <x:c r="P218" s="37" t="n">
        <x:f>EDATE(Dashboard!$B$10,A218)</x:f>
        <x:v>51622</x:v>
      </x:c>
    </x:row>
    <x:row r="219">
      <x:c r="A219" s="33" t="n">
        <x:v>218</x:v>
      </x:c>
      <x:c r="B219" s="33" t="str">
        <x:f>IF(A219&lt;=Dashboard!$F$8,"Holiday",IF(A219&lt;=Dashboard!$F$8+Dashboard!$F$7,"Repayment","Closed"))</x:f>
        <x:v>Closed</x:v>
      </x:c>
      <x:c r="C219" s="32">
        <x:f>IF(A219=1,Dashboard!$B$6,IF(B219="Holiday",J218,L218))</x:f>
      </x:c>
      <x:c r="D219" s="32">
        <x:f>IF(A219=1,0,IF(B219="Holiday",K218,0))</x:f>
      </x:c>
      <x:c r="E219" s="32">
        <x:f>C219+D219</x:f>
      </x:c>
      <x:c r="F219" s="32">
        <x:f>IF(B219="Holiday",IF(Dashboard!$B$14="Principal Only",MIN(Dashboard!$B$15,C219),0),0)</x:f>
      </x:c>
      <x:c r="G219" s="32" t="n">
        <x:f>IF(B219="Closed",0,IF(B219="Holiday",IF(Dashboard!$B$14="Interest Only",C219*Dashboard!$F$6,MAX(0,(C219-F219)*Dashboard!$F$6)),E219*Dashboard!$F$6))</x:f>
        <x:v>0</x:v>
      </x:c>
      <x:c r="H219" s="32" t="n">
        <x:f>IF(B219="Holiday",IF(Dashboard!$B$14="Interest Only",G219,F219),IF(B219="Closed",0,MIN(Dashboard!$F$10,E219+G219)))</x:f>
        <x:v>0</x:v>
      </x:c>
      <x:c r="I219" s="32" t="n">
        <x:f>IF(B219="Holiday",F219,IF(B219="Closed",0,MAX(0,H219-G219)))</x:f>
        <x:v>0</x:v>
      </x:c>
      <x:c r="J219" s="32" t="n">
        <x:f>IF(B219="Holiday",MAX(0,C219-F219),IF(B219="Closed",0,MAX(0,E219-I219)))</x:f>
        <x:v>0</x:v>
      </x:c>
      <x:c r="K219" s="32" t="n">
        <x:f>IF(B219="Holiday",IF(Dashboard!$B$14="Interest Only",D219,D219+G219),0)</x:f>
        <x:v>0</x:v>
      </x:c>
      <x:c r="L219" s="32" t="n">
        <x:f>J219+K219</x:f>
        <x:v>0</x:v>
      </x:c>
      <x:c r="M219" s="32" t="n">
        <x:f>IF(A219=1,H219,M218+H219)</x:f>
        <x:v>0</x:v>
      </x:c>
      <x:c r="N219" s="32" t="n">
        <x:f>IF(A219=1,I219,N218+I219)</x:f>
        <x:v>0</x:v>
      </x:c>
      <x:c r="O219" s="32" t="n">
        <x:f>IF(A219=1,G219,O218+G219)</x:f>
        <x:v>3671325</x:v>
      </x:c>
      <x:c r="P219" s="37" t="n">
        <x:f>EDATE(Dashboard!$B$10,A219)</x:f>
        <x:v>51653</x:v>
      </x:c>
    </x:row>
    <x:row r="220">
      <x:c r="A220" s="33" t="n">
        <x:v>219</x:v>
      </x:c>
      <x:c r="B220" s="33" t="str">
        <x:f>IF(A220&lt;=Dashboard!$F$8,"Holiday",IF(A220&lt;=Dashboard!$F$8+Dashboard!$F$7,"Repayment","Closed"))</x:f>
        <x:v>Closed</x:v>
      </x:c>
      <x:c r="C220" s="32">
        <x:f>IF(A220=1,Dashboard!$B$6,IF(B220="Holiday",J219,L219))</x:f>
      </x:c>
      <x:c r="D220" s="32">
        <x:f>IF(A220=1,0,IF(B220="Holiday",K219,0))</x:f>
      </x:c>
      <x:c r="E220" s="32">
        <x:f>C220+D220</x:f>
      </x:c>
      <x:c r="F220" s="32">
        <x:f>IF(B220="Holiday",IF(Dashboard!$B$14="Principal Only",MIN(Dashboard!$B$15,C220),0),0)</x:f>
      </x:c>
      <x:c r="G220" s="32" t="n">
        <x:f>IF(B220="Closed",0,IF(B220="Holiday",IF(Dashboard!$B$14="Interest Only",C220*Dashboard!$F$6,MAX(0,(C220-F220)*Dashboard!$F$6)),E220*Dashboard!$F$6))</x:f>
        <x:v>0</x:v>
      </x:c>
      <x:c r="H220" s="32" t="n">
        <x:f>IF(B220="Holiday",IF(Dashboard!$B$14="Interest Only",G220,F220),IF(B220="Closed",0,MIN(Dashboard!$F$10,E220+G220)))</x:f>
        <x:v>0</x:v>
      </x:c>
      <x:c r="I220" s="32" t="n">
        <x:f>IF(B220="Holiday",F220,IF(B220="Closed",0,MAX(0,H220-G220)))</x:f>
        <x:v>0</x:v>
      </x:c>
      <x:c r="J220" s="32" t="n">
        <x:f>IF(B220="Holiday",MAX(0,C220-F220),IF(B220="Closed",0,MAX(0,E220-I220)))</x:f>
        <x:v>0</x:v>
      </x:c>
      <x:c r="K220" s="32" t="n">
        <x:f>IF(B220="Holiday",IF(Dashboard!$B$14="Interest Only",D220,D220+G220),0)</x:f>
        <x:v>0</x:v>
      </x:c>
      <x:c r="L220" s="32" t="n">
        <x:f>J220+K220</x:f>
        <x:v>0</x:v>
      </x:c>
      <x:c r="M220" s="32" t="n">
        <x:f>IF(A220=1,H220,M219+H220)</x:f>
        <x:v>0</x:v>
      </x:c>
      <x:c r="N220" s="32" t="n">
        <x:f>IF(A220=1,I220,N219+I220)</x:f>
        <x:v>0</x:v>
      </x:c>
      <x:c r="O220" s="32" t="n">
        <x:f>IF(A220=1,G220,O219+G220)</x:f>
        <x:v>3671325</x:v>
      </x:c>
      <x:c r="P220" s="37" t="n">
        <x:f>EDATE(Dashboard!$B$10,A220)</x:f>
        <x:v>51683</x:v>
      </x:c>
    </x:row>
    <x:row r="221">
      <x:c r="A221" s="33" t="n">
        <x:v>220</x:v>
      </x:c>
      <x:c r="B221" s="33" t="str">
        <x:f>IF(A221&lt;=Dashboard!$F$8,"Holiday",IF(A221&lt;=Dashboard!$F$8+Dashboard!$F$7,"Repayment","Closed"))</x:f>
        <x:v>Closed</x:v>
      </x:c>
      <x:c r="C221" s="32">
        <x:f>IF(A221=1,Dashboard!$B$6,IF(B221="Holiday",J220,L220))</x:f>
      </x:c>
      <x:c r="D221" s="32">
        <x:f>IF(A221=1,0,IF(B221="Holiday",K220,0))</x:f>
      </x:c>
      <x:c r="E221" s="32">
        <x:f>C221+D221</x:f>
      </x:c>
      <x:c r="F221" s="32">
        <x:f>IF(B221="Holiday",IF(Dashboard!$B$14="Principal Only",MIN(Dashboard!$B$15,C221),0),0)</x:f>
      </x:c>
      <x:c r="G221" s="32" t="n">
        <x:f>IF(B221="Closed",0,IF(B221="Holiday",IF(Dashboard!$B$14="Interest Only",C221*Dashboard!$F$6,MAX(0,(C221-F221)*Dashboard!$F$6)),E221*Dashboard!$F$6))</x:f>
        <x:v>0</x:v>
      </x:c>
      <x:c r="H221" s="32" t="n">
        <x:f>IF(B221="Holiday",IF(Dashboard!$B$14="Interest Only",G221,F221),IF(B221="Closed",0,MIN(Dashboard!$F$10,E221+G221)))</x:f>
        <x:v>0</x:v>
      </x:c>
      <x:c r="I221" s="32" t="n">
        <x:f>IF(B221="Holiday",F221,IF(B221="Closed",0,MAX(0,H221-G221)))</x:f>
        <x:v>0</x:v>
      </x:c>
      <x:c r="J221" s="32" t="n">
        <x:f>IF(B221="Holiday",MAX(0,C221-F221),IF(B221="Closed",0,MAX(0,E221-I221)))</x:f>
        <x:v>0</x:v>
      </x:c>
      <x:c r="K221" s="32" t="n">
        <x:f>IF(B221="Holiday",IF(Dashboard!$B$14="Interest Only",D221,D221+G221),0)</x:f>
        <x:v>0</x:v>
      </x:c>
      <x:c r="L221" s="32" t="n">
        <x:f>J221+K221</x:f>
        <x:v>0</x:v>
      </x:c>
      <x:c r="M221" s="32" t="n">
        <x:f>IF(A221=1,H221,M220+H221)</x:f>
        <x:v>0</x:v>
      </x:c>
      <x:c r="N221" s="32" t="n">
        <x:f>IF(A221=1,I221,N220+I221)</x:f>
        <x:v>0</x:v>
      </x:c>
      <x:c r="O221" s="32" t="n">
        <x:f>IF(A221=1,G221,O220+G221)</x:f>
        <x:v>3671325</x:v>
      </x:c>
      <x:c r="P221" s="37" t="n">
        <x:f>EDATE(Dashboard!$B$10,A221)</x:f>
        <x:v>51714</x:v>
      </x:c>
    </x:row>
    <x:row r="222">
      <x:c r="A222" s="33" t="n">
        <x:v>221</x:v>
      </x:c>
      <x:c r="B222" s="33" t="str">
        <x:f>IF(A222&lt;=Dashboard!$F$8,"Holiday",IF(A222&lt;=Dashboard!$F$8+Dashboard!$F$7,"Repayment","Closed"))</x:f>
        <x:v>Closed</x:v>
      </x:c>
      <x:c r="C222" s="32">
        <x:f>IF(A222=1,Dashboard!$B$6,IF(B222="Holiday",J221,L221))</x:f>
      </x:c>
      <x:c r="D222" s="32">
        <x:f>IF(A222=1,0,IF(B222="Holiday",K221,0))</x:f>
      </x:c>
      <x:c r="E222" s="32">
        <x:f>C222+D222</x:f>
      </x:c>
      <x:c r="F222" s="32">
        <x:f>IF(B222="Holiday",IF(Dashboard!$B$14="Principal Only",MIN(Dashboard!$B$15,C222),0),0)</x:f>
      </x:c>
      <x:c r="G222" s="32" t="n">
        <x:f>IF(B222="Closed",0,IF(B222="Holiday",IF(Dashboard!$B$14="Interest Only",C222*Dashboard!$F$6,MAX(0,(C222-F222)*Dashboard!$F$6)),E222*Dashboard!$F$6))</x:f>
        <x:v>0</x:v>
      </x:c>
      <x:c r="H222" s="32" t="n">
        <x:f>IF(B222="Holiday",IF(Dashboard!$B$14="Interest Only",G222,F222),IF(B222="Closed",0,MIN(Dashboard!$F$10,E222+G222)))</x:f>
        <x:v>0</x:v>
      </x:c>
      <x:c r="I222" s="32" t="n">
        <x:f>IF(B222="Holiday",F222,IF(B222="Closed",0,MAX(0,H222-G222)))</x:f>
        <x:v>0</x:v>
      </x:c>
      <x:c r="J222" s="32" t="n">
        <x:f>IF(B222="Holiday",MAX(0,C222-F222),IF(B222="Closed",0,MAX(0,E222-I222)))</x:f>
        <x:v>0</x:v>
      </x:c>
      <x:c r="K222" s="32" t="n">
        <x:f>IF(B222="Holiday",IF(Dashboard!$B$14="Interest Only",D222,D222+G222),0)</x:f>
        <x:v>0</x:v>
      </x:c>
      <x:c r="L222" s="32" t="n">
        <x:f>J222+K222</x:f>
        <x:v>0</x:v>
      </x:c>
      <x:c r="M222" s="32" t="n">
        <x:f>IF(A222=1,H222,M221+H222)</x:f>
        <x:v>0</x:v>
      </x:c>
      <x:c r="N222" s="32" t="n">
        <x:f>IF(A222=1,I222,N221+I222)</x:f>
        <x:v>0</x:v>
      </x:c>
      <x:c r="O222" s="32" t="n">
        <x:f>IF(A222=1,G222,O221+G222)</x:f>
        <x:v>3671325</x:v>
      </x:c>
      <x:c r="P222" s="37" t="n">
        <x:f>EDATE(Dashboard!$B$10,A222)</x:f>
        <x:v>51745</x:v>
      </x:c>
    </x:row>
    <x:row r="223">
      <x:c r="A223" s="33" t="n">
        <x:v>222</x:v>
      </x:c>
      <x:c r="B223" s="33" t="str">
        <x:f>IF(A223&lt;=Dashboard!$F$8,"Holiday",IF(A223&lt;=Dashboard!$F$8+Dashboard!$F$7,"Repayment","Closed"))</x:f>
        <x:v>Closed</x:v>
      </x:c>
      <x:c r="C223" s="32">
        <x:f>IF(A223=1,Dashboard!$B$6,IF(B223="Holiday",J222,L222))</x:f>
      </x:c>
      <x:c r="D223" s="32">
        <x:f>IF(A223=1,0,IF(B223="Holiday",K222,0))</x:f>
      </x:c>
      <x:c r="E223" s="32">
        <x:f>C223+D223</x:f>
      </x:c>
      <x:c r="F223" s="32">
        <x:f>IF(B223="Holiday",IF(Dashboard!$B$14="Principal Only",MIN(Dashboard!$B$15,C223),0),0)</x:f>
      </x:c>
      <x:c r="G223" s="32" t="n">
        <x:f>IF(B223="Closed",0,IF(B223="Holiday",IF(Dashboard!$B$14="Interest Only",C223*Dashboard!$F$6,MAX(0,(C223-F223)*Dashboard!$F$6)),E223*Dashboard!$F$6))</x:f>
        <x:v>0</x:v>
      </x:c>
      <x:c r="H223" s="32" t="n">
        <x:f>IF(B223="Holiday",IF(Dashboard!$B$14="Interest Only",G223,F223),IF(B223="Closed",0,MIN(Dashboard!$F$10,E223+G223)))</x:f>
        <x:v>0</x:v>
      </x:c>
      <x:c r="I223" s="32" t="n">
        <x:f>IF(B223="Holiday",F223,IF(B223="Closed",0,MAX(0,H223-G223)))</x:f>
        <x:v>0</x:v>
      </x:c>
      <x:c r="J223" s="32" t="n">
        <x:f>IF(B223="Holiday",MAX(0,C223-F223),IF(B223="Closed",0,MAX(0,E223-I223)))</x:f>
        <x:v>0</x:v>
      </x:c>
      <x:c r="K223" s="32" t="n">
        <x:f>IF(B223="Holiday",IF(Dashboard!$B$14="Interest Only",D223,D223+G223),0)</x:f>
        <x:v>0</x:v>
      </x:c>
      <x:c r="L223" s="32" t="n">
        <x:f>J223+K223</x:f>
        <x:v>0</x:v>
      </x:c>
      <x:c r="M223" s="32" t="n">
        <x:f>IF(A223=1,H223,M222+H223)</x:f>
        <x:v>0</x:v>
      </x:c>
      <x:c r="N223" s="32" t="n">
        <x:f>IF(A223=1,I223,N222+I223)</x:f>
        <x:v>0</x:v>
      </x:c>
      <x:c r="O223" s="32" t="n">
        <x:f>IF(A223=1,G223,O222+G223)</x:f>
        <x:v>3671325</x:v>
      </x:c>
      <x:c r="P223" s="37" t="n">
        <x:f>EDATE(Dashboard!$B$10,A223)</x:f>
        <x:v>51775</x:v>
      </x:c>
    </x:row>
    <x:row r="224">
      <x:c r="A224" s="33" t="n">
        <x:v>223</x:v>
      </x:c>
      <x:c r="B224" s="33" t="str">
        <x:f>IF(A224&lt;=Dashboard!$F$8,"Holiday",IF(A224&lt;=Dashboard!$F$8+Dashboard!$F$7,"Repayment","Closed"))</x:f>
        <x:v>Closed</x:v>
      </x:c>
      <x:c r="C224" s="32">
        <x:f>IF(A224=1,Dashboard!$B$6,IF(B224="Holiday",J223,L223))</x:f>
      </x:c>
      <x:c r="D224" s="32">
        <x:f>IF(A224=1,0,IF(B224="Holiday",K223,0))</x:f>
      </x:c>
      <x:c r="E224" s="32">
        <x:f>C224+D224</x:f>
      </x:c>
      <x:c r="F224" s="32">
        <x:f>IF(B224="Holiday",IF(Dashboard!$B$14="Principal Only",MIN(Dashboard!$B$15,C224),0),0)</x:f>
      </x:c>
      <x:c r="G224" s="32" t="n">
        <x:f>IF(B224="Closed",0,IF(B224="Holiday",IF(Dashboard!$B$14="Interest Only",C224*Dashboard!$F$6,MAX(0,(C224-F224)*Dashboard!$F$6)),E224*Dashboard!$F$6))</x:f>
        <x:v>0</x:v>
      </x:c>
      <x:c r="H224" s="32" t="n">
        <x:f>IF(B224="Holiday",IF(Dashboard!$B$14="Interest Only",G224,F224),IF(B224="Closed",0,MIN(Dashboard!$F$10,E224+G224)))</x:f>
        <x:v>0</x:v>
      </x:c>
      <x:c r="I224" s="32" t="n">
        <x:f>IF(B224="Holiday",F224,IF(B224="Closed",0,MAX(0,H224-G224)))</x:f>
        <x:v>0</x:v>
      </x:c>
      <x:c r="J224" s="32" t="n">
        <x:f>IF(B224="Holiday",MAX(0,C224-F224),IF(B224="Closed",0,MAX(0,E224-I224)))</x:f>
        <x:v>0</x:v>
      </x:c>
      <x:c r="K224" s="32" t="n">
        <x:f>IF(B224="Holiday",IF(Dashboard!$B$14="Interest Only",D224,D224+G224),0)</x:f>
        <x:v>0</x:v>
      </x:c>
      <x:c r="L224" s="32" t="n">
        <x:f>J224+K224</x:f>
        <x:v>0</x:v>
      </x:c>
      <x:c r="M224" s="32" t="n">
        <x:f>IF(A224=1,H224,M223+H224)</x:f>
        <x:v>0</x:v>
      </x:c>
      <x:c r="N224" s="32" t="n">
        <x:f>IF(A224=1,I224,N223+I224)</x:f>
        <x:v>0</x:v>
      </x:c>
      <x:c r="O224" s="32" t="n">
        <x:f>IF(A224=1,G224,O223+G224)</x:f>
        <x:v>3671325</x:v>
      </x:c>
      <x:c r="P224" s="37" t="n">
        <x:f>EDATE(Dashboard!$B$10,A224)</x:f>
        <x:v>51806</x:v>
      </x:c>
    </x:row>
    <x:row r="225">
      <x:c r="A225" s="33" t="n">
        <x:v>224</x:v>
      </x:c>
      <x:c r="B225" s="33" t="str">
        <x:f>IF(A225&lt;=Dashboard!$F$8,"Holiday",IF(A225&lt;=Dashboard!$F$8+Dashboard!$F$7,"Repayment","Closed"))</x:f>
        <x:v>Closed</x:v>
      </x:c>
      <x:c r="C225" s="32">
        <x:f>IF(A225=1,Dashboard!$B$6,IF(B225="Holiday",J224,L224))</x:f>
      </x:c>
      <x:c r="D225" s="32">
        <x:f>IF(A225=1,0,IF(B225="Holiday",K224,0))</x:f>
      </x:c>
      <x:c r="E225" s="32">
        <x:f>C225+D225</x:f>
      </x:c>
      <x:c r="F225" s="32">
        <x:f>IF(B225="Holiday",IF(Dashboard!$B$14="Principal Only",MIN(Dashboard!$B$15,C225),0),0)</x:f>
      </x:c>
      <x:c r="G225" s="32" t="n">
        <x:f>IF(B225="Closed",0,IF(B225="Holiday",IF(Dashboard!$B$14="Interest Only",C225*Dashboard!$F$6,MAX(0,(C225-F225)*Dashboard!$F$6)),E225*Dashboard!$F$6))</x:f>
        <x:v>0</x:v>
      </x:c>
      <x:c r="H225" s="32" t="n">
        <x:f>IF(B225="Holiday",IF(Dashboard!$B$14="Interest Only",G225,F225),IF(B225="Closed",0,MIN(Dashboard!$F$10,E225+G225)))</x:f>
        <x:v>0</x:v>
      </x:c>
      <x:c r="I225" s="32" t="n">
        <x:f>IF(B225="Holiday",F225,IF(B225="Closed",0,MAX(0,H225-G225)))</x:f>
        <x:v>0</x:v>
      </x:c>
      <x:c r="J225" s="32" t="n">
        <x:f>IF(B225="Holiday",MAX(0,C225-F225),IF(B225="Closed",0,MAX(0,E225-I225)))</x:f>
        <x:v>0</x:v>
      </x:c>
      <x:c r="K225" s="32" t="n">
        <x:f>IF(B225="Holiday",IF(Dashboard!$B$14="Interest Only",D225,D225+G225),0)</x:f>
        <x:v>0</x:v>
      </x:c>
      <x:c r="L225" s="32" t="n">
        <x:f>J225+K225</x:f>
        <x:v>0</x:v>
      </x:c>
      <x:c r="M225" s="32" t="n">
        <x:f>IF(A225=1,H225,M224+H225)</x:f>
        <x:v>0</x:v>
      </x:c>
      <x:c r="N225" s="32" t="n">
        <x:f>IF(A225=1,I225,N224+I225)</x:f>
        <x:v>0</x:v>
      </x:c>
      <x:c r="O225" s="32" t="n">
        <x:f>IF(A225=1,G225,O224+G225)</x:f>
        <x:v>3671325</x:v>
      </x:c>
      <x:c r="P225" s="37" t="n">
        <x:f>EDATE(Dashboard!$B$10,A225)</x:f>
        <x:v>51836</x:v>
      </x:c>
    </x:row>
    <x:row r="226">
      <x:c r="A226" s="33" t="n">
        <x:v>225</x:v>
      </x:c>
      <x:c r="B226" s="33" t="str">
        <x:f>IF(A226&lt;=Dashboard!$F$8,"Holiday",IF(A226&lt;=Dashboard!$F$8+Dashboard!$F$7,"Repayment","Closed"))</x:f>
        <x:v>Closed</x:v>
      </x:c>
      <x:c r="C226" s="32">
        <x:f>IF(A226=1,Dashboard!$B$6,IF(B226="Holiday",J225,L225))</x:f>
      </x:c>
      <x:c r="D226" s="32">
        <x:f>IF(A226=1,0,IF(B226="Holiday",K225,0))</x:f>
      </x:c>
      <x:c r="E226" s="32">
        <x:f>C226+D226</x:f>
      </x:c>
      <x:c r="F226" s="32">
        <x:f>IF(B226="Holiday",IF(Dashboard!$B$14="Principal Only",MIN(Dashboard!$B$15,C226),0),0)</x:f>
      </x:c>
      <x:c r="G226" s="32" t="n">
        <x:f>IF(B226="Closed",0,IF(B226="Holiday",IF(Dashboard!$B$14="Interest Only",C226*Dashboard!$F$6,MAX(0,(C226-F226)*Dashboard!$F$6)),E226*Dashboard!$F$6))</x:f>
        <x:v>0</x:v>
      </x:c>
      <x:c r="H226" s="32" t="n">
        <x:f>IF(B226="Holiday",IF(Dashboard!$B$14="Interest Only",G226,F226),IF(B226="Closed",0,MIN(Dashboard!$F$10,E226+G226)))</x:f>
        <x:v>0</x:v>
      </x:c>
      <x:c r="I226" s="32" t="n">
        <x:f>IF(B226="Holiday",F226,IF(B226="Closed",0,MAX(0,H226-G226)))</x:f>
        <x:v>0</x:v>
      </x:c>
      <x:c r="J226" s="32" t="n">
        <x:f>IF(B226="Holiday",MAX(0,C226-F226),IF(B226="Closed",0,MAX(0,E226-I226)))</x:f>
        <x:v>0</x:v>
      </x:c>
      <x:c r="K226" s="32" t="n">
        <x:f>IF(B226="Holiday",IF(Dashboard!$B$14="Interest Only",D226,D226+G226),0)</x:f>
        <x:v>0</x:v>
      </x:c>
      <x:c r="L226" s="32" t="n">
        <x:f>J226+K226</x:f>
        <x:v>0</x:v>
      </x:c>
      <x:c r="M226" s="32" t="n">
        <x:f>IF(A226=1,H226,M225+H226)</x:f>
        <x:v>0</x:v>
      </x:c>
      <x:c r="N226" s="32" t="n">
        <x:f>IF(A226=1,I226,N225+I226)</x:f>
        <x:v>0</x:v>
      </x:c>
      <x:c r="O226" s="32" t="n">
        <x:f>IF(A226=1,G226,O225+G226)</x:f>
        <x:v>3671325</x:v>
      </x:c>
      <x:c r="P226" s="37" t="n">
        <x:f>EDATE(Dashboard!$B$10,A226)</x:f>
        <x:v>51867</x:v>
      </x:c>
    </x:row>
    <x:row r="227">
      <x:c r="A227" s="33" t="n">
        <x:v>226</x:v>
      </x:c>
      <x:c r="B227" s="33" t="str">
        <x:f>IF(A227&lt;=Dashboard!$F$8,"Holiday",IF(A227&lt;=Dashboard!$F$8+Dashboard!$F$7,"Repayment","Closed"))</x:f>
        <x:v>Closed</x:v>
      </x:c>
      <x:c r="C227" s="32">
        <x:f>IF(A227=1,Dashboard!$B$6,IF(B227="Holiday",J226,L226))</x:f>
      </x:c>
      <x:c r="D227" s="32">
        <x:f>IF(A227=1,0,IF(B227="Holiday",K226,0))</x:f>
      </x:c>
      <x:c r="E227" s="32">
        <x:f>C227+D227</x:f>
      </x:c>
      <x:c r="F227" s="32">
        <x:f>IF(B227="Holiday",IF(Dashboard!$B$14="Principal Only",MIN(Dashboard!$B$15,C227),0),0)</x:f>
      </x:c>
      <x:c r="G227" s="32" t="n">
        <x:f>IF(B227="Closed",0,IF(B227="Holiday",IF(Dashboard!$B$14="Interest Only",C227*Dashboard!$F$6,MAX(0,(C227-F227)*Dashboard!$F$6)),E227*Dashboard!$F$6))</x:f>
        <x:v>0</x:v>
      </x:c>
      <x:c r="H227" s="32" t="n">
        <x:f>IF(B227="Holiday",IF(Dashboard!$B$14="Interest Only",G227,F227),IF(B227="Closed",0,MIN(Dashboard!$F$10,E227+G227)))</x:f>
        <x:v>0</x:v>
      </x:c>
      <x:c r="I227" s="32" t="n">
        <x:f>IF(B227="Holiday",F227,IF(B227="Closed",0,MAX(0,H227-G227)))</x:f>
        <x:v>0</x:v>
      </x:c>
      <x:c r="J227" s="32" t="n">
        <x:f>IF(B227="Holiday",MAX(0,C227-F227),IF(B227="Closed",0,MAX(0,E227-I227)))</x:f>
        <x:v>0</x:v>
      </x:c>
      <x:c r="K227" s="32" t="n">
        <x:f>IF(B227="Holiday",IF(Dashboard!$B$14="Interest Only",D227,D227+G227),0)</x:f>
        <x:v>0</x:v>
      </x:c>
      <x:c r="L227" s="32" t="n">
        <x:f>J227+K227</x:f>
        <x:v>0</x:v>
      </x:c>
      <x:c r="M227" s="32" t="n">
        <x:f>IF(A227=1,H227,M226+H227)</x:f>
        <x:v>0</x:v>
      </x:c>
      <x:c r="N227" s="32" t="n">
        <x:f>IF(A227=1,I227,N226+I227)</x:f>
        <x:v>0</x:v>
      </x:c>
      <x:c r="O227" s="32" t="n">
        <x:f>IF(A227=1,G227,O226+G227)</x:f>
        <x:v>3671325</x:v>
      </x:c>
      <x:c r="P227" s="37" t="n">
        <x:f>EDATE(Dashboard!$B$10,A227)</x:f>
        <x:v>51898</x:v>
      </x:c>
    </x:row>
    <x:row r="228">
      <x:c r="A228" s="33" t="n">
        <x:v>227</x:v>
      </x:c>
      <x:c r="B228" s="33" t="str">
        <x:f>IF(A228&lt;=Dashboard!$F$8,"Holiday",IF(A228&lt;=Dashboard!$F$8+Dashboard!$F$7,"Repayment","Closed"))</x:f>
        <x:v>Closed</x:v>
      </x:c>
      <x:c r="C228" s="32">
        <x:f>IF(A228=1,Dashboard!$B$6,IF(B228="Holiday",J227,L227))</x:f>
      </x:c>
      <x:c r="D228" s="32">
        <x:f>IF(A228=1,0,IF(B228="Holiday",K227,0))</x:f>
      </x:c>
      <x:c r="E228" s="32">
        <x:f>C228+D228</x:f>
      </x:c>
      <x:c r="F228" s="32">
        <x:f>IF(B228="Holiday",IF(Dashboard!$B$14="Principal Only",MIN(Dashboard!$B$15,C228),0),0)</x:f>
      </x:c>
      <x:c r="G228" s="32" t="n">
        <x:f>IF(B228="Closed",0,IF(B228="Holiday",IF(Dashboard!$B$14="Interest Only",C228*Dashboard!$F$6,MAX(0,(C228-F228)*Dashboard!$F$6)),E228*Dashboard!$F$6))</x:f>
        <x:v>0</x:v>
      </x:c>
      <x:c r="H228" s="32" t="n">
        <x:f>IF(B228="Holiday",IF(Dashboard!$B$14="Interest Only",G228,F228),IF(B228="Closed",0,MIN(Dashboard!$F$10,E228+G228)))</x:f>
        <x:v>0</x:v>
      </x:c>
      <x:c r="I228" s="32" t="n">
        <x:f>IF(B228="Holiday",F228,IF(B228="Closed",0,MAX(0,H228-G228)))</x:f>
        <x:v>0</x:v>
      </x:c>
      <x:c r="J228" s="32" t="n">
        <x:f>IF(B228="Holiday",MAX(0,C228-F228),IF(B228="Closed",0,MAX(0,E228-I228)))</x:f>
        <x:v>0</x:v>
      </x:c>
      <x:c r="K228" s="32" t="n">
        <x:f>IF(B228="Holiday",IF(Dashboard!$B$14="Interest Only",D228,D228+G228),0)</x:f>
        <x:v>0</x:v>
      </x:c>
      <x:c r="L228" s="32" t="n">
        <x:f>J228+K228</x:f>
        <x:v>0</x:v>
      </x:c>
      <x:c r="M228" s="32" t="n">
        <x:f>IF(A228=1,H228,M227+H228)</x:f>
        <x:v>0</x:v>
      </x:c>
      <x:c r="N228" s="32" t="n">
        <x:f>IF(A228=1,I228,N227+I228)</x:f>
        <x:v>0</x:v>
      </x:c>
      <x:c r="O228" s="32" t="n">
        <x:f>IF(A228=1,G228,O227+G228)</x:f>
        <x:v>3671325</x:v>
      </x:c>
      <x:c r="P228" s="37" t="n">
        <x:f>EDATE(Dashboard!$B$10,A228)</x:f>
        <x:v>51926</x:v>
      </x:c>
    </x:row>
    <x:row r="229">
      <x:c r="A229" s="33" t="n">
        <x:v>228</x:v>
      </x:c>
      <x:c r="B229" s="33" t="str">
        <x:f>IF(A229&lt;=Dashboard!$F$8,"Holiday",IF(A229&lt;=Dashboard!$F$8+Dashboard!$F$7,"Repayment","Closed"))</x:f>
        <x:v>Closed</x:v>
      </x:c>
      <x:c r="C229" s="32">
        <x:f>IF(A229=1,Dashboard!$B$6,IF(B229="Holiday",J228,L228))</x:f>
      </x:c>
      <x:c r="D229" s="32">
        <x:f>IF(A229=1,0,IF(B229="Holiday",K228,0))</x:f>
      </x:c>
      <x:c r="E229" s="32">
        <x:f>C229+D229</x:f>
      </x:c>
      <x:c r="F229" s="32">
        <x:f>IF(B229="Holiday",IF(Dashboard!$B$14="Principal Only",MIN(Dashboard!$B$15,C229),0),0)</x:f>
      </x:c>
      <x:c r="G229" s="32" t="n">
        <x:f>IF(B229="Closed",0,IF(B229="Holiday",IF(Dashboard!$B$14="Interest Only",C229*Dashboard!$F$6,MAX(0,(C229-F229)*Dashboard!$F$6)),E229*Dashboard!$F$6))</x:f>
        <x:v>0</x:v>
      </x:c>
      <x:c r="H229" s="32" t="n">
        <x:f>IF(B229="Holiday",IF(Dashboard!$B$14="Interest Only",G229,F229),IF(B229="Closed",0,MIN(Dashboard!$F$10,E229+G229)))</x:f>
        <x:v>0</x:v>
      </x:c>
      <x:c r="I229" s="32" t="n">
        <x:f>IF(B229="Holiday",F229,IF(B229="Closed",0,MAX(0,H229-G229)))</x:f>
        <x:v>0</x:v>
      </x:c>
      <x:c r="J229" s="32" t="n">
        <x:f>IF(B229="Holiday",MAX(0,C229-F229),IF(B229="Closed",0,MAX(0,E229-I229)))</x:f>
        <x:v>0</x:v>
      </x:c>
      <x:c r="K229" s="32" t="n">
        <x:f>IF(B229="Holiday",IF(Dashboard!$B$14="Interest Only",D229,D229+G229),0)</x:f>
        <x:v>0</x:v>
      </x:c>
      <x:c r="L229" s="32" t="n">
        <x:f>J229+K229</x:f>
        <x:v>0</x:v>
      </x:c>
      <x:c r="M229" s="32" t="n">
        <x:f>IF(A229=1,H229,M228+H229)</x:f>
        <x:v>0</x:v>
      </x:c>
      <x:c r="N229" s="32" t="n">
        <x:f>IF(A229=1,I229,N228+I229)</x:f>
        <x:v>0</x:v>
      </x:c>
      <x:c r="O229" s="32" t="n">
        <x:f>IF(A229=1,G229,O228+G229)</x:f>
        <x:v>3671325</x:v>
      </x:c>
      <x:c r="P229" s="37" t="n">
        <x:f>EDATE(Dashboard!$B$10,A229)</x:f>
        <x:v>51957</x:v>
      </x:c>
    </x:row>
    <x:row r="230">
      <x:c r="A230" s="33" t="n">
        <x:v>229</x:v>
      </x:c>
      <x:c r="B230" s="33" t="str">
        <x:f>IF(A230&lt;=Dashboard!$F$8,"Holiday",IF(A230&lt;=Dashboard!$F$8+Dashboard!$F$7,"Repayment","Closed"))</x:f>
        <x:v>Closed</x:v>
      </x:c>
      <x:c r="C230" s="32">
        <x:f>IF(A230=1,Dashboard!$B$6,IF(B230="Holiday",J229,L229))</x:f>
      </x:c>
      <x:c r="D230" s="32">
        <x:f>IF(A230=1,0,IF(B230="Holiday",K229,0))</x:f>
      </x:c>
      <x:c r="E230" s="32">
        <x:f>C230+D230</x:f>
      </x:c>
      <x:c r="F230" s="32">
        <x:f>IF(B230="Holiday",IF(Dashboard!$B$14="Principal Only",MIN(Dashboard!$B$15,C230),0),0)</x:f>
      </x:c>
      <x:c r="G230" s="32" t="n">
        <x:f>IF(B230="Closed",0,IF(B230="Holiday",IF(Dashboard!$B$14="Interest Only",C230*Dashboard!$F$6,MAX(0,(C230-F230)*Dashboard!$F$6)),E230*Dashboard!$F$6))</x:f>
        <x:v>0</x:v>
      </x:c>
      <x:c r="H230" s="32" t="n">
        <x:f>IF(B230="Holiday",IF(Dashboard!$B$14="Interest Only",G230,F230),IF(B230="Closed",0,MIN(Dashboard!$F$10,E230+G230)))</x:f>
        <x:v>0</x:v>
      </x:c>
      <x:c r="I230" s="32" t="n">
        <x:f>IF(B230="Holiday",F230,IF(B230="Closed",0,MAX(0,H230-G230)))</x:f>
        <x:v>0</x:v>
      </x:c>
      <x:c r="J230" s="32" t="n">
        <x:f>IF(B230="Holiday",MAX(0,C230-F230),IF(B230="Closed",0,MAX(0,E230-I230)))</x:f>
        <x:v>0</x:v>
      </x:c>
      <x:c r="K230" s="32" t="n">
        <x:f>IF(B230="Holiday",IF(Dashboard!$B$14="Interest Only",D230,D230+G230),0)</x:f>
        <x:v>0</x:v>
      </x:c>
      <x:c r="L230" s="32" t="n">
        <x:f>J230+K230</x:f>
        <x:v>0</x:v>
      </x:c>
      <x:c r="M230" s="32" t="n">
        <x:f>IF(A230=1,H230,M229+H230)</x:f>
        <x:v>0</x:v>
      </x:c>
      <x:c r="N230" s="32" t="n">
        <x:f>IF(A230=1,I230,N229+I230)</x:f>
        <x:v>0</x:v>
      </x:c>
      <x:c r="O230" s="32" t="n">
        <x:f>IF(A230=1,G230,O229+G230)</x:f>
        <x:v>3671325</x:v>
      </x:c>
      <x:c r="P230" s="37" t="n">
        <x:f>EDATE(Dashboard!$B$10,A230)</x:f>
        <x:v>51987</x:v>
      </x:c>
    </x:row>
    <x:row r="231">
      <x:c r="A231" s="33" t="n">
        <x:v>230</x:v>
      </x:c>
      <x:c r="B231" s="33" t="str">
        <x:f>IF(A231&lt;=Dashboard!$F$8,"Holiday",IF(A231&lt;=Dashboard!$F$8+Dashboard!$F$7,"Repayment","Closed"))</x:f>
        <x:v>Closed</x:v>
      </x:c>
      <x:c r="C231" s="32">
        <x:f>IF(A231=1,Dashboard!$B$6,IF(B231="Holiday",J230,L230))</x:f>
      </x:c>
      <x:c r="D231" s="32">
        <x:f>IF(A231=1,0,IF(B231="Holiday",K230,0))</x:f>
      </x:c>
      <x:c r="E231" s="32">
        <x:f>C231+D231</x:f>
      </x:c>
      <x:c r="F231" s="32">
        <x:f>IF(B231="Holiday",IF(Dashboard!$B$14="Principal Only",MIN(Dashboard!$B$15,C231),0),0)</x:f>
      </x:c>
      <x:c r="G231" s="32" t="n">
        <x:f>IF(B231="Closed",0,IF(B231="Holiday",IF(Dashboard!$B$14="Interest Only",C231*Dashboard!$F$6,MAX(0,(C231-F231)*Dashboard!$F$6)),E231*Dashboard!$F$6))</x:f>
        <x:v>0</x:v>
      </x:c>
      <x:c r="H231" s="32" t="n">
        <x:f>IF(B231="Holiday",IF(Dashboard!$B$14="Interest Only",G231,F231),IF(B231="Closed",0,MIN(Dashboard!$F$10,E231+G231)))</x:f>
        <x:v>0</x:v>
      </x:c>
      <x:c r="I231" s="32" t="n">
        <x:f>IF(B231="Holiday",F231,IF(B231="Closed",0,MAX(0,H231-G231)))</x:f>
        <x:v>0</x:v>
      </x:c>
      <x:c r="J231" s="32" t="n">
        <x:f>IF(B231="Holiday",MAX(0,C231-F231),IF(B231="Closed",0,MAX(0,E231-I231)))</x:f>
        <x:v>0</x:v>
      </x:c>
      <x:c r="K231" s="32" t="n">
        <x:f>IF(B231="Holiday",IF(Dashboard!$B$14="Interest Only",D231,D231+G231),0)</x:f>
        <x:v>0</x:v>
      </x:c>
      <x:c r="L231" s="32" t="n">
        <x:f>J231+K231</x:f>
        <x:v>0</x:v>
      </x:c>
      <x:c r="M231" s="32" t="n">
        <x:f>IF(A231=1,H231,M230+H231)</x:f>
        <x:v>0</x:v>
      </x:c>
      <x:c r="N231" s="32" t="n">
        <x:f>IF(A231=1,I231,N230+I231)</x:f>
        <x:v>0</x:v>
      </x:c>
      <x:c r="O231" s="32" t="n">
        <x:f>IF(A231=1,G231,O230+G231)</x:f>
        <x:v>3671325</x:v>
      </x:c>
      <x:c r="P231" s="37" t="n">
        <x:f>EDATE(Dashboard!$B$10,A231)</x:f>
        <x:v>52018</x:v>
      </x:c>
    </x:row>
    <x:row r="232">
      <x:c r="A232" s="33" t="n">
        <x:v>231</x:v>
      </x:c>
      <x:c r="B232" s="33" t="str">
        <x:f>IF(A232&lt;=Dashboard!$F$8,"Holiday",IF(A232&lt;=Dashboard!$F$8+Dashboard!$F$7,"Repayment","Closed"))</x:f>
        <x:v>Closed</x:v>
      </x:c>
      <x:c r="C232" s="32">
        <x:f>IF(A232=1,Dashboard!$B$6,IF(B232="Holiday",J231,L231))</x:f>
      </x:c>
      <x:c r="D232" s="32">
        <x:f>IF(A232=1,0,IF(B232="Holiday",K231,0))</x:f>
      </x:c>
      <x:c r="E232" s="32">
        <x:f>C232+D232</x:f>
      </x:c>
      <x:c r="F232" s="32">
        <x:f>IF(B232="Holiday",IF(Dashboard!$B$14="Principal Only",MIN(Dashboard!$B$15,C232),0),0)</x:f>
      </x:c>
      <x:c r="G232" s="32" t="n">
        <x:f>IF(B232="Closed",0,IF(B232="Holiday",IF(Dashboard!$B$14="Interest Only",C232*Dashboard!$F$6,MAX(0,(C232-F232)*Dashboard!$F$6)),E232*Dashboard!$F$6))</x:f>
        <x:v>0</x:v>
      </x:c>
      <x:c r="H232" s="32" t="n">
        <x:f>IF(B232="Holiday",IF(Dashboard!$B$14="Interest Only",G232,F232),IF(B232="Closed",0,MIN(Dashboard!$F$10,E232+G232)))</x:f>
        <x:v>0</x:v>
      </x:c>
      <x:c r="I232" s="32" t="n">
        <x:f>IF(B232="Holiday",F232,IF(B232="Closed",0,MAX(0,H232-G232)))</x:f>
        <x:v>0</x:v>
      </x:c>
      <x:c r="J232" s="32" t="n">
        <x:f>IF(B232="Holiday",MAX(0,C232-F232),IF(B232="Closed",0,MAX(0,E232-I232)))</x:f>
        <x:v>0</x:v>
      </x:c>
      <x:c r="K232" s="32" t="n">
        <x:f>IF(B232="Holiday",IF(Dashboard!$B$14="Interest Only",D232,D232+G232),0)</x:f>
        <x:v>0</x:v>
      </x:c>
      <x:c r="L232" s="32" t="n">
        <x:f>J232+K232</x:f>
        <x:v>0</x:v>
      </x:c>
      <x:c r="M232" s="32" t="n">
        <x:f>IF(A232=1,H232,M231+H232)</x:f>
        <x:v>0</x:v>
      </x:c>
      <x:c r="N232" s="32" t="n">
        <x:f>IF(A232=1,I232,N231+I232)</x:f>
        <x:v>0</x:v>
      </x:c>
      <x:c r="O232" s="32" t="n">
        <x:f>IF(A232=1,G232,O231+G232)</x:f>
        <x:v>3671325</x:v>
      </x:c>
      <x:c r="P232" s="37" t="n">
        <x:f>EDATE(Dashboard!$B$10,A232)</x:f>
        <x:v>52048</x:v>
      </x:c>
    </x:row>
    <x:row r="233">
      <x:c r="A233" s="33" t="n">
        <x:v>232</x:v>
      </x:c>
      <x:c r="B233" s="33" t="str">
        <x:f>IF(A233&lt;=Dashboard!$F$8,"Holiday",IF(A233&lt;=Dashboard!$F$8+Dashboard!$F$7,"Repayment","Closed"))</x:f>
        <x:v>Closed</x:v>
      </x:c>
      <x:c r="C233" s="32">
        <x:f>IF(A233=1,Dashboard!$B$6,IF(B233="Holiday",J232,L232))</x:f>
      </x:c>
      <x:c r="D233" s="32">
        <x:f>IF(A233=1,0,IF(B233="Holiday",K232,0))</x:f>
      </x:c>
      <x:c r="E233" s="32">
        <x:f>C233+D233</x:f>
      </x:c>
      <x:c r="F233" s="32">
        <x:f>IF(B233="Holiday",IF(Dashboard!$B$14="Principal Only",MIN(Dashboard!$B$15,C233),0),0)</x:f>
      </x:c>
      <x:c r="G233" s="32" t="n">
        <x:f>IF(B233="Closed",0,IF(B233="Holiday",IF(Dashboard!$B$14="Interest Only",C233*Dashboard!$F$6,MAX(0,(C233-F233)*Dashboard!$F$6)),E233*Dashboard!$F$6))</x:f>
        <x:v>0</x:v>
      </x:c>
      <x:c r="H233" s="32" t="n">
        <x:f>IF(B233="Holiday",IF(Dashboard!$B$14="Interest Only",G233,F233),IF(B233="Closed",0,MIN(Dashboard!$F$10,E233+G233)))</x:f>
        <x:v>0</x:v>
      </x:c>
      <x:c r="I233" s="32" t="n">
        <x:f>IF(B233="Holiday",F233,IF(B233="Closed",0,MAX(0,H233-G233)))</x:f>
        <x:v>0</x:v>
      </x:c>
      <x:c r="J233" s="32" t="n">
        <x:f>IF(B233="Holiday",MAX(0,C233-F233),IF(B233="Closed",0,MAX(0,E233-I233)))</x:f>
        <x:v>0</x:v>
      </x:c>
      <x:c r="K233" s="32" t="n">
        <x:f>IF(B233="Holiday",IF(Dashboard!$B$14="Interest Only",D233,D233+G233),0)</x:f>
        <x:v>0</x:v>
      </x:c>
      <x:c r="L233" s="32" t="n">
        <x:f>J233+K233</x:f>
        <x:v>0</x:v>
      </x:c>
      <x:c r="M233" s="32" t="n">
        <x:f>IF(A233=1,H233,M232+H233)</x:f>
        <x:v>0</x:v>
      </x:c>
      <x:c r="N233" s="32" t="n">
        <x:f>IF(A233=1,I233,N232+I233)</x:f>
        <x:v>0</x:v>
      </x:c>
      <x:c r="O233" s="32" t="n">
        <x:f>IF(A233=1,G233,O232+G233)</x:f>
        <x:v>3671325</x:v>
      </x:c>
      <x:c r="P233" s="37" t="n">
        <x:f>EDATE(Dashboard!$B$10,A233)</x:f>
        <x:v>52079</x:v>
      </x:c>
    </x:row>
    <x:row r="234">
      <x:c r="A234" s="33" t="n">
        <x:v>233</x:v>
      </x:c>
      <x:c r="B234" s="33" t="str">
        <x:f>IF(A234&lt;=Dashboard!$F$8,"Holiday",IF(A234&lt;=Dashboard!$F$8+Dashboard!$F$7,"Repayment","Closed"))</x:f>
        <x:v>Closed</x:v>
      </x:c>
      <x:c r="C234" s="32">
        <x:f>IF(A234=1,Dashboard!$B$6,IF(B234="Holiday",J233,L233))</x:f>
      </x:c>
      <x:c r="D234" s="32">
        <x:f>IF(A234=1,0,IF(B234="Holiday",K233,0))</x:f>
      </x:c>
      <x:c r="E234" s="32">
        <x:f>C234+D234</x:f>
      </x:c>
      <x:c r="F234" s="32">
        <x:f>IF(B234="Holiday",IF(Dashboard!$B$14="Principal Only",MIN(Dashboard!$B$15,C234),0),0)</x:f>
      </x:c>
      <x:c r="G234" s="32" t="n">
        <x:f>IF(B234="Closed",0,IF(B234="Holiday",IF(Dashboard!$B$14="Interest Only",C234*Dashboard!$F$6,MAX(0,(C234-F234)*Dashboard!$F$6)),E234*Dashboard!$F$6))</x:f>
        <x:v>0</x:v>
      </x:c>
      <x:c r="H234" s="32" t="n">
        <x:f>IF(B234="Holiday",IF(Dashboard!$B$14="Interest Only",G234,F234),IF(B234="Closed",0,MIN(Dashboard!$F$10,E234+G234)))</x:f>
        <x:v>0</x:v>
      </x:c>
      <x:c r="I234" s="32" t="n">
        <x:f>IF(B234="Holiday",F234,IF(B234="Closed",0,MAX(0,H234-G234)))</x:f>
        <x:v>0</x:v>
      </x:c>
      <x:c r="J234" s="32" t="n">
        <x:f>IF(B234="Holiday",MAX(0,C234-F234),IF(B234="Closed",0,MAX(0,E234-I234)))</x:f>
        <x:v>0</x:v>
      </x:c>
      <x:c r="K234" s="32" t="n">
        <x:f>IF(B234="Holiday",IF(Dashboard!$B$14="Interest Only",D234,D234+G234),0)</x:f>
        <x:v>0</x:v>
      </x:c>
      <x:c r="L234" s="32" t="n">
        <x:f>J234+K234</x:f>
        <x:v>0</x:v>
      </x:c>
      <x:c r="M234" s="32" t="n">
        <x:f>IF(A234=1,H234,M233+H234)</x:f>
        <x:v>0</x:v>
      </x:c>
      <x:c r="N234" s="32" t="n">
        <x:f>IF(A234=1,I234,N233+I234)</x:f>
        <x:v>0</x:v>
      </x:c>
      <x:c r="O234" s="32" t="n">
        <x:f>IF(A234=1,G234,O233+G234)</x:f>
        <x:v>3671325</x:v>
      </x:c>
      <x:c r="P234" s="37" t="n">
        <x:f>EDATE(Dashboard!$B$10,A234)</x:f>
        <x:v>52110</x:v>
      </x:c>
    </x:row>
    <x:row r="235">
      <x:c r="A235" s="33" t="n">
        <x:v>234</x:v>
      </x:c>
      <x:c r="B235" s="33" t="str">
        <x:f>IF(A235&lt;=Dashboard!$F$8,"Holiday",IF(A235&lt;=Dashboard!$F$8+Dashboard!$F$7,"Repayment","Closed"))</x:f>
        <x:v>Closed</x:v>
      </x:c>
      <x:c r="C235" s="32">
        <x:f>IF(A235=1,Dashboard!$B$6,IF(B235="Holiday",J234,L234))</x:f>
      </x:c>
      <x:c r="D235" s="32">
        <x:f>IF(A235=1,0,IF(B235="Holiday",K234,0))</x:f>
      </x:c>
      <x:c r="E235" s="32">
        <x:f>C235+D235</x:f>
      </x:c>
      <x:c r="F235" s="32">
        <x:f>IF(B235="Holiday",IF(Dashboard!$B$14="Principal Only",MIN(Dashboard!$B$15,C235),0),0)</x:f>
      </x:c>
      <x:c r="G235" s="32" t="n">
        <x:f>IF(B235="Closed",0,IF(B235="Holiday",IF(Dashboard!$B$14="Interest Only",C235*Dashboard!$F$6,MAX(0,(C235-F235)*Dashboard!$F$6)),E235*Dashboard!$F$6))</x:f>
        <x:v>0</x:v>
      </x:c>
      <x:c r="H235" s="32" t="n">
        <x:f>IF(B235="Holiday",IF(Dashboard!$B$14="Interest Only",G235,F235),IF(B235="Closed",0,MIN(Dashboard!$F$10,E235+G235)))</x:f>
        <x:v>0</x:v>
      </x:c>
      <x:c r="I235" s="32" t="n">
        <x:f>IF(B235="Holiday",F235,IF(B235="Closed",0,MAX(0,H235-G235)))</x:f>
        <x:v>0</x:v>
      </x:c>
      <x:c r="J235" s="32" t="n">
        <x:f>IF(B235="Holiday",MAX(0,C235-F235),IF(B235="Closed",0,MAX(0,E235-I235)))</x:f>
        <x:v>0</x:v>
      </x:c>
      <x:c r="K235" s="32" t="n">
        <x:f>IF(B235="Holiday",IF(Dashboard!$B$14="Interest Only",D235,D235+G235),0)</x:f>
        <x:v>0</x:v>
      </x:c>
      <x:c r="L235" s="32" t="n">
        <x:f>J235+K235</x:f>
        <x:v>0</x:v>
      </x:c>
      <x:c r="M235" s="32" t="n">
        <x:f>IF(A235=1,H235,M234+H235)</x:f>
        <x:v>0</x:v>
      </x:c>
      <x:c r="N235" s="32" t="n">
        <x:f>IF(A235=1,I235,N234+I235)</x:f>
        <x:v>0</x:v>
      </x:c>
      <x:c r="O235" s="32" t="n">
        <x:f>IF(A235=1,G235,O234+G235)</x:f>
        <x:v>3671325</x:v>
      </x:c>
      <x:c r="P235" s="37" t="n">
        <x:f>EDATE(Dashboard!$B$10,A235)</x:f>
        <x:v>52140</x:v>
      </x:c>
    </x:row>
    <x:row r="236">
      <x:c r="A236" s="33" t="n">
        <x:v>235</x:v>
      </x:c>
      <x:c r="B236" s="33" t="str">
        <x:f>IF(A236&lt;=Dashboard!$F$8,"Holiday",IF(A236&lt;=Dashboard!$F$8+Dashboard!$F$7,"Repayment","Closed"))</x:f>
        <x:v>Closed</x:v>
      </x:c>
      <x:c r="C236" s="32">
        <x:f>IF(A236=1,Dashboard!$B$6,IF(B236="Holiday",J235,L235))</x:f>
      </x:c>
      <x:c r="D236" s="32">
        <x:f>IF(A236=1,0,IF(B236="Holiday",K235,0))</x:f>
      </x:c>
      <x:c r="E236" s="32">
        <x:f>C236+D236</x:f>
      </x:c>
      <x:c r="F236" s="32">
        <x:f>IF(B236="Holiday",IF(Dashboard!$B$14="Principal Only",MIN(Dashboard!$B$15,C236),0),0)</x:f>
      </x:c>
      <x:c r="G236" s="32" t="n">
        <x:f>IF(B236="Closed",0,IF(B236="Holiday",IF(Dashboard!$B$14="Interest Only",C236*Dashboard!$F$6,MAX(0,(C236-F236)*Dashboard!$F$6)),E236*Dashboard!$F$6))</x:f>
        <x:v>0</x:v>
      </x:c>
      <x:c r="H236" s="32" t="n">
        <x:f>IF(B236="Holiday",IF(Dashboard!$B$14="Interest Only",G236,F236),IF(B236="Closed",0,MIN(Dashboard!$F$10,E236+G236)))</x:f>
        <x:v>0</x:v>
      </x:c>
      <x:c r="I236" s="32" t="n">
        <x:f>IF(B236="Holiday",F236,IF(B236="Closed",0,MAX(0,H236-G236)))</x:f>
        <x:v>0</x:v>
      </x:c>
      <x:c r="J236" s="32" t="n">
        <x:f>IF(B236="Holiday",MAX(0,C236-F236),IF(B236="Closed",0,MAX(0,E236-I236)))</x:f>
        <x:v>0</x:v>
      </x:c>
      <x:c r="K236" s="32" t="n">
        <x:f>IF(B236="Holiday",IF(Dashboard!$B$14="Interest Only",D236,D236+G236),0)</x:f>
        <x:v>0</x:v>
      </x:c>
      <x:c r="L236" s="32" t="n">
        <x:f>J236+K236</x:f>
        <x:v>0</x:v>
      </x:c>
      <x:c r="M236" s="32" t="n">
        <x:f>IF(A236=1,H236,M235+H236)</x:f>
        <x:v>0</x:v>
      </x:c>
      <x:c r="N236" s="32" t="n">
        <x:f>IF(A236=1,I236,N235+I236)</x:f>
        <x:v>0</x:v>
      </x:c>
      <x:c r="O236" s="32" t="n">
        <x:f>IF(A236=1,G236,O235+G236)</x:f>
        <x:v>3671325</x:v>
      </x:c>
      <x:c r="P236" s="37" t="n">
        <x:f>EDATE(Dashboard!$B$10,A236)</x:f>
        <x:v>52171</x:v>
      </x:c>
    </x:row>
    <x:row r="237">
      <x:c r="A237" s="33" t="n">
        <x:v>236</x:v>
      </x:c>
      <x:c r="B237" s="33" t="str">
        <x:f>IF(A237&lt;=Dashboard!$F$8,"Holiday",IF(A237&lt;=Dashboard!$F$8+Dashboard!$F$7,"Repayment","Closed"))</x:f>
        <x:v>Closed</x:v>
      </x:c>
      <x:c r="C237" s="32">
        <x:f>IF(A237=1,Dashboard!$B$6,IF(B237="Holiday",J236,L236))</x:f>
      </x:c>
      <x:c r="D237" s="32">
        <x:f>IF(A237=1,0,IF(B237="Holiday",K236,0))</x:f>
      </x:c>
      <x:c r="E237" s="32">
        <x:f>C237+D237</x:f>
      </x:c>
      <x:c r="F237" s="32">
        <x:f>IF(B237="Holiday",IF(Dashboard!$B$14="Principal Only",MIN(Dashboard!$B$15,C237),0),0)</x:f>
      </x:c>
      <x:c r="G237" s="32" t="n">
        <x:f>IF(B237="Closed",0,IF(B237="Holiday",IF(Dashboard!$B$14="Interest Only",C237*Dashboard!$F$6,MAX(0,(C237-F237)*Dashboard!$F$6)),E237*Dashboard!$F$6))</x:f>
        <x:v>0</x:v>
      </x:c>
      <x:c r="H237" s="32" t="n">
        <x:f>IF(B237="Holiday",IF(Dashboard!$B$14="Interest Only",G237,F237),IF(B237="Closed",0,MIN(Dashboard!$F$10,E237+G237)))</x:f>
        <x:v>0</x:v>
      </x:c>
      <x:c r="I237" s="32" t="n">
        <x:f>IF(B237="Holiday",F237,IF(B237="Closed",0,MAX(0,H237-G237)))</x:f>
        <x:v>0</x:v>
      </x:c>
      <x:c r="J237" s="32" t="n">
        <x:f>IF(B237="Holiday",MAX(0,C237-F237),IF(B237="Closed",0,MAX(0,E237-I237)))</x:f>
        <x:v>0</x:v>
      </x:c>
      <x:c r="K237" s="32" t="n">
        <x:f>IF(B237="Holiday",IF(Dashboard!$B$14="Interest Only",D237,D237+G237),0)</x:f>
        <x:v>0</x:v>
      </x:c>
      <x:c r="L237" s="32" t="n">
        <x:f>J237+K237</x:f>
        <x:v>0</x:v>
      </x:c>
      <x:c r="M237" s="32" t="n">
        <x:f>IF(A237=1,H237,M236+H237)</x:f>
        <x:v>0</x:v>
      </x:c>
      <x:c r="N237" s="32" t="n">
        <x:f>IF(A237=1,I237,N236+I237)</x:f>
        <x:v>0</x:v>
      </x:c>
      <x:c r="O237" s="32" t="n">
        <x:f>IF(A237=1,G237,O236+G237)</x:f>
        <x:v>3671325</x:v>
      </x:c>
      <x:c r="P237" s="37" t="n">
        <x:f>EDATE(Dashboard!$B$10,A237)</x:f>
        <x:v>52201</x:v>
      </x:c>
    </x:row>
    <x:row r="238">
      <x:c r="A238" s="33" t="n">
        <x:v>237</x:v>
      </x:c>
      <x:c r="B238" s="33" t="str">
        <x:f>IF(A238&lt;=Dashboard!$F$8,"Holiday",IF(A238&lt;=Dashboard!$F$8+Dashboard!$F$7,"Repayment","Closed"))</x:f>
        <x:v>Closed</x:v>
      </x:c>
      <x:c r="C238" s="32">
        <x:f>IF(A238=1,Dashboard!$B$6,IF(B238="Holiday",J237,L237))</x:f>
      </x:c>
      <x:c r="D238" s="32">
        <x:f>IF(A238=1,0,IF(B238="Holiday",K237,0))</x:f>
      </x:c>
      <x:c r="E238" s="32">
        <x:f>C238+D238</x:f>
      </x:c>
      <x:c r="F238" s="32">
        <x:f>IF(B238="Holiday",IF(Dashboard!$B$14="Principal Only",MIN(Dashboard!$B$15,C238),0),0)</x:f>
      </x:c>
      <x:c r="G238" s="32" t="n">
        <x:f>IF(B238="Closed",0,IF(B238="Holiday",IF(Dashboard!$B$14="Interest Only",C238*Dashboard!$F$6,MAX(0,(C238-F238)*Dashboard!$F$6)),E238*Dashboard!$F$6))</x:f>
        <x:v>0</x:v>
      </x:c>
      <x:c r="H238" s="32" t="n">
        <x:f>IF(B238="Holiday",IF(Dashboard!$B$14="Interest Only",G238,F238),IF(B238="Closed",0,MIN(Dashboard!$F$10,E238+G238)))</x:f>
        <x:v>0</x:v>
      </x:c>
      <x:c r="I238" s="32" t="n">
        <x:f>IF(B238="Holiday",F238,IF(B238="Closed",0,MAX(0,H238-G238)))</x:f>
        <x:v>0</x:v>
      </x:c>
      <x:c r="J238" s="32" t="n">
        <x:f>IF(B238="Holiday",MAX(0,C238-F238),IF(B238="Closed",0,MAX(0,E238-I238)))</x:f>
        <x:v>0</x:v>
      </x:c>
      <x:c r="K238" s="32" t="n">
        <x:f>IF(B238="Holiday",IF(Dashboard!$B$14="Interest Only",D238,D238+G238),0)</x:f>
        <x:v>0</x:v>
      </x:c>
      <x:c r="L238" s="32" t="n">
        <x:f>J238+K238</x:f>
        <x:v>0</x:v>
      </x:c>
      <x:c r="M238" s="32" t="n">
        <x:f>IF(A238=1,H238,M237+H238)</x:f>
        <x:v>0</x:v>
      </x:c>
      <x:c r="N238" s="32" t="n">
        <x:f>IF(A238=1,I238,N237+I238)</x:f>
        <x:v>0</x:v>
      </x:c>
      <x:c r="O238" s="32" t="n">
        <x:f>IF(A238=1,G238,O237+G238)</x:f>
        <x:v>3671325</x:v>
      </x:c>
      <x:c r="P238" s="37" t="n">
        <x:f>EDATE(Dashboard!$B$10,A238)</x:f>
        <x:v>52232</x:v>
      </x:c>
    </x:row>
    <x:row r="239">
      <x:c r="A239" s="33" t="n">
        <x:v>238</x:v>
      </x:c>
      <x:c r="B239" s="33" t="str">
        <x:f>IF(A239&lt;=Dashboard!$F$8,"Holiday",IF(A239&lt;=Dashboard!$F$8+Dashboard!$F$7,"Repayment","Closed"))</x:f>
        <x:v>Closed</x:v>
      </x:c>
      <x:c r="C239" s="32">
        <x:f>IF(A239=1,Dashboard!$B$6,IF(B239="Holiday",J238,L238))</x:f>
      </x:c>
      <x:c r="D239" s="32">
        <x:f>IF(A239=1,0,IF(B239="Holiday",K238,0))</x:f>
      </x:c>
      <x:c r="E239" s="32">
        <x:f>C239+D239</x:f>
      </x:c>
      <x:c r="F239" s="32">
        <x:f>IF(B239="Holiday",IF(Dashboard!$B$14="Principal Only",MIN(Dashboard!$B$15,C239),0),0)</x:f>
      </x:c>
      <x:c r="G239" s="32" t="n">
        <x:f>IF(B239="Closed",0,IF(B239="Holiday",IF(Dashboard!$B$14="Interest Only",C239*Dashboard!$F$6,MAX(0,(C239-F239)*Dashboard!$F$6)),E239*Dashboard!$F$6))</x:f>
        <x:v>0</x:v>
      </x:c>
      <x:c r="H239" s="32" t="n">
        <x:f>IF(B239="Holiday",IF(Dashboard!$B$14="Interest Only",G239,F239),IF(B239="Closed",0,MIN(Dashboard!$F$10,E239+G239)))</x:f>
        <x:v>0</x:v>
      </x:c>
      <x:c r="I239" s="32" t="n">
        <x:f>IF(B239="Holiday",F239,IF(B239="Closed",0,MAX(0,H239-G239)))</x:f>
        <x:v>0</x:v>
      </x:c>
      <x:c r="J239" s="32" t="n">
        <x:f>IF(B239="Holiday",MAX(0,C239-F239),IF(B239="Closed",0,MAX(0,E239-I239)))</x:f>
        <x:v>0</x:v>
      </x:c>
      <x:c r="K239" s="32" t="n">
        <x:f>IF(B239="Holiday",IF(Dashboard!$B$14="Interest Only",D239,D239+G239),0)</x:f>
        <x:v>0</x:v>
      </x:c>
      <x:c r="L239" s="32" t="n">
        <x:f>J239+K239</x:f>
        <x:v>0</x:v>
      </x:c>
      <x:c r="M239" s="32" t="n">
        <x:f>IF(A239=1,H239,M238+H239)</x:f>
        <x:v>0</x:v>
      </x:c>
      <x:c r="N239" s="32" t="n">
        <x:f>IF(A239=1,I239,N238+I239)</x:f>
        <x:v>0</x:v>
      </x:c>
      <x:c r="O239" s="32" t="n">
        <x:f>IF(A239=1,G239,O238+G239)</x:f>
        <x:v>3671325</x:v>
      </x:c>
      <x:c r="P239" s="37" t="n">
        <x:f>EDATE(Dashboard!$B$10,A239)</x:f>
        <x:v>52263</x:v>
      </x:c>
    </x:row>
    <x:row r="240">
      <x:c r="A240" s="33" t="n">
        <x:v>239</x:v>
      </x:c>
      <x:c r="B240" s="33" t="str">
        <x:f>IF(A240&lt;=Dashboard!$F$8,"Holiday",IF(A240&lt;=Dashboard!$F$8+Dashboard!$F$7,"Repayment","Closed"))</x:f>
        <x:v>Closed</x:v>
      </x:c>
      <x:c r="C240" s="32">
        <x:f>IF(A240=1,Dashboard!$B$6,IF(B240="Holiday",J239,L239))</x:f>
      </x:c>
      <x:c r="D240" s="32">
        <x:f>IF(A240=1,0,IF(B240="Holiday",K239,0))</x:f>
      </x:c>
      <x:c r="E240" s="32">
        <x:f>C240+D240</x:f>
      </x:c>
      <x:c r="F240" s="32">
        <x:f>IF(B240="Holiday",IF(Dashboard!$B$14="Principal Only",MIN(Dashboard!$B$15,C240),0),0)</x:f>
      </x:c>
      <x:c r="G240" s="32" t="n">
        <x:f>IF(B240="Closed",0,IF(B240="Holiday",IF(Dashboard!$B$14="Interest Only",C240*Dashboard!$F$6,MAX(0,(C240-F240)*Dashboard!$F$6)),E240*Dashboard!$F$6))</x:f>
        <x:v>0</x:v>
      </x:c>
      <x:c r="H240" s="32" t="n">
        <x:f>IF(B240="Holiday",IF(Dashboard!$B$14="Interest Only",G240,F240),IF(B240="Closed",0,MIN(Dashboard!$F$10,E240+G240)))</x:f>
        <x:v>0</x:v>
      </x:c>
      <x:c r="I240" s="32" t="n">
        <x:f>IF(B240="Holiday",F240,IF(B240="Closed",0,MAX(0,H240-G240)))</x:f>
        <x:v>0</x:v>
      </x:c>
      <x:c r="J240" s="32" t="n">
        <x:f>IF(B240="Holiday",MAX(0,C240-F240),IF(B240="Closed",0,MAX(0,E240-I240)))</x:f>
        <x:v>0</x:v>
      </x:c>
      <x:c r="K240" s="32" t="n">
        <x:f>IF(B240="Holiday",IF(Dashboard!$B$14="Interest Only",D240,D240+G240),0)</x:f>
        <x:v>0</x:v>
      </x:c>
      <x:c r="L240" s="32" t="n">
        <x:f>J240+K240</x:f>
        <x:v>0</x:v>
      </x:c>
      <x:c r="M240" s="32" t="n">
        <x:f>IF(A240=1,H240,M239+H240)</x:f>
        <x:v>0</x:v>
      </x:c>
      <x:c r="N240" s="32" t="n">
        <x:f>IF(A240=1,I240,N239+I240)</x:f>
        <x:v>0</x:v>
      </x:c>
      <x:c r="O240" s="32" t="n">
        <x:f>IF(A240=1,G240,O239+G240)</x:f>
        <x:v>3671325</x:v>
      </x:c>
      <x:c r="P240" s="37" t="n">
        <x:f>EDATE(Dashboard!$B$10,A240)</x:f>
        <x:v>52291</x:v>
      </x:c>
    </x:row>
    <x:row r="241">
      <x:c r="A241" s="33" t="n">
        <x:v>240</x:v>
      </x:c>
      <x:c r="B241" s="33" t="str">
        <x:f>IF(A241&lt;=Dashboard!$F$8,"Holiday",IF(A241&lt;=Dashboard!$F$8+Dashboard!$F$7,"Repayment","Closed"))</x:f>
        <x:v>Closed</x:v>
      </x:c>
      <x:c r="C241" s="32">
        <x:f>IF(A241=1,Dashboard!$B$6,IF(B241="Holiday",J240,L240))</x:f>
      </x:c>
      <x:c r="D241" s="32">
        <x:f>IF(A241=1,0,IF(B241="Holiday",K240,0))</x:f>
      </x:c>
      <x:c r="E241" s="32">
        <x:f>C241+D241</x:f>
      </x:c>
      <x:c r="F241" s="32">
        <x:f>IF(B241="Holiday",IF(Dashboard!$B$14="Principal Only",MIN(Dashboard!$B$15,C241),0),0)</x:f>
      </x:c>
      <x:c r="G241" s="32" t="n">
        <x:f>IF(B241="Closed",0,IF(B241="Holiday",IF(Dashboard!$B$14="Interest Only",C241*Dashboard!$F$6,MAX(0,(C241-F241)*Dashboard!$F$6)),E241*Dashboard!$F$6))</x:f>
        <x:v>0</x:v>
      </x:c>
      <x:c r="H241" s="32" t="n">
        <x:f>IF(B241="Holiday",IF(Dashboard!$B$14="Interest Only",G241,F241),IF(B241="Closed",0,MIN(Dashboard!$F$10,E241+G241)))</x:f>
        <x:v>0</x:v>
      </x:c>
      <x:c r="I241" s="32" t="n">
        <x:f>IF(B241="Holiday",F241,IF(B241="Closed",0,MAX(0,H241-G241)))</x:f>
        <x:v>0</x:v>
      </x:c>
      <x:c r="J241" s="32" t="n">
        <x:f>IF(B241="Holiday",MAX(0,C241-F241),IF(B241="Closed",0,MAX(0,E241-I241)))</x:f>
        <x:v>0</x:v>
      </x:c>
      <x:c r="K241" s="32" t="n">
        <x:f>IF(B241="Holiday",IF(Dashboard!$B$14="Interest Only",D241,D241+G241),0)</x:f>
        <x:v>0</x:v>
      </x:c>
      <x:c r="L241" s="32" t="n">
        <x:f>J241+K241</x:f>
        <x:v>0</x:v>
      </x:c>
      <x:c r="M241" s="32" t="n">
        <x:f>IF(A241=1,H241,M240+H241)</x:f>
        <x:v>0</x:v>
      </x:c>
      <x:c r="N241" s="32" t="n">
        <x:f>IF(A241=1,I241,N240+I241)</x:f>
        <x:v>0</x:v>
      </x:c>
      <x:c r="O241" s="32" t="n">
        <x:f>IF(A241=1,G241,O240+G241)</x:f>
        <x:v>3671325</x:v>
      </x:c>
      <x:c r="P241" s="37" t="n">
        <x:f>EDATE(Dashboard!$B$10,A241)</x:f>
        <x:v>52322</x:v>
      </x:c>
    </x:row>
    <x:row r="242">
      <x:c r="A242" s="33" t="n">
        <x:v>241</x:v>
      </x:c>
      <x:c r="B242" s="33" t="str">
        <x:f>IF(A242&lt;=Dashboard!$F$8,"Holiday",IF(A242&lt;=Dashboard!$F$8+Dashboard!$F$7,"Repayment","Closed"))</x:f>
        <x:v>Closed</x:v>
      </x:c>
      <x:c r="C242" s="32">
        <x:f>IF(A242=1,Dashboard!$B$6,IF(B242="Holiday",J241,L241))</x:f>
      </x:c>
      <x:c r="D242" s="32">
        <x:f>IF(A242=1,0,IF(B242="Holiday",K241,0))</x:f>
      </x:c>
      <x:c r="E242" s="32">
        <x:f>C242+D242</x:f>
      </x:c>
      <x:c r="F242" s="32">
        <x:f>IF(B242="Holiday",IF(Dashboard!$B$14="Principal Only",MIN(Dashboard!$B$15,C242),0),0)</x:f>
      </x:c>
      <x:c r="G242" s="32" t="n">
        <x:f>IF(B242="Closed",0,IF(B242="Holiday",IF(Dashboard!$B$14="Interest Only",C242*Dashboard!$F$6,MAX(0,(C242-F242)*Dashboard!$F$6)),E242*Dashboard!$F$6))</x:f>
        <x:v>0</x:v>
      </x:c>
      <x:c r="H242" s="32" t="n">
        <x:f>IF(B242="Holiday",IF(Dashboard!$B$14="Interest Only",G242,F242),IF(B242="Closed",0,MIN(Dashboard!$F$10,E242+G242)))</x:f>
        <x:v>0</x:v>
      </x:c>
      <x:c r="I242" s="32" t="n">
        <x:f>IF(B242="Holiday",F242,IF(B242="Closed",0,MAX(0,H242-G242)))</x:f>
        <x:v>0</x:v>
      </x:c>
      <x:c r="J242" s="32" t="n">
        <x:f>IF(B242="Holiday",MAX(0,C242-F242),IF(B242="Closed",0,MAX(0,E242-I242)))</x:f>
        <x:v>0</x:v>
      </x:c>
      <x:c r="K242" s="32" t="n">
        <x:f>IF(B242="Holiday",IF(Dashboard!$B$14="Interest Only",D242,D242+G242),0)</x:f>
        <x:v>0</x:v>
      </x:c>
      <x:c r="L242" s="32" t="n">
        <x:f>J242+K242</x:f>
        <x:v>0</x:v>
      </x:c>
      <x:c r="M242" s="32" t="n">
        <x:f>IF(A242=1,H242,M241+H242)</x:f>
        <x:v>0</x:v>
      </x:c>
      <x:c r="N242" s="32" t="n">
        <x:f>IF(A242=1,I242,N241+I242)</x:f>
        <x:v>0</x:v>
      </x:c>
      <x:c r="O242" s="32" t="n">
        <x:f>IF(A242=1,G242,O241+G242)</x:f>
        <x:v>3671325</x:v>
      </x:c>
      <x:c r="P242" s="37" t="n">
        <x:f>EDATE(Dashboard!$B$10,A242)</x:f>
        <x:v>52352</x:v>
      </x:c>
    </x:row>
    <x:row r="243">
      <x:c r="A243" s="33" t="n">
        <x:v>242</x:v>
      </x:c>
      <x:c r="B243" s="33" t="str">
        <x:f>IF(A243&lt;=Dashboard!$F$8,"Holiday",IF(A243&lt;=Dashboard!$F$8+Dashboard!$F$7,"Repayment","Closed"))</x:f>
        <x:v>Closed</x:v>
      </x:c>
      <x:c r="C243" s="32">
        <x:f>IF(A243=1,Dashboard!$B$6,IF(B243="Holiday",J242,L242))</x:f>
      </x:c>
      <x:c r="D243" s="32">
        <x:f>IF(A243=1,0,IF(B243="Holiday",K242,0))</x:f>
      </x:c>
      <x:c r="E243" s="32">
        <x:f>C243+D243</x:f>
      </x:c>
      <x:c r="F243" s="32">
        <x:f>IF(B243="Holiday",IF(Dashboard!$B$14="Principal Only",MIN(Dashboard!$B$15,C243),0),0)</x:f>
      </x:c>
      <x:c r="G243" s="32" t="n">
        <x:f>IF(B243="Closed",0,IF(B243="Holiday",IF(Dashboard!$B$14="Interest Only",C243*Dashboard!$F$6,MAX(0,(C243-F243)*Dashboard!$F$6)),E243*Dashboard!$F$6))</x:f>
        <x:v>0</x:v>
      </x:c>
      <x:c r="H243" s="32" t="n">
        <x:f>IF(B243="Holiday",IF(Dashboard!$B$14="Interest Only",G243,F243),IF(B243="Closed",0,MIN(Dashboard!$F$10,E243+G243)))</x:f>
        <x:v>0</x:v>
      </x:c>
      <x:c r="I243" s="32" t="n">
        <x:f>IF(B243="Holiday",F243,IF(B243="Closed",0,MAX(0,H243-G243)))</x:f>
        <x:v>0</x:v>
      </x:c>
      <x:c r="J243" s="32" t="n">
        <x:f>IF(B243="Holiday",MAX(0,C243-F243),IF(B243="Closed",0,MAX(0,E243-I243)))</x:f>
        <x:v>0</x:v>
      </x:c>
      <x:c r="K243" s="32" t="n">
        <x:f>IF(B243="Holiday",IF(Dashboard!$B$14="Interest Only",D243,D243+G243),0)</x:f>
        <x:v>0</x:v>
      </x:c>
      <x:c r="L243" s="32" t="n">
        <x:f>J243+K243</x:f>
        <x:v>0</x:v>
      </x:c>
      <x:c r="M243" s="32" t="n">
        <x:f>IF(A243=1,H243,M242+H243)</x:f>
        <x:v>0</x:v>
      </x:c>
      <x:c r="N243" s="32" t="n">
        <x:f>IF(A243=1,I243,N242+I243)</x:f>
        <x:v>0</x:v>
      </x:c>
      <x:c r="O243" s="32" t="n">
        <x:f>IF(A243=1,G243,O242+G243)</x:f>
        <x:v>3671325</x:v>
      </x:c>
      <x:c r="P243" s="37" t="n">
        <x:f>EDATE(Dashboard!$B$10,A243)</x:f>
        <x:v>52383</x:v>
      </x:c>
    </x:row>
    <x:row r="244">
      <x:c r="A244" s="33" t="n">
        <x:v>243</x:v>
      </x:c>
      <x:c r="B244" s="33" t="str">
        <x:f>IF(A244&lt;=Dashboard!$F$8,"Holiday",IF(A244&lt;=Dashboard!$F$8+Dashboard!$F$7,"Repayment","Closed"))</x:f>
        <x:v>Closed</x:v>
      </x:c>
      <x:c r="C244" s="32">
        <x:f>IF(A244=1,Dashboard!$B$6,IF(B244="Holiday",J243,L243))</x:f>
      </x:c>
      <x:c r="D244" s="32">
        <x:f>IF(A244=1,0,IF(B244="Holiday",K243,0))</x:f>
      </x:c>
      <x:c r="E244" s="32">
        <x:f>C244+D244</x:f>
      </x:c>
      <x:c r="F244" s="32">
        <x:f>IF(B244="Holiday",IF(Dashboard!$B$14="Principal Only",MIN(Dashboard!$B$15,C244),0),0)</x:f>
      </x:c>
      <x:c r="G244" s="32" t="n">
        <x:f>IF(B244="Closed",0,IF(B244="Holiday",IF(Dashboard!$B$14="Interest Only",C244*Dashboard!$F$6,MAX(0,(C244-F244)*Dashboard!$F$6)),E244*Dashboard!$F$6))</x:f>
        <x:v>0</x:v>
      </x:c>
      <x:c r="H244" s="32" t="n">
        <x:f>IF(B244="Holiday",IF(Dashboard!$B$14="Interest Only",G244,F244),IF(B244="Closed",0,MIN(Dashboard!$F$10,E244+G244)))</x:f>
        <x:v>0</x:v>
      </x:c>
      <x:c r="I244" s="32" t="n">
        <x:f>IF(B244="Holiday",F244,IF(B244="Closed",0,MAX(0,H244-G244)))</x:f>
        <x:v>0</x:v>
      </x:c>
      <x:c r="J244" s="32" t="n">
        <x:f>IF(B244="Holiday",MAX(0,C244-F244),IF(B244="Closed",0,MAX(0,E244-I244)))</x:f>
        <x:v>0</x:v>
      </x:c>
      <x:c r="K244" s="32" t="n">
        <x:f>IF(B244="Holiday",IF(Dashboard!$B$14="Interest Only",D244,D244+G244),0)</x:f>
        <x:v>0</x:v>
      </x:c>
      <x:c r="L244" s="32" t="n">
        <x:f>J244+K244</x:f>
        <x:v>0</x:v>
      </x:c>
      <x:c r="M244" s="32" t="n">
        <x:f>IF(A244=1,H244,M243+H244)</x:f>
        <x:v>0</x:v>
      </x:c>
      <x:c r="N244" s="32" t="n">
        <x:f>IF(A244=1,I244,N243+I244)</x:f>
        <x:v>0</x:v>
      </x:c>
      <x:c r="O244" s="32" t="n">
        <x:f>IF(A244=1,G244,O243+G244)</x:f>
        <x:v>3671325</x:v>
      </x:c>
      <x:c r="P244" s="37" t="n">
        <x:f>EDATE(Dashboard!$B$10,A244)</x:f>
        <x:v>52413</x:v>
      </x:c>
    </x:row>
    <x:row r="245">
      <x:c r="A245" s="33" t="n">
        <x:v>244</x:v>
      </x:c>
      <x:c r="B245" s="33" t="str">
        <x:f>IF(A245&lt;=Dashboard!$F$8,"Holiday",IF(A245&lt;=Dashboard!$F$8+Dashboard!$F$7,"Repayment","Closed"))</x:f>
        <x:v>Closed</x:v>
      </x:c>
      <x:c r="C245" s="32">
        <x:f>IF(A245=1,Dashboard!$B$6,IF(B245="Holiday",J244,L244))</x:f>
      </x:c>
      <x:c r="D245" s="32">
        <x:f>IF(A245=1,0,IF(B245="Holiday",K244,0))</x:f>
      </x:c>
      <x:c r="E245" s="32">
        <x:f>C245+D245</x:f>
      </x:c>
      <x:c r="F245" s="32">
        <x:f>IF(B245="Holiday",IF(Dashboard!$B$14="Principal Only",MIN(Dashboard!$B$15,C245),0),0)</x:f>
      </x:c>
      <x:c r="G245" s="32" t="n">
        <x:f>IF(B245="Closed",0,IF(B245="Holiday",IF(Dashboard!$B$14="Interest Only",C245*Dashboard!$F$6,MAX(0,(C245-F245)*Dashboard!$F$6)),E245*Dashboard!$F$6))</x:f>
        <x:v>0</x:v>
      </x:c>
      <x:c r="H245" s="32" t="n">
        <x:f>IF(B245="Holiday",IF(Dashboard!$B$14="Interest Only",G245,F245),IF(B245="Closed",0,MIN(Dashboard!$F$10,E245+G245)))</x:f>
        <x:v>0</x:v>
      </x:c>
      <x:c r="I245" s="32" t="n">
        <x:f>IF(B245="Holiday",F245,IF(B245="Closed",0,MAX(0,H245-G245)))</x:f>
        <x:v>0</x:v>
      </x:c>
      <x:c r="J245" s="32" t="n">
        <x:f>IF(B245="Holiday",MAX(0,C245-F245),IF(B245="Closed",0,MAX(0,E245-I245)))</x:f>
        <x:v>0</x:v>
      </x:c>
      <x:c r="K245" s="32" t="n">
        <x:f>IF(B245="Holiday",IF(Dashboard!$B$14="Interest Only",D245,D245+G245),0)</x:f>
        <x:v>0</x:v>
      </x:c>
      <x:c r="L245" s="32" t="n">
        <x:f>J245+K245</x:f>
        <x:v>0</x:v>
      </x:c>
      <x:c r="M245" s="32" t="n">
        <x:f>IF(A245=1,H245,M244+H245)</x:f>
        <x:v>0</x:v>
      </x:c>
      <x:c r="N245" s="32" t="n">
        <x:f>IF(A245=1,I245,N244+I245)</x:f>
        <x:v>0</x:v>
      </x:c>
      <x:c r="O245" s="32" t="n">
        <x:f>IF(A245=1,G245,O244+G245)</x:f>
        <x:v>3671325</x:v>
      </x:c>
      <x:c r="P245" s="37" t="n">
        <x:f>EDATE(Dashboard!$B$10,A245)</x:f>
        <x:v>52444</x:v>
      </x:c>
    </x:row>
    <x:row r="246">
      <x:c r="A246" s="33" t="n">
        <x:v>245</x:v>
      </x:c>
      <x:c r="B246" s="33" t="str">
        <x:f>IF(A246&lt;=Dashboard!$F$8,"Holiday",IF(A246&lt;=Dashboard!$F$8+Dashboard!$F$7,"Repayment","Closed"))</x:f>
        <x:v>Closed</x:v>
      </x:c>
      <x:c r="C246" s="32">
        <x:f>IF(A246=1,Dashboard!$B$6,IF(B246="Holiday",J245,L245))</x:f>
      </x:c>
      <x:c r="D246" s="32">
        <x:f>IF(A246=1,0,IF(B246="Holiday",K245,0))</x:f>
      </x:c>
      <x:c r="E246" s="32">
        <x:f>C246+D246</x:f>
      </x:c>
      <x:c r="F246" s="32">
        <x:f>IF(B246="Holiday",IF(Dashboard!$B$14="Principal Only",MIN(Dashboard!$B$15,C246),0),0)</x:f>
      </x:c>
      <x:c r="G246" s="32" t="n">
        <x:f>IF(B246="Closed",0,IF(B246="Holiday",IF(Dashboard!$B$14="Interest Only",C246*Dashboard!$F$6,MAX(0,(C246-F246)*Dashboard!$F$6)),E246*Dashboard!$F$6))</x:f>
        <x:v>0</x:v>
      </x:c>
      <x:c r="H246" s="32" t="n">
        <x:f>IF(B246="Holiday",IF(Dashboard!$B$14="Interest Only",G246,F246),IF(B246="Closed",0,MIN(Dashboard!$F$10,E246+G246)))</x:f>
        <x:v>0</x:v>
      </x:c>
      <x:c r="I246" s="32" t="n">
        <x:f>IF(B246="Holiday",F246,IF(B246="Closed",0,MAX(0,H246-G246)))</x:f>
        <x:v>0</x:v>
      </x:c>
      <x:c r="J246" s="32" t="n">
        <x:f>IF(B246="Holiday",MAX(0,C246-F246),IF(B246="Closed",0,MAX(0,E246-I246)))</x:f>
        <x:v>0</x:v>
      </x:c>
      <x:c r="K246" s="32" t="n">
        <x:f>IF(B246="Holiday",IF(Dashboard!$B$14="Interest Only",D246,D246+G246),0)</x:f>
        <x:v>0</x:v>
      </x:c>
      <x:c r="L246" s="32" t="n">
        <x:f>J246+K246</x:f>
        <x:v>0</x:v>
      </x:c>
      <x:c r="M246" s="32" t="n">
        <x:f>IF(A246=1,H246,M245+H246)</x:f>
        <x:v>0</x:v>
      </x:c>
      <x:c r="N246" s="32" t="n">
        <x:f>IF(A246=1,I246,N245+I246)</x:f>
        <x:v>0</x:v>
      </x:c>
      <x:c r="O246" s="32" t="n">
        <x:f>IF(A246=1,G246,O245+G246)</x:f>
        <x:v>3671325</x:v>
      </x:c>
      <x:c r="P246" s="37" t="n">
        <x:f>EDATE(Dashboard!$B$10,A246)</x:f>
        <x:v>52475</x:v>
      </x:c>
    </x:row>
    <x:row r="247">
      <x:c r="A247" s="33" t="n">
        <x:v>246</x:v>
      </x:c>
      <x:c r="B247" s="33" t="str">
        <x:f>IF(A247&lt;=Dashboard!$F$8,"Holiday",IF(A247&lt;=Dashboard!$F$8+Dashboard!$F$7,"Repayment","Closed"))</x:f>
        <x:v>Closed</x:v>
      </x:c>
      <x:c r="C247" s="32">
        <x:f>IF(A247=1,Dashboard!$B$6,IF(B247="Holiday",J246,L246))</x:f>
      </x:c>
      <x:c r="D247" s="32">
        <x:f>IF(A247=1,0,IF(B247="Holiday",K246,0))</x:f>
      </x:c>
      <x:c r="E247" s="32">
        <x:f>C247+D247</x:f>
      </x:c>
      <x:c r="F247" s="32">
        <x:f>IF(B247="Holiday",IF(Dashboard!$B$14="Principal Only",MIN(Dashboard!$B$15,C247),0),0)</x:f>
      </x:c>
      <x:c r="G247" s="32" t="n">
        <x:f>IF(B247="Closed",0,IF(B247="Holiday",IF(Dashboard!$B$14="Interest Only",C247*Dashboard!$F$6,MAX(0,(C247-F247)*Dashboard!$F$6)),E247*Dashboard!$F$6))</x:f>
        <x:v>0</x:v>
      </x:c>
      <x:c r="H247" s="32" t="n">
        <x:f>IF(B247="Holiday",IF(Dashboard!$B$14="Interest Only",G247,F247),IF(B247="Closed",0,MIN(Dashboard!$F$10,E247+G247)))</x:f>
        <x:v>0</x:v>
      </x:c>
      <x:c r="I247" s="32" t="n">
        <x:f>IF(B247="Holiday",F247,IF(B247="Closed",0,MAX(0,H247-G247)))</x:f>
        <x:v>0</x:v>
      </x:c>
      <x:c r="J247" s="32" t="n">
        <x:f>IF(B247="Holiday",MAX(0,C247-F247),IF(B247="Closed",0,MAX(0,E247-I247)))</x:f>
        <x:v>0</x:v>
      </x:c>
      <x:c r="K247" s="32" t="n">
        <x:f>IF(B247="Holiday",IF(Dashboard!$B$14="Interest Only",D247,D247+G247),0)</x:f>
        <x:v>0</x:v>
      </x:c>
      <x:c r="L247" s="32" t="n">
        <x:f>J247+K247</x:f>
        <x:v>0</x:v>
      </x:c>
      <x:c r="M247" s="32" t="n">
        <x:f>IF(A247=1,H247,M246+H247)</x:f>
        <x:v>0</x:v>
      </x:c>
      <x:c r="N247" s="32" t="n">
        <x:f>IF(A247=1,I247,N246+I247)</x:f>
        <x:v>0</x:v>
      </x:c>
      <x:c r="O247" s="32" t="n">
        <x:f>IF(A247=1,G247,O246+G247)</x:f>
        <x:v>3671325</x:v>
      </x:c>
      <x:c r="P247" s="37" t="n">
        <x:f>EDATE(Dashboard!$B$10,A247)</x:f>
        <x:v>52505</x:v>
      </x:c>
    </x:row>
    <x:row r="248">
      <x:c r="A248" s="33" t="n">
        <x:v>247</x:v>
      </x:c>
      <x:c r="B248" s="33" t="str">
        <x:f>IF(A248&lt;=Dashboard!$F$8,"Holiday",IF(A248&lt;=Dashboard!$F$8+Dashboard!$F$7,"Repayment","Closed"))</x:f>
        <x:v>Closed</x:v>
      </x:c>
      <x:c r="C248" s="32">
        <x:f>IF(A248=1,Dashboard!$B$6,IF(B248="Holiday",J247,L247))</x:f>
      </x:c>
      <x:c r="D248" s="32">
        <x:f>IF(A248=1,0,IF(B248="Holiday",K247,0))</x:f>
      </x:c>
      <x:c r="E248" s="32">
        <x:f>C248+D248</x:f>
      </x:c>
      <x:c r="F248" s="32">
        <x:f>IF(B248="Holiday",IF(Dashboard!$B$14="Principal Only",MIN(Dashboard!$B$15,C248),0),0)</x:f>
      </x:c>
      <x:c r="G248" s="32" t="n">
        <x:f>IF(B248="Closed",0,IF(B248="Holiday",IF(Dashboard!$B$14="Interest Only",C248*Dashboard!$F$6,MAX(0,(C248-F248)*Dashboard!$F$6)),E248*Dashboard!$F$6))</x:f>
        <x:v>0</x:v>
      </x:c>
      <x:c r="H248" s="32" t="n">
        <x:f>IF(B248="Holiday",IF(Dashboard!$B$14="Interest Only",G248,F248),IF(B248="Closed",0,MIN(Dashboard!$F$10,E248+G248)))</x:f>
        <x:v>0</x:v>
      </x:c>
      <x:c r="I248" s="32" t="n">
        <x:f>IF(B248="Holiday",F248,IF(B248="Closed",0,MAX(0,H248-G248)))</x:f>
        <x:v>0</x:v>
      </x:c>
      <x:c r="J248" s="32" t="n">
        <x:f>IF(B248="Holiday",MAX(0,C248-F248),IF(B248="Closed",0,MAX(0,E248-I248)))</x:f>
        <x:v>0</x:v>
      </x:c>
      <x:c r="K248" s="32" t="n">
        <x:f>IF(B248="Holiday",IF(Dashboard!$B$14="Interest Only",D248,D248+G248),0)</x:f>
        <x:v>0</x:v>
      </x:c>
      <x:c r="L248" s="32" t="n">
        <x:f>J248+K248</x:f>
        <x:v>0</x:v>
      </x:c>
      <x:c r="M248" s="32" t="n">
        <x:f>IF(A248=1,H248,M247+H248)</x:f>
        <x:v>0</x:v>
      </x:c>
      <x:c r="N248" s="32" t="n">
        <x:f>IF(A248=1,I248,N247+I248)</x:f>
        <x:v>0</x:v>
      </x:c>
      <x:c r="O248" s="32" t="n">
        <x:f>IF(A248=1,G248,O247+G248)</x:f>
        <x:v>3671325</x:v>
      </x:c>
      <x:c r="P248" s="37" t="n">
        <x:f>EDATE(Dashboard!$B$10,A248)</x:f>
        <x:v>52536</x:v>
      </x:c>
    </x:row>
    <x:row r="249">
      <x:c r="A249" s="33" t="n">
        <x:v>248</x:v>
      </x:c>
      <x:c r="B249" s="33" t="str">
        <x:f>IF(A249&lt;=Dashboard!$F$8,"Holiday",IF(A249&lt;=Dashboard!$F$8+Dashboard!$F$7,"Repayment","Closed"))</x:f>
        <x:v>Closed</x:v>
      </x:c>
      <x:c r="C249" s="32">
        <x:f>IF(A249=1,Dashboard!$B$6,IF(B249="Holiday",J248,L248))</x:f>
      </x:c>
      <x:c r="D249" s="32">
        <x:f>IF(A249=1,0,IF(B249="Holiday",K248,0))</x:f>
      </x:c>
      <x:c r="E249" s="32">
        <x:f>C249+D249</x:f>
      </x:c>
      <x:c r="F249" s="32">
        <x:f>IF(B249="Holiday",IF(Dashboard!$B$14="Principal Only",MIN(Dashboard!$B$15,C249),0),0)</x:f>
      </x:c>
      <x:c r="G249" s="32" t="n">
        <x:f>IF(B249="Closed",0,IF(B249="Holiday",IF(Dashboard!$B$14="Interest Only",C249*Dashboard!$F$6,MAX(0,(C249-F249)*Dashboard!$F$6)),E249*Dashboard!$F$6))</x:f>
        <x:v>0</x:v>
      </x:c>
      <x:c r="H249" s="32" t="n">
        <x:f>IF(B249="Holiday",IF(Dashboard!$B$14="Interest Only",G249,F249),IF(B249="Closed",0,MIN(Dashboard!$F$10,E249+G249)))</x:f>
        <x:v>0</x:v>
      </x:c>
      <x:c r="I249" s="32" t="n">
        <x:f>IF(B249="Holiday",F249,IF(B249="Closed",0,MAX(0,H249-G249)))</x:f>
        <x:v>0</x:v>
      </x:c>
      <x:c r="J249" s="32" t="n">
        <x:f>IF(B249="Holiday",MAX(0,C249-F249),IF(B249="Closed",0,MAX(0,E249-I249)))</x:f>
        <x:v>0</x:v>
      </x:c>
      <x:c r="K249" s="32" t="n">
        <x:f>IF(B249="Holiday",IF(Dashboard!$B$14="Interest Only",D249,D249+G249),0)</x:f>
        <x:v>0</x:v>
      </x:c>
      <x:c r="L249" s="32" t="n">
        <x:f>J249+K249</x:f>
        <x:v>0</x:v>
      </x:c>
      <x:c r="M249" s="32" t="n">
        <x:f>IF(A249=1,H249,M248+H249)</x:f>
        <x:v>0</x:v>
      </x:c>
      <x:c r="N249" s="32" t="n">
        <x:f>IF(A249=1,I249,N248+I249)</x:f>
        <x:v>0</x:v>
      </x:c>
      <x:c r="O249" s="32" t="n">
        <x:f>IF(A249=1,G249,O248+G249)</x:f>
        <x:v>3671325</x:v>
      </x:c>
      <x:c r="P249" s="37" t="n">
        <x:f>EDATE(Dashboard!$B$10,A249)</x:f>
        <x:v>52566</x:v>
      </x:c>
    </x:row>
    <x:row r="250">
      <x:c r="A250" s="33" t="n">
        <x:v>249</x:v>
      </x:c>
      <x:c r="B250" s="33" t="str">
        <x:f>IF(A250&lt;=Dashboard!$F$8,"Holiday",IF(A250&lt;=Dashboard!$F$8+Dashboard!$F$7,"Repayment","Closed"))</x:f>
        <x:v>Closed</x:v>
      </x:c>
      <x:c r="C250" s="32">
        <x:f>IF(A250=1,Dashboard!$B$6,IF(B250="Holiday",J249,L249))</x:f>
      </x:c>
      <x:c r="D250" s="32">
        <x:f>IF(A250=1,0,IF(B250="Holiday",K249,0))</x:f>
      </x:c>
      <x:c r="E250" s="32">
        <x:f>C250+D250</x:f>
      </x:c>
      <x:c r="F250" s="32">
        <x:f>IF(B250="Holiday",IF(Dashboard!$B$14="Principal Only",MIN(Dashboard!$B$15,C250),0),0)</x:f>
      </x:c>
      <x:c r="G250" s="32" t="n">
        <x:f>IF(B250="Closed",0,IF(B250="Holiday",IF(Dashboard!$B$14="Interest Only",C250*Dashboard!$F$6,MAX(0,(C250-F250)*Dashboard!$F$6)),E250*Dashboard!$F$6))</x:f>
        <x:v>0</x:v>
      </x:c>
      <x:c r="H250" s="32" t="n">
        <x:f>IF(B250="Holiday",IF(Dashboard!$B$14="Interest Only",G250,F250),IF(B250="Closed",0,MIN(Dashboard!$F$10,E250+G250)))</x:f>
        <x:v>0</x:v>
      </x:c>
      <x:c r="I250" s="32" t="n">
        <x:f>IF(B250="Holiday",F250,IF(B250="Closed",0,MAX(0,H250-G250)))</x:f>
        <x:v>0</x:v>
      </x:c>
      <x:c r="J250" s="32" t="n">
        <x:f>IF(B250="Holiday",MAX(0,C250-F250),IF(B250="Closed",0,MAX(0,E250-I250)))</x:f>
        <x:v>0</x:v>
      </x:c>
      <x:c r="K250" s="32" t="n">
        <x:f>IF(B250="Holiday",IF(Dashboard!$B$14="Interest Only",D250,D250+G250),0)</x:f>
        <x:v>0</x:v>
      </x:c>
      <x:c r="L250" s="32" t="n">
        <x:f>J250+K250</x:f>
        <x:v>0</x:v>
      </x:c>
      <x:c r="M250" s="32" t="n">
        <x:f>IF(A250=1,H250,M249+H250)</x:f>
        <x:v>0</x:v>
      </x:c>
      <x:c r="N250" s="32" t="n">
        <x:f>IF(A250=1,I250,N249+I250)</x:f>
        <x:v>0</x:v>
      </x:c>
      <x:c r="O250" s="32" t="n">
        <x:f>IF(A250=1,G250,O249+G250)</x:f>
        <x:v>3671325</x:v>
      </x:c>
      <x:c r="P250" s="37" t="n">
        <x:f>EDATE(Dashboard!$B$10,A250)</x:f>
        <x:v>52597</x:v>
      </x:c>
    </x:row>
    <x:row r="251">
      <x:c r="A251" s="33" t="n">
        <x:v>250</x:v>
      </x:c>
      <x:c r="B251" s="33" t="str">
        <x:f>IF(A251&lt;=Dashboard!$F$8,"Holiday",IF(A251&lt;=Dashboard!$F$8+Dashboard!$F$7,"Repayment","Closed"))</x:f>
        <x:v>Closed</x:v>
      </x:c>
      <x:c r="C251" s="32">
        <x:f>IF(A251=1,Dashboard!$B$6,IF(B251="Holiday",J250,L250))</x:f>
      </x:c>
      <x:c r="D251" s="32">
        <x:f>IF(A251=1,0,IF(B251="Holiday",K250,0))</x:f>
      </x:c>
      <x:c r="E251" s="32">
        <x:f>C251+D251</x:f>
      </x:c>
      <x:c r="F251" s="32">
        <x:f>IF(B251="Holiday",IF(Dashboard!$B$14="Principal Only",MIN(Dashboard!$B$15,C251),0),0)</x:f>
      </x:c>
      <x:c r="G251" s="32" t="n">
        <x:f>IF(B251="Closed",0,IF(B251="Holiday",IF(Dashboard!$B$14="Interest Only",C251*Dashboard!$F$6,MAX(0,(C251-F251)*Dashboard!$F$6)),E251*Dashboard!$F$6))</x:f>
        <x:v>0</x:v>
      </x:c>
      <x:c r="H251" s="32" t="n">
        <x:f>IF(B251="Holiday",IF(Dashboard!$B$14="Interest Only",G251,F251),IF(B251="Closed",0,MIN(Dashboard!$F$10,E251+G251)))</x:f>
        <x:v>0</x:v>
      </x:c>
      <x:c r="I251" s="32" t="n">
        <x:f>IF(B251="Holiday",F251,IF(B251="Closed",0,MAX(0,H251-G251)))</x:f>
        <x:v>0</x:v>
      </x:c>
      <x:c r="J251" s="32" t="n">
        <x:f>IF(B251="Holiday",MAX(0,C251-F251),IF(B251="Closed",0,MAX(0,E251-I251)))</x:f>
        <x:v>0</x:v>
      </x:c>
      <x:c r="K251" s="32" t="n">
        <x:f>IF(B251="Holiday",IF(Dashboard!$B$14="Interest Only",D251,D251+G251),0)</x:f>
        <x:v>0</x:v>
      </x:c>
      <x:c r="L251" s="32" t="n">
        <x:f>J251+K251</x:f>
        <x:v>0</x:v>
      </x:c>
      <x:c r="M251" s="32" t="n">
        <x:f>IF(A251=1,H251,M250+H251)</x:f>
        <x:v>0</x:v>
      </x:c>
      <x:c r="N251" s="32" t="n">
        <x:f>IF(A251=1,I251,N250+I251)</x:f>
        <x:v>0</x:v>
      </x:c>
      <x:c r="O251" s="32" t="n">
        <x:f>IF(A251=1,G251,O250+G251)</x:f>
        <x:v>3671325</x:v>
      </x:c>
      <x:c r="P251" s="37" t="n">
        <x:f>EDATE(Dashboard!$B$10,A251)</x:f>
        <x:v>52628</x:v>
      </x:c>
    </x:row>
    <x:row r="252">
      <x:c r="A252" s="33" t="n">
        <x:v>251</x:v>
      </x:c>
      <x:c r="B252" s="33" t="str">
        <x:f>IF(A252&lt;=Dashboard!$F$8,"Holiday",IF(A252&lt;=Dashboard!$F$8+Dashboard!$F$7,"Repayment","Closed"))</x:f>
        <x:v>Closed</x:v>
      </x:c>
      <x:c r="C252" s="32">
        <x:f>IF(A252=1,Dashboard!$B$6,IF(B252="Holiday",J251,L251))</x:f>
      </x:c>
      <x:c r="D252" s="32">
        <x:f>IF(A252=1,0,IF(B252="Holiday",K251,0))</x:f>
      </x:c>
      <x:c r="E252" s="32">
        <x:f>C252+D252</x:f>
      </x:c>
      <x:c r="F252" s="32">
        <x:f>IF(B252="Holiday",IF(Dashboard!$B$14="Principal Only",MIN(Dashboard!$B$15,C252),0),0)</x:f>
      </x:c>
      <x:c r="G252" s="32" t="n">
        <x:f>IF(B252="Closed",0,IF(B252="Holiday",IF(Dashboard!$B$14="Interest Only",C252*Dashboard!$F$6,MAX(0,(C252-F252)*Dashboard!$F$6)),E252*Dashboard!$F$6))</x:f>
        <x:v>0</x:v>
      </x:c>
      <x:c r="H252" s="32" t="n">
        <x:f>IF(B252="Holiday",IF(Dashboard!$B$14="Interest Only",G252,F252),IF(B252="Closed",0,MIN(Dashboard!$F$10,E252+G252)))</x:f>
        <x:v>0</x:v>
      </x:c>
      <x:c r="I252" s="32" t="n">
        <x:f>IF(B252="Holiday",F252,IF(B252="Closed",0,MAX(0,H252-G252)))</x:f>
        <x:v>0</x:v>
      </x:c>
      <x:c r="J252" s="32" t="n">
        <x:f>IF(B252="Holiday",MAX(0,C252-F252),IF(B252="Closed",0,MAX(0,E252-I252)))</x:f>
        <x:v>0</x:v>
      </x:c>
      <x:c r="K252" s="32" t="n">
        <x:f>IF(B252="Holiday",IF(Dashboard!$B$14="Interest Only",D252,D252+G252),0)</x:f>
        <x:v>0</x:v>
      </x:c>
      <x:c r="L252" s="32" t="n">
        <x:f>J252+K252</x:f>
        <x:v>0</x:v>
      </x:c>
      <x:c r="M252" s="32" t="n">
        <x:f>IF(A252=1,H252,M251+H252)</x:f>
        <x:v>0</x:v>
      </x:c>
      <x:c r="N252" s="32" t="n">
        <x:f>IF(A252=1,I252,N251+I252)</x:f>
        <x:v>0</x:v>
      </x:c>
      <x:c r="O252" s="32" t="n">
        <x:f>IF(A252=1,G252,O251+G252)</x:f>
        <x:v>3671325</x:v>
      </x:c>
      <x:c r="P252" s="37" t="n">
        <x:f>EDATE(Dashboard!$B$10,A252)</x:f>
        <x:v>52657</x:v>
      </x:c>
    </x:row>
    <x:row r="253">
      <x:c r="A253" s="33" t="n">
        <x:v>252</x:v>
      </x:c>
      <x:c r="B253" s="33" t="str">
        <x:f>IF(A253&lt;=Dashboard!$F$8,"Holiday",IF(A253&lt;=Dashboard!$F$8+Dashboard!$F$7,"Repayment","Closed"))</x:f>
        <x:v>Closed</x:v>
      </x:c>
      <x:c r="C253" s="32">
        <x:f>IF(A253=1,Dashboard!$B$6,IF(B253="Holiday",J252,L252))</x:f>
      </x:c>
      <x:c r="D253" s="32">
        <x:f>IF(A253=1,0,IF(B253="Holiday",K252,0))</x:f>
      </x:c>
      <x:c r="E253" s="32">
        <x:f>C253+D253</x:f>
      </x:c>
      <x:c r="F253" s="32">
        <x:f>IF(B253="Holiday",IF(Dashboard!$B$14="Principal Only",MIN(Dashboard!$B$15,C253),0),0)</x:f>
      </x:c>
      <x:c r="G253" s="32" t="n">
        <x:f>IF(B253="Closed",0,IF(B253="Holiday",IF(Dashboard!$B$14="Interest Only",C253*Dashboard!$F$6,MAX(0,(C253-F253)*Dashboard!$F$6)),E253*Dashboard!$F$6))</x:f>
        <x:v>0</x:v>
      </x:c>
      <x:c r="H253" s="32" t="n">
        <x:f>IF(B253="Holiday",IF(Dashboard!$B$14="Interest Only",G253,F253),IF(B253="Closed",0,MIN(Dashboard!$F$10,E253+G253)))</x:f>
        <x:v>0</x:v>
      </x:c>
      <x:c r="I253" s="32" t="n">
        <x:f>IF(B253="Holiday",F253,IF(B253="Closed",0,MAX(0,H253-G253)))</x:f>
        <x:v>0</x:v>
      </x:c>
      <x:c r="J253" s="32" t="n">
        <x:f>IF(B253="Holiday",MAX(0,C253-F253),IF(B253="Closed",0,MAX(0,E253-I253)))</x:f>
        <x:v>0</x:v>
      </x:c>
      <x:c r="K253" s="32" t="n">
        <x:f>IF(B253="Holiday",IF(Dashboard!$B$14="Interest Only",D253,D253+G253),0)</x:f>
        <x:v>0</x:v>
      </x:c>
      <x:c r="L253" s="32" t="n">
        <x:f>J253+K253</x:f>
        <x:v>0</x:v>
      </x:c>
      <x:c r="M253" s="32" t="n">
        <x:f>IF(A253=1,H253,M252+H253)</x:f>
        <x:v>0</x:v>
      </x:c>
      <x:c r="N253" s="32" t="n">
        <x:f>IF(A253=1,I253,N252+I253)</x:f>
        <x:v>0</x:v>
      </x:c>
      <x:c r="O253" s="32" t="n">
        <x:f>IF(A253=1,G253,O252+G253)</x:f>
        <x:v>3671325</x:v>
      </x:c>
      <x:c r="P253" s="37" t="n">
        <x:f>EDATE(Dashboard!$B$10,A253)</x:f>
        <x:v>52688</x:v>
      </x:c>
    </x:row>
    <x:row r="254">
      <x:c r="A254" s="33" t="n">
        <x:v>253</x:v>
      </x:c>
      <x:c r="B254" s="33" t="str">
        <x:f>IF(A254&lt;=Dashboard!$F$8,"Holiday",IF(A254&lt;=Dashboard!$F$8+Dashboard!$F$7,"Repayment","Closed"))</x:f>
        <x:v>Closed</x:v>
      </x:c>
      <x:c r="C254" s="32">
        <x:f>IF(A254=1,Dashboard!$B$6,IF(B254="Holiday",J253,L253))</x:f>
      </x:c>
      <x:c r="D254" s="32">
        <x:f>IF(A254=1,0,IF(B254="Holiday",K253,0))</x:f>
      </x:c>
      <x:c r="E254" s="32">
        <x:f>C254+D254</x:f>
      </x:c>
      <x:c r="F254" s="32">
        <x:f>IF(B254="Holiday",IF(Dashboard!$B$14="Principal Only",MIN(Dashboard!$B$15,C254),0),0)</x:f>
      </x:c>
      <x:c r="G254" s="32" t="n">
        <x:f>IF(B254="Closed",0,IF(B254="Holiday",IF(Dashboard!$B$14="Interest Only",C254*Dashboard!$F$6,MAX(0,(C254-F254)*Dashboard!$F$6)),E254*Dashboard!$F$6))</x:f>
        <x:v>0</x:v>
      </x:c>
      <x:c r="H254" s="32" t="n">
        <x:f>IF(B254="Holiday",IF(Dashboard!$B$14="Interest Only",G254,F254),IF(B254="Closed",0,MIN(Dashboard!$F$10,E254+G254)))</x:f>
        <x:v>0</x:v>
      </x:c>
      <x:c r="I254" s="32" t="n">
        <x:f>IF(B254="Holiday",F254,IF(B254="Closed",0,MAX(0,H254-G254)))</x:f>
        <x:v>0</x:v>
      </x:c>
      <x:c r="J254" s="32" t="n">
        <x:f>IF(B254="Holiday",MAX(0,C254-F254),IF(B254="Closed",0,MAX(0,E254-I254)))</x:f>
        <x:v>0</x:v>
      </x:c>
      <x:c r="K254" s="32" t="n">
        <x:f>IF(B254="Holiday",IF(Dashboard!$B$14="Interest Only",D254,D254+G254),0)</x:f>
        <x:v>0</x:v>
      </x:c>
      <x:c r="L254" s="32" t="n">
        <x:f>J254+K254</x:f>
        <x:v>0</x:v>
      </x:c>
      <x:c r="M254" s="32" t="n">
        <x:f>IF(A254=1,H254,M253+H254)</x:f>
        <x:v>0</x:v>
      </x:c>
      <x:c r="N254" s="32" t="n">
        <x:f>IF(A254=1,I254,N253+I254)</x:f>
        <x:v>0</x:v>
      </x:c>
      <x:c r="O254" s="32" t="n">
        <x:f>IF(A254=1,G254,O253+G254)</x:f>
        <x:v>3671325</x:v>
      </x:c>
      <x:c r="P254" s="37" t="n">
        <x:f>EDATE(Dashboard!$B$10,A254)</x:f>
        <x:v>52718</x:v>
      </x:c>
    </x:row>
    <x:row r="255">
      <x:c r="A255" s="33" t="n">
        <x:v>254</x:v>
      </x:c>
      <x:c r="B255" s="33" t="str">
        <x:f>IF(A255&lt;=Dashboard!$F$8,"Holiday",IF(A255&lt;=Dashboard!$F$8+Dashboard!$F$7,"Repayment","Closed"))</x:f>
        <x:v>Closed</x:v>
      </x:c>
      <x:c r="C255" s="32">
        <x:f>IF(A255=1,Dashboard!$B$6,IF(B255="Holiday",J254,L254))</x:f>
      </x:c>
      <x:c r="D255" s="32">
        <x:f>IF(A255=1,0,IF(B255="Holiday",K254,0))</x:f>
      </x:c>
      <x:c r="E255" s="32">
        <x:f>C255+D255</x:f>
      </x:c>
      <x:c r="F255" s="32">
        <x:f>IF(B255="Holiday",IF(Dashboard!$B$14="Principal Only",MIN(Dashboard!$B$15,C255),0),0)</x:f>
      </x:c>
      <x:c r="G255" s="32" t="n">
        <x:f>IF(B255="Closed",0,IF(B255="Holiday",IF(Dashboard!$B$14="Interest Only",C255*Dashboard!$F$6,MAX(0,(C255-F255)*Dashboard!$F$6)),E255*Dashboard!$F$6))</x:f>
        <x:v>0</x:v>
      </x:c>
      <x:c r="H255" s="32" t="n">
        <x:f>IF(B255="Holiday",IF(Dashboard!$B$14="Interest Only",G255,F255),IF(B255="Closed",0,MIN(Dashboard!$F$10,E255+G255)))</x:f>
        <x:v>0</x:v>
      </x:c>
      <x:c r="I255" s="32" t="n">
        <x:f>IF(B255="Holiday",F255,IF(B255="Closed",0,MAX(0,H255-G255)))</x:f>
        <x:v>0</x:v>
      </x:c>
      <x:c r="J255" s="32" t="n">
        <x:f>IF(B255="Holiday",MAX(0,C255-F255),IF(B255="Closed",0,MAX(0,E255-I255)))</x:f>
        <x:v>0</x:v>
      </x:c>
      <x:c r="K255" s="32" t="n">
        <x:f>IF(B255="Holiday",IF(Dashboard!$B$14="Interest Only",D255,D255+G255),0)</x:f>
        <x:v>0</x:v>
      </x:c>
      <x:c r="L255" s="32" t="n">
        <x:f>J255+K255</x:f>
        <x:v>0</x:v>
      </x:c>
      <x:c r="M255" s="32" t="n">
        <x:f>IF(A255=1,H255,M254+H255)</x:f>
        <x:v>0</x:v>
      </x:c>
      <x:c r="N255" s="32" t="n">
        <x:f>IF(A255=1,I255,N254+I255)</x:f>
        <x:v>0</x:v>
      </x:c>
      <x:c r="O255" s="32" t="n">
        <x:f>IF(A255=1,G255,O254+G255)</x:f>
        <x:v>3671325</x:v>
      </x:c>
      <x:c r="P255" s="37" t="n">
        <x:f>EDATE(Dashboard!$B$10,A255)</x:f>
        <x:v>52749</x:v>
      </x:c>
    </x:row>
    <x:row r="256">
      <x:c r="A256" s="33" t="n">
        <x:v>255</x:v>
      </x:c>
      <x:c r="B256" s="33" t="str">
        <x:f>IF(A256&lt;=Dashboard!$F$8,"Holiday",IF(A256&lt;=Dashboard!$F$8+Dashboard!$F$7,"Repayment","Closed"))</x:f>
        <x:v>Closed</x:v>
      </x:c>
      <x:c r="C256" s="32">
        <x:f>IF(A256=1,Dashboard!$B$6,IF(B256="Holiday",J255,L255))</x:f>
      </x:c>
      <x:c r="D256" s="32">
        <x:f>IF(A256=1,0,IF(B256="Holiday",K255,0))</x:f>
      </x:c>
      <x:c r="E256" s="32">
        <x:f>C256+D256</x:f>
      </x:c>
      <x:c r="F256" s="32">
        <x:f>IF(B256="Holiday",IF(Dashboard!$B$14="Principal Only",MIN(Dashboard!$B$15,C256),0),0)</x:f>
      </x:c>
      <x:c r="G256" s="32" t="n">
        <x:f>IF(B256="Closed",0,IF(B256="Holiday",IF(Dashboard!$B$14="Interest Only",C256*Dashboard!$F$6,MAX(0,(C256-F256)*Dashboard!$F$6)),E256*Dashboard!$F$6))</x:f>
        <x:v>0</x:v>
      </x:c>
      <x:c r="H256" s="32" t="n">
        <x:f>IF(B256="Holiday",IF(Dashboard!$B$14="Interest Only",G256,F256),IF(B256="Closed",0,MIN(Dashboard!$F$10,E256+G256)))</x:f>
        <x:v>0</x:v>
      </x:c>
      <x:c r="I256" s="32" t="n">
        <x:f>IF(B256="Holiday",F256,IF(B256="Closed",0,MAX(0,H256-G256)))</x:f>
        <x:v>0</x:v>
      </x:c>
      <x:c r="J256" s="32" t="n">
        <x:f>IF(B256="Holiday",MAX(0,C256-F256),IF(B256="Closed",0,MAX(0,E256-I256)))</x:f>
        <x:v>0</x:v>
      </x:c>
      <x:c r="K256" s="32" t="n">
        <x:f>IF(B256="Holiday",IF(Dashboard!$B$14="Interest Only",D256,D256+G256),0)</x:f>
        <x:v>0</x:v>
      </x:c>
      <x:c r="L256" s="32" t="n">
        <x:f>J256+K256</x:f>
        <x:v>0</x:v>
      </x:c>
      <x:c r="M256" s="32" t="n">
        <x:f>IF(A256=1,H256,M255+H256)</x:f>
        <x:v>0</x:v>
      </x:c>
      <x:c r="N256" s="32" t="n">
        <x:f>IF(A256=1,I256,N255+I256)</x:f>
        <x:v>0</x:v>
      </x:c>
      <x:c r="O256" s="32" t="n">
        <x:f>IF(A256=1,G256,O255+G256)</x:f>
        <x:v>3671325</x:v>
      </x:c>
      <x:c r="P256" s="37" t="n">
        <x:f>EDATE(Dashboard!$B$10,A256)</x:f>
        <x:v>52779</x:v>
      </x:c>
    </x:row>
    <x:row r="257">
      <x:c r="A257" s="33" t="n">
        <x:v>256</x:v>
      </x:c>
      <x:c r="B257" s="33" t="str">
        <x:f>IF(A257&lt;=Dashboard!$F$8,"Holiday",IF(A257&lt;=Dashboard!$F$8+Dashboard!$F$7,"Repayment","Closed"))</x:f>
        <x:v>Closed</x:v>
      </x:c>
      <x:c r="C257" s="32">
        <x:f>IF(A257=1,Dashboard!$B$6,IF(B257="Holiday",J256,L256))</x:f>
      </x:c>
      <x:c r="D257" s="32">
        <x:f>IF(A257=1,0,IF(B257="Holiday",K256,0))</x:f>
      </x:c>
      <x:c r="E257" s="32">
        <x:f>C257+D257</x:f>
      </x:c>
      <x:c r="F257" s="32">
        <x:f>IF(B257="Holiday",IF(Dashboard!$B$14="Principal Only",MIN(Dashboard!$B$15,C257),0),0)</x:f>
      </x:c>
      <x:c r="G257" s="32" t="n">
        <x:f>IF(B257="Closed",0,IF(B257="Holiday",IF(Dashboard!$B$14="Interest Only",C257*Dashboard!$F$6,MAX(0,(C257-F257)*Dashboard!$F$6)),E257*Dashboard!$F$6))</x:f>
        <x:v>0</x:v>
      </x:c>
      <x:c r="H257" s="32" t="n">
        <x:f>IF(B257="Holiday",IF(Dashboard!$B$14="Interest Only",G257,F257),IF(B257="Closed",0,MIN(Dashboard!$F$10,E257+G257)))</x:f>
        <x:v>0</x:v>
      </x:c>
      <x:c r="I257" s="32" t="n">
        <x:f>IF(B257="Holiday",F257,IF(B257="Closed",0,MAX(0,H257-G257)))</x:f>
        <x:v>0</x:v>
      </x:c>
      <x:c r="J257" s="32" t="n">
        <x:f>IF(B257="Holiday",MAX(0,C257-F257),IF(B257="Closed",0,MAX(0,E257-I257)))</x:f>
        <x:v>0</x:v>
      </x:c>
      <x:c r="K257" s="32" t="n">
        <x:f>IF(B257="Holiday",IF(Dashboard!$B$14="Interest Only",D257,D257+G257),0)</x:f>
        <x:v>0</x:v>
      </x:c>
      <x:c r="L257" s="32" t="n">
        <x:f>J257+K257</x:f>
        <x:v>0</x:v>
      </x:c>
      <x:c r="M257" s="32" t="n">
        <x:f>IF(A257=1,H257,M256+H257)</x:f>
        <x:v>0</x:v>
      </x:c>
      <x:c r="N257" s="32" t="n">
        <x:f>IF(A257=1,I257,N256+I257)</x:f>
        <x:v>0</x:v>
      </x:c>
      <x:c r="O257" s="32" t="n">
        <x:f>IF(A257=1,G257,O256+G257)</x:f>
        <x:v>3671325</x:v>
      </x:c>
      <x:c r="P257" s="37" t="n">
        <x:f>EDATE(Dashboard!$B$10,A257)</x:f>
        <x:v>52810</x:v>
      </x:c>
    </x:row>
    <x:row r="258">
      <x:c r="A258" s="33" t="n">
        <x:v>257</x:v>
      </x:c>
      <x:c r="B258" s="33" t="str">
        <x:f>IF(A258&lt;=Dashboard!$F$8,"Holiday",IF(A258&lt;=Dashboard!$F$8+Dashboard!$F$7,"Repayment","Closed"))</x:f>
        <x:v>Closed</x:v>
      </x:c>
      <x:c r="C258" s="32">
        <x:f>IF(A258=1,Dashboard!$B$6,IF(B258="Holiday",J257,L257))</x:f>
      </x:c>
      <x:c r="D258" s="32">
        <x:f>IF(A258=1,0,IF(B258="Holiday",K257,0))</x:f>
      </x:c>
      <x:c r="E258" s="32">
        <x:f>C258+D258</x:f>
      </x:c>
      <x:c r="F258" s="32">
        <x:f>IF(B258="Holiday",IF(Dashboard!$B$14="Principal Only",MIN(Dashboard!$B$15,C258),0),0)</x:f>
      </x:c>
      <x:c r="G258" s="32" t="n">
        <x:f>IF(B258="Closed",0,IF(B258="Holiday",IF(Dashboard!$B$14="Interest Only",C258*Dashboard!$F$6,MAX(0,(C258-F258)*Dashboard!$F$6)),E258*Dashboard!$F$6))</x:f>
        <x:v>0</x:v>
      </x:c>
      <x:c r="H258" s="32" t="n">
        <x:f>IF(B258="Holiday",IF(Dashboard!$B$14="Interest Only",G258,F258),IF(B258="Closed",0,MIN(Dashboard!$F$10,E258+G258)))</x:f>
        <x:v>0</x:v>
      </x:c>
      <x:c r="I258" s="32" t="n">
        <x:f>IF(B258="Holiday",F258,IF(B258="Closed",0,MAX(0,H258-G258)))</x:f>
        <x:v>0</x:v>
      </x:c>
      <x:c r="J258" s="32" t="n">
        <x:f>IF(B258="Holiday",MAX(0,C258-F258),IF(B258="Closed",0,MAX(0,E258-I258)))</x:f>
        <x:v>0</x:v>
      </x:c>
      <x:c r="K258" s="32" t="n">
        <x:f>IF(B258="Holiday",IF(Dashboard!$B$14="Interest Only",D258,D258+G258),0)</x:f>
        <x:v>0</x:v>
      </x:c>
      <x:c r="L258" s="32" t="n">
        <x:f>J258+K258</x:f>
        <x:v>0</x:v>
      </x:c>
      <x:c r="M258" s="32" t="n">
        <x:f>IF(A258=1,H258,M257+H258)</x:f>
        <x:v>0</x:v>
      </x:c>
      <x:c r="N258" s="32" t="n">
        <x:f>IF(A258=1,I258,N257+I258)</x:f>
        <x:v>0</x:v>
      </x:c>
      <x:c r="O258" s="32" t="n">
        <x:f>IF(A258=1,G258,O257+G258)</x:f>
        <x:v>3671325</x:v>
      </x:c>
      <x:c r="P258" s="37" t="n">
        <x:f>EDATE(Dashboard!$B$10,A258)</x:f>
        <x:v>52841</x:v>
      </x:c>
    </x:row>
    <x:row r="259">
      <x:c r="A259" s="33" t="n">
        <x:v>258</x:v>
      </x:c>
      <x:c r="B259" s="33" t="str">
        <x:f>IF(A259&lt;=Dashboard!$F$8,"Holiday",IF(A259&lt;=Dashboard!$F$8+Dashboard!$F$7,"Repayment","Closed"))</x:f>
        <x:v>Closed</x:v>
      </x:c>
      <x:c r="C259" s="32">
        <x:f>IF(A259=1,Dashboard!$B$6,IF(B259="Holiday",J258,L258))</x:f>
      </x:c>
      <x:c r="D259" s="32">
        <x:f>IF(A259=1,0,IF(B259="Holiday",K258,0))</x:f>
      </x:c>
      <x:c r="E259" s="32">
        <x:f>C259+D259</x:f>
      </x:c>
      <x:c r="F259" s="32">
        <x:f>IF(B259="Holiday",IF(Dashboard!$B$14="Principal Only",MIN(Dashboard!$B$15,C259),0),0)</x:f>
      </x:c>
      <x:c r="G259" s="32" t="n">
        <x:f>IF(B259="Closed",0,IF(B259="Holiday",IF(Dashboard!$B$14="Interest Only",C259*Dashboard!$F$6,MAX(0,(C259-F259)*Dashboard!$F$6)),E259*Dashboard!$F$6))</x:f>
        <x:v>0</x:v>
      </x:c>
      <x:c r="H259" s="32" t="n">
        <x:f>IF(B259="Holiday",IF(Dashboard!$B$14="Interest Only",G259,F259),IF(B259="Closed",0,MIN(Dashboard!$F$10,E259+G259)))</x:f>
        <x:v>0</x:v>
      </x:c>
      <x:c r="I259" s="32" t="n">
        <x:f>IF(B259="Holiday",F259,IF(B259="Closed",0,MAX(0,H259-G259)))</x:f>
        <x:v>0</x:v>
      </x:c>
      <x:c r="J259" s="32" t="n">
        <x:f>IF(B259="Holiday",MAX(0,C259-F259),IF(B259="Closed",0,MAX(0,E259-I259)))</x:f>
        <x:v>0</x:v>
      </x:c>
      <x:c r="K259" s="32" t="n">
        <x:f>IF(B259="Holiday",IF(Dashboard!$B$14="Interest Only",D259,D259+G259),0)</x:f>
        <x:v>0</x:v>
      </x:c>
      <x:c r="L259" s="32" t="n">
        <x:f>J259+K259</x:f>
        <x:v>0</x:v>
      </x:c>
      <x:c r="M259" s="32" t="n">
        <x:f>IF(A259=1,H259,M258+H259)</x:f>
        <x:v>0</x:v>
      </x:c>
      <x:c r="N259" s="32" t="n">
        <x:f>IF(A259=1,I259,N258+I259)</x:f>
        <x:v>0</x:v>
      </x:c>
      <x:c r="O259" s="32" t="n">
        <x:f>IF(A259=1,G259,O258+G259)</x:f>
        <x:v>3671325</x:v>
      </x:c>
      <x:c r="P259" s="37" t="n">
        <x:f>EDATE(Dashboard!$B$10,A259)</x:f>
        <x:v>52871</x:v>
      </x:c>
    </x:row>
    <x:row r="260">
      <x:c r="A260" s="33" t="n">
        <x:v>259</x:v>
      </x:c>
      <x:c r="B260" s="33" t="str">
        <x:f>IF(A260&lt;=Dashboard!$F$8,"Holiday",IF(A260&lt;=Dashboard!$F$8+Dashboard!$F$7,"Repayment","Closed"))</x:f>
        <x:v>Closed</x:v>
      </x:c>
      <x:c r="C260" s="32">
        <x:f>IF(A260=1,Dashboard!$B$6,IF(B260="Holiday",J259,L259))</x:f>
      </x:c>
      <x:c r="D260" s="32">
        <x:f>IF(A260=1,0,IF(B260="Holiday",K259,0))</x:f>
      </x:c>
      <x:c r="E260" s="32">
        <x:f>C260+D260</x:f>
      </x:c>
      <x:c r="F260" s="32">
        <x:f>IF(B260="Holiday",IF(Dashboard!$B$14="Principal Only",MIN(Dashboard!$B$15,C260),0),0)</x:f>
      </x:c>
      <x:c r="G260" s="32" t="n">
        <x:f>IF(B260="Closed",0,IF(B260="Holiday",IF(Dashboard!$B$14="Interest Only",C260*Dashboard!$F$6,MAX(0,(C260-F260)*Dashboard!$F$6)),E260*Dashboard!$F$6))</x:f>
        <x:v>0</x:v>
      </x:c>
      <x:c r="H260" s="32" t="n">
        <x:f>IF(B260="Holiday",IF(Dashboard!$B$14="Interest Only",G260,F260),IF(B260="Closed",0,MIN(Dashboard!$F$10,E260+G260)))</x:f>
        <x:v>0</x:v>
      </x:c>
      <x:c r="I260" s="32" t="n">
        <x:f>IF(B260="Holiday",F260,IF(B260="Closed",0,MAX(0,H260-G260)))</x:f>
        <x:v>0</x:v>
      </x:c>
      <x:c r="J260" s="32" t="n">
        <x:f>IF(B260="Holiday",MAX(0,C260-F260),IF(B260="Closed",0,MAX(0,E260-I260)))</x:f>
        <x:v>0</x:v>
      </x:c>
      <x:c r="K260" s="32" t="n">
        <x:f>IF(B260="Holiday",IF(Dashboard!$B$14="Interest Only",D260,D260+G260),0)</x:f>
        <x:v>0</x:v>
      </x:c>
      <x:c r="L260" s="32" t="n">
        <x:f>J260+K260</x:f>
        <x:v>0</x:v>
      </x:c>
      <x:c r="M260" s="32" t="n">
        <x:f>IF(A260=1,H260,M259+H260)</x:f>
        <x:v>0</x:v>
      </x:c>
      <x:c r="N260" s="32" t="n">
        <x:f>IF(A260=1,I260,N259+I260)</x:f>
        <x:v>0</x:v>
      </x:c>
      <x:c r="O260" s="32" t="n">
        <x:f>IF(A260=1,G260,O259+G260)</x:f>
        <x:v>3671325</x:v>
      </x:c>
      <x:c r="P260" s="37" t="n">
        <x:f>EDATE(Dashboard!$B$10,A260)</x:f>
        <x:v>52902</x:v>
      </x:c>
    </x:row>
    <x:row r="261">
      <x:c r="A261" s="33" t="n">
        <x:v>260</x:v>
      </x:c>
      <x:c r="B261" s="33" t="str">
        <x:f>IF(A261&lt;=Dashboard!$F$8,"Holiday",IF(A261&lt;=Dashboard!$F$8+Dashboard!$F$7,"Repayment","Closed"))</x:f>
        <x:v>Closed</x:v>
      </x:c>
      <x:c r="C261" s="32">
        <x:f>IF(A261=1,Dashboard!$B$6,IF(B261="Holiday",J260,L260))</x:f>
      </x:c>
      <x:c r="D261" s="32">
        <x:f>IF(A261=1,0,IF(B261="Holiday",K260,0))</x:f>
      </x:c>
      <x:c r="E261" s="32">
        <x:f>C261+D261</x:f>
      </x:c>
      <x:c r="F261" s="32">
        <x:f>IF(B261="Holiday",IF(Dashboard!$B$14="Principal Only",MIN(Dashboard!$B$15,C261),0),0)</x:f>
      </x:c>
      <x:c r="G261" s="32" t="n">
        <x:f>IF(B261="Closed",0,IF(B261="Holiday",IF(Dashboard!$B$14="Interest Only",C261*Dashboard!$F$6,MAX(0,(C261-F261)*Dashboard!$F$6)),E261*Dashboard!$F$6))</x:f>
        <x:v>0</x:v>
      </x:c>
      <x:c r="H261" s="32" t="n">
        <x:f>IF(B261="Holiday",IF(Dashboard!$B$14="Interest Only",G261,F261),IF(B261="Closed",0,MIN(Dashboard!$F$10,E261+G261)))</x:f>
        <x:v>0</x:v>
      </x:c>
      <x:c r="I261" s="32" t="n">
        <x:f>IF(B261="Holiday",F261,IF(B261="Closed",0,MAX(0,H261-G261)))</x:f>
        <x:v>0</x:v>
      </x:c>
      <x:c r="J261" s="32" t="n">
        <x:f>IF(B261="Holiday",MAX(0,C261-F261),IF(B261="Closed",0,MAX(0,E261-I261)))</x:f>
        <x:v>0</x:v>
      </x:c>
      <x:c r="K261" s="32" t="n">
        <x:f>IF(B261="Holiday",IF(Dashboard!$B$14="Interest Only",D261,D261+G261),0)</x:f>
        <x:v>0</x:v>
      </x:c>
      <x:c r="L261" s="32" t="n">
        <x:f>J261+K261</x:f>
        <x:v>0</x:v>
      </x:c>
      <x:c r="M261" s="32" t="n">
        <x:f>IF(A261=1,H261,M260+H261)</x:f>
        <x:v>0</x:v>
      </x:c>
      <x:c r="N261" s="32" t="n">
        <x:f>IF(A261=1,I261,N260+I261)</x:f>
        <x:v>0</x:v>
      </x:c>
      <x:c r="O261" s="32" t="n">
        <x:f>IF(A261=1,G261,O260+G261)</x:f>
        <x:v>3671325</x:v>
      </x:c>
      <x:c r="P261" s="37" t="n">
        <x:f>EDATE(Dashboard!$B$10,A261)</x:f>
        <x:v>52932</x:v>
      </x:c>
    </x:row>
    <x:row r="262">
      <x:c r="A262" s="33" t="n">
        <x:v>261</x:v>
      </x:c>
      <x:c r="B262" s="33" t="str">
        <x:f>IF(A262&lt;=Dashboard!$F$8,"Holiday",IF(A262&lt;=Dashboard!$F$8+Dashboard!$F$7,"Repayment","Closed"))</x:f>
        <x:v>Closed</x:v>
      </x:c>
      <x:c r="C262" s="32">
        <x:f>IF(A262=1,Dashboard!$B$6,IF(B262="Holiday",J261,L261))</x:f>
      </x:c>
      <x:c r="D262" s="32">
        <x:f>IF(A262=1,0,IF(B262="Holiday",K261,0))</x:f>
      </x:c>
      <x:c r="E262" s="32">
        <x:f>C262+D262</x:f>
      </x:c>
      <x:c r="F262" s="32">
        <x:f>IF(B262="Holiday",IF(Dashboard!$B$14="Principal Only",MIN(Dashboard!$B$15,C262),0),0)</x:f>
      </x:c>
      <x:c r="G262" s="32" t="n">
        <x:f>IF(B262="Closed",0,IF(B262="Holiday",IF(Dashboard!$B$14="Interest Only",C262*Dashboard!$F$6,MAX(0,(C262-F262)*Dashboard!$F$6)),E262*Dashboard!$F$6))</x:f>
        <x:v>0</x:v>
      </x:c>
      <x:c r="H262" s="32" t="n">
        <x:f>IF(B262="Holiday",IF(Dashboard!$B$14="Interest Only",G262,F262),IF(B262="Closed",0,MIN(Dashboard!$F$10,E262+G262)))</x:f>
        <x:v>0</x:v>
      </x:c>
      <x:c r="I262" s="32" t="n">
        <x:f>IF(B262="Holiday",F262,IF(B262="Closed",0,MAX(0,H262-G262)))</x:f>
        <x:v>0</x:v>
      </x:c>
      <x:c r="J262" s="32" t="n">
        <x:f>IF(B262="Holiday",MAX(0,C262-F262),IF(B262="Closed",0,MAX(0,E262-I262)))</x:f>
        <x:v>0</x:v>
      </x:c>
      <x:c r="K262" s="32" t="n">
        <x:f>IF(B262="Holiday",IF(Dashboard!$B$14="Interest Only",D262,D262+G262),0)</x:f>
        <x:v>0</x:v>
      </x:c>
      <x:c r="L262" s="32" t="n">
        <x:f>J262+K262</x:f>
        <x:v>0</x:v>
      </x:c>
      <x:c r="M262" s="32" t="n">
        <x:f>IF(A262=1,H262,M261+H262)</x:f>
        <x:v>0</x:v>
      </x:c>
      <x:c r="N262" s="32" t="n">
        <x:f>IF(A262=1,I262,N261+I262)</x:f>
        <x:v>0</x:v>
      </x:c>
      <x:c r="O262" s="32" t="n">
        <x:f>IF(A262=1,G262,O261+G262)</x:f>
        <x:v>3671325</x:v>
      </x:c>
      <x:c r="P262" s="37" t="n">
        <x:f>EDATE(Dashboard!$B$10,A262)</x:f>
        <x:v>52963</x:v>
      </x:c>
    </x:row>
    <x:row r="263">
      <x:c r="A263" s="33" t="n">
        <x:v>262</x:v>
      </x:c>
      <x:c r="B263" s="33" t="str">
        <x:f>IF(A263&lt;=Dashboard!$F$8,"Holiday",IF(A263&lt;=Dashboard!$F$8+Dashboard!$F$7,"Repayment","Closed"))</x:f>
        <x:v>Closed</x:v>
      </x:c>
      <x:c r="C263" s="32">
        <x:f>IF(A263=1,Dashboard!$B$6,IF(B263="Holiday",J262,L262))</x:f>
      </x:c>
      <x:c r="D263" s="32">
        <x:f>IF(A263=1,0,IF(B263="Holiday",K262,0))</x:f>
      </x:c>
      <x:c r="E263" s="32">
        <x:f>C263+D263</x:f>
      </x:c>
      <x:c r="F263" s="32">
        <x:f>IF(B263="Holiday",IF(Dashboard!$B$14="Principal Only",MIN(Dashboard!$B$15,C263),0),0)</x:f>
      </x:c>
      <x:c r="G263" s="32" t="n">
        <x:f>IF(B263="Closed",0,IF(B263="Holiday",IF(Dashboard!$B$14="Interest Only",C263*Dashboard!$F$6,MAX(0,(C263-F263)*Dashboard!$F$6)),E263*Dashboard!$F$6))</x:f>
        <x:v>0</x:v>
      </x:c>
      <x:c r="H263" s="32" t="n">
        <x:f>IF(B263="Holiday",IF(Dashboard!$B$14="Interest Only",G263,F263),IF(B263="Closed",0,MIN(Dashboard!$F$10,E263+G263)))</x:f>
        <x:v>0</x:v>
      </x:c>
      <x:c r="I263" s="32" t="n">
        <x:f>IF(B263="Holiday",F263,IF(B263="Closed",0,MAX(0,H263-G263)))</x:f>
        <x:v>0</x:v>
      </x:c>
      <x:c r="J263" s="32" t="n">
        <x:f>IF(B263="Holiday",MAX(0,C263-F263),IF(B263="Closed",0,MAX(0,E263-I263)))</x:f>
        <x:v>0</x:v>
      </x:c>
      <x:c r="K263" s="32" t="n">
        <x:f>IF(B263="Holiday",IF(Dashboard!$B$14="Interest Only",D263,D263+G263),0)</x:f>
        <x:v>0</x:v>
      </x:c>
      <x:c r="L263" s="32" t="n">
        <x:f>J263+K263</x:f>
        <x:v>0</x:v>
      </x:c>
      <x:c r="M263" s="32" t="n">
        <x:f>IF(A263=1,H263,M262+H263)</x:f>
        <x:v>0</x:v>
      </x:c>
      <x:c r="N263" s="32" t="n">
        <x:f>IF(A263=1,I263,N262+I263)</x:f>
        <x:v>0</x:v>
      </x:c>
      <x:c r="O263" s="32" t="n">
        <x:f>IF(A263=1,G263,O262+G263)</x:f>
        <x:v>3671325</x:v>
      </x:c>
      <x:c r="P263" s="37" t="n">
        <x:f>EDATE(Dashboard!$B$10,A263)</x:f>
        <x:v>52994</x:v>
      </x:c>
    </x:row>
    <x:row r="264">
      <x:c r="A264" s="33" t="n">
        <x:v>263</x:v>
      </x:c>
      <x:c r="B264" s="33" t="str">
        <x:f>IF(A264&lt;=Dashboard!$F$8,"Holiday",IF(A264&lt;=Dashboard!$F$8+Dashboard!$F$7,"Repayment","Closed"))</x:f>
        <x:v>Closed</x:v>
      </x:c>
      <x:c r="C264" s="32">
        <x:f>IF(A264=1,Dashboard!$B$6,IF(B264="Holiday",J263,L263))</x:f>
      </x:c>
      <x:c r="D264" s="32">
        <x:f>IF(A264=1,0,IF(B264="Holiday",K263,0))</x:f>
      </x:c>
      <x:c r="E264" s="32">
        <x:f>C264+D264</x:f>
      </x:c>
      <x:c r="F264" s="32">
        <x:f>IF(B264="Holiday",IF(Dashboard!$B$14="Principal Only",MIN(Dashboard!$B$15,C264),0),0)</x:f>
      </x:c>
      <x:c r="G264" s="32" t="n">
        <x:f>IF(B264="Closed",0,IF(B264="Holiday",IF(Dashboard!$B$14="Interest Only",C264*Dashboard!$F$6,MAX(0,(C264-F264)*Dashboard!$F$6)),E264*Dashboard!$F$6))</x:f>
        <x:v>0</x:v>
      </x:c>
      <x:c r="H264" s="32" t="n">
        <x:f>IF(B264="Holiday",IF(Dashboard!$B$14="Interest Only",G264,F264),IF(B264="Closed",0,MIN(Dashboard!$F$10,E264+G264)))</x:f>
        <x:v>0</x:v>
      </x:c>
      <x:c r="I264" s="32" t="n">
        <x:f>IF(B264="Holiday",F264,IF(B264="Closed",0,MAX(0,H264-G264)))</x:f>
        <x:v>0</x:v>
      </x:c>
      <x:c r="J264" s="32" t="n">
        <x:f>IF(B264="Holiday",MAX(0,C264-F264),IF(B264="Closed",0,MAX(0,E264-I264)))</x:f>
        <x:v>0</x:v>
      </x:c>
      <x:c r="K264" s="32" t="n">
        <x:f>IF(B264="Holiday",IF(Dashboard!$B$14="Interest Only",D264,D264+G264),0)</x:f>
        <x:v>0</x:v>
      </x:c>
      <x:c r="L264" s="32" t="n">
        <x:f>J264+K264</x:f>
        <x:v>0</x:v>
      </x:c>
      <x:c r="M264" s="32" t="n">
        <x:f>IF(A264=1,H264,M263+H264)</x:f>
        <x:v>0</x:v>
      </x:c>
      <x:c r="N264" s="32" t="n">
        <x:f>IF(A264=1,I264,N263+I264)</x:f>
        <x:v>0</x:v>
      </x:c>
      <x:c r="O264" s="32" t="n">
        <x:f>IF(A264=1,G264,O263+G264)</x:f>
        <x:v>3671325</x:v>
      </x:c>
      <x:c r="P264" s="37" t="n">
        <x:f>EDATE(Dashboard!$B$10,A264)</x:f>
        <x:v>53022</x:v>
      </x:c>
    </x:row>
    <x:row r="265">
      <x:c r="A265" s="33" t="n">
        <x:v>264</x:v>
      </x:c>
      <x:c r="B265" s="33" t="str">
        <x:f>IF(A265&lt;=Dashboard!$F$8,"Holiday",IF(A265&lt;=Dashboard!$F$8+Dashboard!$F$7,"Repayment","Closed"))</x:f>
        <x:v>Closed</x:v>
      </x:c>
      <x:c r="C265" s="32">
        <x:f>IF(A265=1,Dashboard!$B$6,IF(B265="Holiday",J264,L264))</x:f>
      </x:c>
      <x:c r="D265" s="32">
        <x:f>IF(A265=1,0,IF(B265="Holiday",K264,0))</x:f>
      </x:c>
      <x:c r="E265" s="32">
        <x:f>C265+D265</x:f>
      </x:c>
      <x:c r="F265" s="32">
        <x:f>IF(B265="Holiday",IF(Dashboard!$B$14="Principal Only",MIN(Dashboard!$B$15,C265),0),0)</x:f>
      </x:c>
      <x:c r="G265" s="32" t="n">
        <x:f>IF(B265="Closed",0,IF(B265="Holiday",IF(Dashboard!$B$14="Interest Only",C265*Dashboard!$F$6,MAX(0,(C265-F265)*Dashboard!$F$6)),E265*Dashboard!$F$6))</x:f>
        <x:v>0</x:v>
      </x:c>
      <x:c r="H265" s="32" t="n">
        <x:f>IF(B265="Holiday",IF(Dashboard!$B$14="Interest Only",G265,F265),IF(B265="Closed",0,MIN(Dashboard!$F$10,E265+G265)))</x:f>
        <x:v>0</x:v>
      </x:c>
      <x:c r="I265" s="32" t="n">
        <x:f>IF(B265="Holiday",F265,IF(B265="Closed",0,MAX(0,H265-G265)))</x:f>
        <x:v>0</x:v>
      </x:c>
      <x:c r="J265" s="32" t="n">
        <x:f>IF(B265="Holiday",MAX(0,C265-F265),IF(B265="Closed",0,MAX(0,E265-I265)))</x:f>
        <x:v>0</x:v>
      </x:c>
      <x:c r="K265" s="32" t="n">
        <x:f>IF(B265="Holiday",IF(Dashboard!$B$14="Interest Only",D265,D265+G265),0)</x:f>
        <x:v>0</x:v>
      </x:c>
      <x:c r="L265" s="32" t="n">
        <x:f>J265+K265</x:f>
        <x:v>0</x:v>
      </x:c>
      <x:c r="M265" s="32" t="n">
        <x:f>IF(A265=1,H265,M264+H265)</x:f>
        <x:v>0</x:v>
      </x:c>
      <x:c r="N265" s="32" t="n">
        <x:f>IF(A265=1,I265,N264+I265)</x:f>
        <x:v>0</x:v>
      </x:c>
      <x:c r="O265" s="32" t="n">
        <x:f>IF(A265=1,G265,O264+G265)</x:f>
        <x:v>3671325</x:v>
      </x:c>
      <x:c r="P265" s="37" t="n">
        <x:f>EDATE(Dashboard!$B$10,A265)</x:f>
        <x:v>53053</x:v>
      </x:c>
    </x:row>
    <x:row r="266">
      <x:c r="A266" s="33" t="n">
        <x:v>265</x:v>
      </x:c>
      <x:c r="B266" s="33" t="str">
        <x:f>IF(A266&lt;=Dashboard!$F$8,"Holiday",IF(A266&lt;=Dashboard!$F$8+Dashboard!$F$7,"Repayment","Closed"))</x:f>
        <x:v>Closed</x:v>
      </x:c>
      <x:c r="C266" s="32">
        <x:f>IF(A266=1,Dashboard!$B$6,IF(B266="Holiday",J265,L265))</x:f>
      </x:c>
      <x:c r="D266" s="32">
        <x:f>IF(A266=1,0,IF(B266="Holiday",K265,0))</x:f>
      </x:c>
      <x:c r="E266" s="32">
        <x:f>C266+D266</x:f>
      </x:c>
      <x:c r="F266" s="32">
        <x:f>IF(B266="Holiday",IF(Dashboard!$B$14="Principal Only",MIN(Dashboard!$B$15,C266),0),0)</x:f>
      </x:c>
      <x:c r="G266" s="32" t="n">
        <x:f>IF(B266="Closed",0,IF(B266="Holiday",IF(Dashboard!$B$14="Interest Only",C266*Dashboard!$F$6,MAX(0,(C266-F266)*Dashboard!$F$6)),E266*Dashboard!$F$6))</x:f>
        <x:v>0</x:v>
      </x:c>
      <x:c r="H266" s="32" t="n">
        <x:f>IF(B266="Holiday",IF(Dashboard!$B$14="Interest Only",G266,F266),IF(B266="Closed",0,MIN(Dashboard!$F$10,E266+G266)))</x:f>
        <x:v>0</x:v>
      </x:c>
      <x:c r="I266" s="32" t="n">
        <x:f>IF(B266="Holiday",F266,IF(B266="Closed",0,MAX(0,H266-G266)))</x:f>
        <x:v>0</x:v>
      </x:c>
      <x:c r="J266" s="32" t="n">
        <x:f>IF(B266="Holiday",MAX(0,C266-F266),IF(B266="Closed",0,MAX(0,E266-I266)))</x:f>
        <x:v>0</x:v>
      </x:c>
      <x:c r="K266" s="32" t="n">
        <x:f>IF(B266="Holiday",IF(Dashboard!$B$14="Interest Only",D266,D266+G266),0)</x:f>
        <x:v>0</x:v>
      </x:c>
      <x:c r="L266" s="32" t="n">
        <x:f>J266+K266</x:f>
        <x:v>0</x:v>
      </x:c>
      <x:c r="M266" s="32" t="n">
        <x:f>IF(A266=1,H266,M265+H266)</x:f>
        <x:v>0</x:v>
      </x:c>
      <x:c r="N266" s="32" t="n">
        <x:f>IF(A266=1,I266,N265+I266)</x:f>
        <x:v>0</x:v>
      </x:c>
      <x:c r="O266" s="32" t="n">
        <x:f>IF(A266=1,G266,O265+G266)</x:f>
        <x:v>3671325</x:v>
      </x:c>
      <x:c r="P266" s="37" t="n">
        <x:f>EDATE(Dashboard!$B$10,A266)</x:f>
        <x:v>53083</x:v>
      </x:c>
    </x:row>
    <x:row r="267">
      <x:c r="A267" s="33" t="n">
        <x:v>266</x:v>
      </x:c>
      <x:c r="B267" s="33" t="str">
        <x:f>IF(A267&lt;=Dashboard!$F$8,"Holiday",IF(A267&lt;=Dashboard!$F$8+Dashboard!$F$7,"Repayment","Closed"))</x:f>
        <x:v>Closed</x:v>
      </x:c>
      <x:c r="C267" s="32">
        <x:f>IF(A267=1,Dashboard!$B$6,IF(B267="Holiday",J266,L266))</x:f>
      </x:c>
      <x:c r="D267" s="32">
        <x:f>IF(A267=1,0,IF(B267="Holiday",K266,0))</x:f>
      </x:c>
      <x:c r="E267" s="32">
        <x:f>C267+D267</x:f>
      </x:c>
      <x:c r="F267" s="32">
        <x:f>IF(B267="Holiday",IF(Dashboard!$B$14="Principal Only",MIN(Dashboard!$B$15,C267),0),0)</x:f>
      </x:c>
      <x:c r="G267" s="32" t="n">
        <x:f>IF(B267="Closed",0,IF(B267="Holiday",IF(Dashboard!$B$14="Interest Only",C267*Dashboard!$F$6,MAX(0,(C267-F267)*Dashboard!$F$6)),E267*Dashboard!$F$6))</x:f>
        <x:v>0</x:v>
      </x:c>
      <x:c r="H267" s="32" t="n">
        <x:f>IF(B267="Holiday",IF(Dashboard!$B$14="Interest Only",G267,F267),IF(B267="Closed",0,MIN(Dashboard!$F$10,E267+G267)))</x:f>
        <x:v>0</x:v>
      </x:c>
      <x:c r="I267" s="32" t="n">
        <x:f>IF(B267="Holiday",F267,IF(B267="Closed",0,MAX(0,H267-G267)))</x:f>
        <x:v>0</x:v>
      </x:c>
      <x:c r="J267" s="32" t="n">
        <x:f>IF(B267="Holiday",MAX(0,C267-F267),IF(B267="Closed",0,MAX(0,E267-I267)))</x:f>
        <x:v>0</x:v>
      </x:c>
      <x:c r="K267" s="32" t="n">
        <x:f>IF(B267="Holiday",IF(Dashboard!$B$14="Interest Only",D267,D267+G267),0)</x:f>
        <x:v>0</x:v>
      </x:c>
      <x:c r="L267" s="32" t="n">
        <x:f>J267+K267</x:f>
        <x:v>0</x:v>
      </x:c>
      <x:c r="M267" s="32" t="n">
        <x:f>IF(A267=1,H267,M266+H267)</x:f>
        <x:v>0</x:v>
      </x:c>
      <x:c r="N267" s="32" t="n">
        <x:f>IF(A267=1,I267,N266+I267)</x:f>
        <x:v>0</x:v>
      </x:c>
      <x:c r="O267" s="32" t="n">
        <x:f>IF(A267=1,G267,O266+G267)</x:f>
        <x:v>3671325</x:v>
      </x:c>
      <x:c r="P267" s="37" t="n">
        <x:f>EDATE(Dashboard!$B$10,A267)</x:f>
        <x:v>53114</x:v>
      </x:c>
    </x:row>
    <x:row r="268">
      <x:c r="A268" s="33" t="n">
        <x:v>267</x:v>
      </x:c>
      <x:c r="B268" s="33" t="str">
        <x:f>IF(A268&lt;=Dashboard!$F$8,"Holiday",IF(A268&lt;=Dashboard!$F$8+Dashboard!$F$7,"Repayment","Closed"))</x:f>
        <x:v>Closed</x:v>
      </x:c>
      <x:c r="C268" s="32">
        <x:f>IF(A268=1,Dashboard!$B$6,IF(B268="Holiday",J267,L267))</x:f>
      </x:c>
      <x:c r="D268" s="32">
        <x:f>IF(A268=1,0,IF(B268="Holiday",K267,0))</x:f>
      </x:c>
      <x:c r="E268" s="32">
        <x:f>C268+D268</x:f>
      </x:c>
      <x:c r="F268" s="32">
        <x:f>IF(B268="Holiday",IF(Dashboard!$B$14="Principal Only",MIN(Dashboard!$B$15,C268),0),0)</x:f>
      </x:c>
      <x:c r="G268" s="32" t="n">
        <x:f>IF(B268="Closed",0,IF(B268="Holiday",IF(Dashboard!$B$14="Interest Only",C268*Dashboard!$F$6,MAX(0,(C268-F268)*Dashboard!$F$6)),E268*Dashboard!$F$6))</x:f>
        <x:v>0</x:v>
      </x:c>
      <x:c r="H268" s="32" t="n">
        <x:f>IF(B268="Holiday",IF(Dashboard!$B$14="Interest Only",G268,F268),IF(B268="Closed",0,MIN(Dashboard!$F$10,E268+G268)))</x:f>
        <x:v>0</x:v>
      </x:c>
      <x:c r="I268" s="32" t="n">
        <x:f>IF(B268="Holiday",F268,IF(B268="Closed",0,MAX(0,H268-G268)))</x:f>
        <x:v>0</x:v>
      </x:c>
      <x:c r="J268" s="32" t="n">
        <x:f>IF(B268="Holiday",MAX(0,C268-F268),IF(B268="Closed",0,MAX(0,E268-I268)))</x:f>
        <x:v>0</x:v>
      </x:c>
      <x:c r="K268" s="32" t="n">
        <x:f>IF(B268="Holiday",IF(Dashboard!$B$14="Interest Only",D268,D268+G268),0)</x:f>
        <x:v>0</x:v>
      </x:c>
      <x:c r="L268" s="32" t="n">
        <x:f>J268+K268</x:f>
        <x:v>0</x:v>
      </x:c>
      <x:c r="M268" s="32" t="n">
        <x:f>IF(A268=1,H268,M267+H268)</x:f>
        <x:v>0</x:v>
      </x:c>
      <x:c r="N268" s="32" t="n">
        <x:f>IF(A268=1,I268,N267+I268)</x:f>
        <x:v>0</x:v>
      </x:c>
      <x:c r="O268" s="32" t="n">
        <x:f>IF(A268=1,G268,O267+G268)</x:f>
        <x:v>3671325</x:v>
      </x:c>
      <x:c r="P268" s="37" t="n">
        <x:f>EDATE(Dashboard!$B$10,A268)</x:f>
        <x:v>53144</x:v>
      </x:c>
    </x:row>
    <x:row r="269">
      <x:c r="A269" s="33" t="n">
        <x:v>268</x:v>
      </x:c>
      <x:c r="B269" s="33" t="str">
        <x:f>IF(A269&lt;=Dashboard!$F$8,"Holiday",IF(A269&lt;=Dashboard!$F$8+Dashboard!$F$7,"Repayment","Closed"))</x:f>
        <x:v>Closed</x:v>
      </x:c>
      <x:c r="C269" s="32">
        <x:f>IF(A269=1,Dashboard!$B$6,IF(B269="Holiday",J268,L268))</x:f>
      </x:c>
      <x:c r="D269" s="32">
        <x:f>IF(A269=1,0,IF(B269="Holiday",K268,0))</x:f>
      </x:c>
      <x:c r="E269" s="32">
        <x:f>C269+D269</x:f>
      </x:c>
      <x:c r="F269" s="32">
        <x:f>IF(B269="Holiday",IF(Dashboard!$B$14="Principal Only",MIN(Dashboard!$B$15,C269),0),0)</x:f>
      </x:c>
      <x:c r="G269" s="32" t="n">
        <x:f>IF(B269="Closed",0,IF(B269="Holiday",IF(Dashboard!$B$14="Interest Only",C269*Dashboard!$F$6,MAX(0,(C269-F269)*Dashboard!$F$6)),E269*Dashboard!$F$6))</x:f>
        <x:v>0</x:v>
      </x:c>
      <x:c r="H269" s="32" t="n">
        <x:f>IF(B269="Holiday",IF(Dashboard!$B$14="Interest Only",G269,F269),IF(B269="Closed",0,MIN(Dashboard!$F$10,E269+G269)))</x:f>
        <x:v>0</x:v>
      </x:c>
      <x:c r="I269" s="32" t="n">
        <x:f>IF(B269="Holiday",F269,IF(B269="Closed",0,MAX(0,H269-G269)))</x:f>
        <x:v>0</x:v>
      </x:c>
      <x:c r="J269" s="32" t="n">
        <x:f>IF(B269="Holiday",MAX(0,C269-F269),IF(B269="Closed",0,MAX(0,E269-I269)))</x:f>
        <x:v>0</x:v>
      </x:c>
      <x:c r="K269" s="32" t="n">
        <x:f>IF(B269="Holiday",IF(Dashboard!$B$14="Interest Only",D269,D269+G269),0)</x:f>
        <x:v>0</x:v>
      </x:c>
      <x:c r="L269" s="32" t="n">
        <x:f>J269+K269</x:f>
        <x:v>0</x:v>
      </x:c>
      <x:c r="M269" s="32" t="n">
        <x:f>IF(A269=1,H269,M268+H269)</x:f>
        <x:v>0</x:v>
      </x:c>
      <x:c r="N269" s="32" t="n">
        <x:f>IF(A269=1,I269,N268+I269)</x:f>
        <x:v>0</x:v>
      </x:c>
      <x:c r="O269" s="32" t="n">
        <x:f>IF(A269=1,G269,O268+G269)</x:f>
        <x:v>3671325</x:v>
      </x:c>
      <x:c r="P269" s="37" t="n">
        <x:f>EDATE(Dashboard!$B$10,A269)</x:f>
        <x:v>53175</x:v>
      </x:c>
    </x:row>
    <x:row r="270">
      <x:c r="A270" s="33" t="n">
        <x:v>269</x:v>
      </x:c>
      <x:c r="B270" s="33" t="str">
        <x:f>IF(A270&lt;=Dashboard!$F$8,"Holiday",IF(A270&lt;=Dashboard!$F$8+Dashboard!$F$7,"Repayment","Closed"))</x:f>
        <x:v>Closed</x:v>
      </x:c>
      <x:c r="C270" s="32">
        <x:f>IF(A270=1,Dashboard!$B$6,IF(B270="Holiday",J269,L269))</x:f>
      </x:c>
      <x:c r="D270" s="32">
        <x:f>IF(A270=1,0,IF(B270="Holiday",K269,0))</x:f>
      </x:c>
      <x:c r="E270" s="32">
        <x:f>C270+D270</x:f>
      </x:c>
      <x:c r="F270" s="32">
        <x:f>IF(B270="Holiday",IF(Dashboard!$B$14="Principal Only",MIN(Dashboard!$B$15,C270),0),0)</x:f>
      </x:c>
      <x:c r="G270" s="32" t="n">
        <x:f>IF(B270="Closed",0,IF(B270="Holiday",IF(Dashboard!$B$14="Interest Only",C270*Dashboard!$F$6,MAX(0,(C270-F270)*Dashboard!$F$6)),E270*Dashboard!$F$6))</x:f>
        <x:v>0</x:v>
      </x:c>
      <x:c r="H270" s="32" t="n">
        <x:f>IF(B270="Holiday",IF(Dashboard!$B$14="Interest Only",G270,F270),IF(B270="Closed",0,MIN(Dashboard!$F$10,E270+G270)))</x:f>
        <x:v>0</x:v>
      </x:c>
      <x:c r="I270" s="32" t="n">
        <x:f>IF(B270="Holiday",F270,IF(B270="Closed",0,MAX(0,H270-G270)))</x:f>
        <x:v>0</x:v>
      </x:c>
      <x:c r="J270" s="32" t="n">
        <x:f>IF(B270="Holiday",MAX(0,C270-F270),IF(B270="Closed",0,MAX(0,E270-I270)))</x:f>
        <x:v>0</x:v>
      </x:c>
      <x:c r="K270" s="32" t="n">
        <x:f>IF(B270="Holiday",IF(Dashboard!$B$14="Interest Only",D270,D270+G270),0)</x:f>
        <x:v>0</x:v>
      </x:c>
      <x:c r="L270" s="32" t="n">
        <x:f>J270+K270</x:f>
        <x:v>0</x:v>
      </x:c>
      <x:c r="M270" s="32" t="n">
        <x:f>IF(A270=1,H270,M269+H270)</x:f>
        <x:v>0</x:v>
      </x:c>
      <x:c r="N270" s="32" t="n">
        <x:f>IF(A270=1,I270,N269+I270)</x:f>
        <x:v>0</x:v>
      </x:c>
      <x:c r="O270" s="32" t="n">
        <x:f>IF(A270=1,G270,O269+G270)</x:f>
        <x:v>3671325</x:v>
      </x:c>
      <x:c r="P270" s="37" t="n">
        <x:f>EDATE(Dashboard!$B$10,A270)</x:f>
        <x:v>53206</x:v>
      </x:c>
    </x:row>
    <x:row r="271">
      <x:c r="A271" s="33" t="n">
        <x:v>270</x:v>
      </x:c>
      <x:c r="B271" s="33" t="str">
        <x:f>IF(A271&lt;=Dashboard!$F$8,"Holiday",IF(A271&lt;=Dashboard!$F$8+Dashboard!$F$7,"Repayment","Closed"))</x:f>
        <x:v>Closed</x:v>
      </x:c>
      <x:c r="C271" s="32">
        <x:f>IF(A271=1,Dashboard!$B$6,IF(B271="Holiday",J270,L270))</x:f>
      </x:c>
      <x:c r="D271" s="32">
        <x:f>IF(A271=1,0,IF(B271="Holiday",K270,0))</x:f>
      </x:c>
      <x:c r="E271" s="32">
        <x:f>C271+D271</x:f>
      </x:c>
      <x:c r="F271" s="32">
        <x:f>IF(B271="Holiday",IF(Dashboard!$B$14="Principal Only",MIN(Dashboard!$B$15,C271),0),0)</x:f>
      </x:c>
      <x:c r="G271" s="32" t="n">
        <x:f>IF(B271="Closed",0,IF(B271="Holiday",IF(Dashboard!$B$14="Interest Only",C271*Dashboard!$F$6,MAX(0,(C271-F271)*Dashboard!$F$6)),E271*Dashboard!$F$6))</x:f>
        <x:v>0</x:v>
      </x:c>
      <x:c r="H271" s="32" t="n">
        <x:f>IF(B271="Holiday",IF(Dashboard!$B$14="Interest Only",G271,F271),IF(B271="Closed",0,MIN(Dashboard!$F$10,E271+G271)))</x:f>
        <x:v>0</x:v>
      </x:c>
      <x:c r="I271" s="32" t="n">
        <x:f>IF(B271="Holiday",F271,IF(B271="Closed",0,MAX(0,H271-G271)))</x:f>
        <x:v>0</x:v>
      </x:c>
      <x:c r="J271" s="32" t="n">
        <x:f>IF(B271="Holiday",MAX(0,C271-F271),IF(B271="Closed",0,MAX(0,E271-I271)))</x:f>
        <x:v>0</x:v>
      </x:c>
      <x:c r="K271" s="32" t="n">
        <x:f>IF(B271="Holiday",IF(Dashboard!$B$14="Interest Only",D271,D271+G271),0)</x:f>
        <x:v>0</x:v>
      </x:c>
      <x:c r="L271" s="32" t="n">
        <x:f>J271+K271</x:f>
        <x:v>0</x:v>
      </x:c>
      <x:c r="M271" s="32" t="n">
        <x:f>IF(A271=1,H271,M270+H271)</x:f>
        <x:v>0</x:v>
      </x:c>
      <x:c r="N271" s="32" t="n">
        <x:f>IF(A271=1,I271,N270+I271)</x:f>
        <x:v>0</x:v>
      </x:c>
      <x:c r="O271" s="32" t="n">
        <x:f>IF(A271=1,G271,O270+G271)</x:f>
        <x:v>3671325</x:v>
      </x:c>
      <x:c r="P271" s="37" t="n">
        <x:f>EDATE(Dashboard!$B$10,A271)</x:f>
        <x:v>53236</x:v>
      </x:c>
    </x:row>
    <x:row r="272">
      <x:c r="A272" s="33" t="n">
        <x:v>271</x:v>
      </x:c>
      <x:c r="B272" s="33" t="str">
        <x:f>IF(A272&lt;=Dashboard!$F$8,"Holiday",IF(A272&lt;=Dashboard!$F$8+Dashboard!$F$7,"Repayment","Closed"))</x:f>
        <x:v>Closed</x:v>
      </x:c>
      <x:c r="C272" s="32">
        <x:f>IF(A272=1,Dashboard!$B$6,IF(B272="Holiday",J271,L271))</x:f>
      </x:c>
      <x:c r="D272" s="32">
        <x:f>IF(A272=1,0,IF(B272="Holiday",K271,0))</x:f>
      </x:c>
      <x:c r="E272" s="32">
        <x:f>C272+D272</x:f>
      </x:c>
      <x:c r="F272" s="32">
        <x:f>IF(B272="Holiday",IF(Dashboard!$B$14="Principal Only",MIN(Dashboard!$B$15,C272),0),0)</x:f>
      </x:c>
      <x:c r="G272" s="32" t="n">
        <x:f>IF(B272="Closed",0,IF(B272="Holiday",IF(Dashboard!$B$14="Interest Only",C272*Dashboard!$F$6,MAX(0,(C272-F272)*Dashboard!$F$6)),E272*Dashboard!$F$6))</x:f>
        <x:v>0</x:v>
      </x:c>
      <x:c r="H272" s="32" t="n">
        <x:f>IF(B272="Holiday",IF(Dashboard!$B$14="Interest Only",G272,F272),IF(B272="Closed",0,MIN(Dashboard!$F$10,E272+G272)))</x:f>
        <x:v>0</x:v>
      </x:c>
      <x:c r="I272" s="32" t="n">
        <x:f>IF(B272="Holiday",F272,IF(B272="Closed",0,MAX(0,H272-G272)))</x:f>
        <x:v>0</x:v>
      </x:c>
      <x:c r="J272" s="32" t="n">
        <x:f>IF(B272="Holiday",MAX(0,C272-F272),IF(B272="Closed",0,MAX(0,E272-I272)))</x:f>
        <x:v>0</x:v>
      </x:c>
      <x:c r="K272" s="32" t="n">
        <x:f>IF(B272="Holiday",IF(Dashboard!$B$14="Interest Only",D272,D272+G272),0)</x:f>
        <x:v>0</x:v>
      </x:c>
      <x:c r="L272" s="32" t="n">
        <x:f>J272+K272</x:f>
        <x:v>0</x:v>
      </x:c>
      <x:c r="M272" s="32" t="n">
        <x:f>IF(A272=1,H272,M271+H272)</x:f>
        <x:v>0</x:v>
      </x:c>
      <x:c r="N272" s="32" t="n">
        <x:f>IF(A272=1,I272,N271+I272)</x:f>
        <x:v>0</x:v>
      </x:c>
      <x:c r="O272" s="32" t="n">
        <x:f>IF(A272=1,G272,O271+G272)</x:f>
        <x:v>3671325</x:v>
      </x:c>
      <x:c r="P272" s="37" t="n">
        <x:f>EDATE(Dashboard!$B$10,A272)</x:f>
        <x:v>53267</x:v>
      </x:c>
    </x:row>
    <x:row r="273">
      <x:c r="A273" s="33" t="n">
        <x:v>272</x:v>
      </x:c>
      <x:c r="B273" s="33" t="str">
        <x:f>IF(A273&lt;=Dashboard!$F$8,"Holiday",IF(A273&lt;=Dashboard!$F$8+Dashboard!$F$7,"Repayment","Closed"))</x:f>
        <x:v>Closed</x:v>
      </x:c>
      <x:c r="C273" s="32">
        <x:f>IF(A273=1,Dashboard!$B$6,IF(B273="Holiday",J272,L272))</x:f>
      </x:c>
      <x:c r="D273" s="32">
        <x:f>IF(A273=1,0,IF(B273="Holiday",K272,0))</x:f>
      </x:c>
      <x:c r="E273" s="32">
        <x:f>C273+D273</x:f>
      </x:c>
      <x:c r="F273" s="32">
        <x:f>IF(B273="Holiday",IF(Dashboard!$B$14="Principal Only",MIN(Dashboard!$B$15,C273),0),0)</x:f>
      </x:c>
      <x:c r="G273" s="32" t="n">
        <x:f>IF(B273="Closed",0,IF(B273="Holiday",IF(Dashboard!$B$14="Interest Only",C273*Dashboard!$F$6,MAX(0,(C273-F273)*Dashboard!$F$6)),E273*Dashboard!$F$6))</x:f>
        <x:v>0</x:v>
      </x:c>
      <x:c r="H273" s="32" t="n">
        <x:f>IF(B273="Holiday",IF(Dashboard!$B$14="Interest Only",G273,F273),IF(B273="Closed",0,MIN(Dashboard!$F$10,E273+G273)))</x:f>
        <x:v>0</x:v>
      </x:c>
      <x:c r="I273" s="32" t="n">
        <x:f>IF(B273="Holiday",F273,IF(B273="Closed",0,MAX(0,H273-G273)))</x:f>
        <x:v>0</x:v>
      </x:c>
      <x:c r="J273" s="32" t="n">
        <x:f>IF(B273="Holiday",MAX(0,C273-F273),IF(B273="Closed",0,MAX(0,E273-I273)))</x:f>
        <x:v>0</x:v>
      </x:c>
      <x:c r="K273" s="32" t="n">
        <x:f>IF(B273="Holiday",IF(Dashboard!$B$14="Interest Only",D273,D273+G273),0)</x:f>
        <x:v>0</x:v>
      </x:c>
      <x:c r="L273" s="32" t="n">
        <x:f>J273+K273</x:f>
        <x:v>0</x:v>
      </x:c>
      <x:c r="M273" s="32" t="n">
        <x:f>IF(A273=1,H273,M272+H273)</x:f>
        <x:v>0</x:v>
      </x:c>
      <x:c r="N273" s="32" t="n">
        <x:f>IF(A273=1,I273,N272+I273)</x:f>
        <x:v>0</x:v>
      </x:c>
      <x:c r="O273" s="32" t="n">
        <x:f>IF(A273=1,G273,O272+G273)</x:f>
        <x:v>3671325</x:v>
      </x:c>
      <x:c r="P273" s="37" t="n">
        <x:f>EDATE(Dashboard!$B$10,A273)</x:f>
        <x:v>53297</x:v>
      </x:c>
    </x:row>
    <x:row r="274">
      <x:c r="A274" s="33" t="n">
        <x:v>273</x:v>
      </x:c>
      <x:c r="B274" s="33" t="str">
        <x:f>IF(A274&lt;=Dashboard!$F$8,"Holiday",IF(A274&lt;=Dashboard!$F$8+Dashboard!$F$7,"Repayment","Closed"))</x:f>
        <x:v>Closed</x:v>
      </x:c>
      <x:c r="C274" s="32">
        <x:f>IF(A274=1,Dashboard!$B$6,IF(B274="Holiday",J273,L273))</x:f>
      </x:c>
      <x:c r="D274" s="32">
        <x:f>IF(A274=1,0,IF(B274="Holiday",K273,0))</x:f>
      </x:c>
      <x:c r="E274" s="32">
        <x:f>C274+D274</x:f>
      </x:c>
      <x:c r="F274" s="32">
        <x:f>IF(B274="Holiday",IF(Dashboard!$B$14="Principal Only",MIN(Dashboard!$B$15,C274),0),0)</x:f>
      </x:c>
      <x:c r="G274" s="32" t="n">
        <x:f>IF(B274="Closed",0,IF(B274="Holiday",IF(Dashboard!$B$14="Interest Only",C274*Dashboard!$F$6,MAX(0,(C274-F274)*Dashboard!$F$6)),E274*Dashboard!$F$6))</x:f>
        <x:v>0</x:v>
      </x:c>
      <x:c r="H274" s="32" t="n">
        <x:f>IF(B274="Holiday",IF(Dashboard!$B$14="Interest Only",G274,F274),IF(B274="Closed",0,MIN(Dashboard!$F$10,E274+G274)))</x:f>
        <x:v>0</x:v>
      </x:c>
      <x:c r="I274" s="32" t="n">
        <x:f>IF(B274="Holiday",F274,IF(B274="Closed",0,MAX(0,H274-G274)))</x:f>
        <x:v>0</x:v>
      </x:c>
      <x:c r="J274" s="32" t="n">
        <x:f>IF(B274="Holiday",MAX(0,C274-F274),IF(B274="Closed",0,MAX(0,E274-I274)))</x:f>
        <x:v>0</x:v>
      </x:c>
      <x:c r="K274" s="32" t="n">
        <x:f>IF(B274="Holiday",IF(Dashboard!$B$14="Interest Only",D274,D274+G274),0)</x:f>
        <x:v>0</x:v>
      </x:c>
      <x:c r="L274" s="32" t="n">
        <x:f>J274+K274</x:f>
        <x:v>0</x:v>
      </x:c>
      <x:c r="M274" s="32" t="n">
        <x:f>IF(A274=1,H274,M273+H274)</x:f>
        <x:v>0</x:v>
      </x:c>
      <x:c r="N274" s="32" t="n">
        <x:f>IF(A274=1,I274,N273+I274)</x:f>
        <x:v>0</x:v>
      </x:c>
      <x:c r="O274" s="32" t="n">
        <x:f>IF(A274=1,G274,O273+G274)</x:f>
        <x:v>3671325</x:v>
      </x:c>
      <x:c r="P274" s="37" t="n">
        <x:f>EDATE(Dashboard!$B$10,A274)</x:f>
        <x:v>53328</x:v>
      </x:c>
    </x:row>
    <x:row r="275">
      <x:c r="A275" s="33" t="n">
        <x:v>274</x:v>
      </x:c>
      <x:c r="B275" s="33" t="str">
        <x:f>IF(A275&lt;=Dashboard!$F$8,"Holiday",IF(A275&lt;=Dashboard!$F$8+Dashboard!$F$7,"Repayment","Closed"))</x:f>
        <x:v>Closed</x:v>
      </x:c>
      <x:c r="C275" s="32">
        <x:f>IF(A275=1,Dashboard!$B$6,IF(B275="Holiday",J274,L274))</x:f>
      </x:c>
      <x:c r="D275" s="32">
        <x:f>IF(A275=1,0,IF(B275="Holiday",K274,0))</x:f>
      </x:c>
      <x:c r="E275" s="32">
        <x:f>C275+D275</x:f>
      </x:c>
      <x:c r="F275" s="32">
        <x:f>IF(B275="Holiday",IF(Dashboard!$B$14="Principal Only",MIN(Dashboard!$B$15,C275),0),0)</x:f>
      </x:c>
      <x:c r="G275" s="32" t="n">
        <x:f>IF(B275="Closed",0,IF(B275="Holiday",IF(Dashboard!$B$14="Interest Only",C275*Dashboard!$F$6,MAX(0,(C275-F275)*Dashboard!$F$6)),E275*Dashboard!$F$6))</x:f>
        <x:v>0</x:v>
      </x:c>
      <x:c r="H275" s="32" t="n">
        <x:f>IF(B275="Holiday",IF(Dashboard!$B$14="Interest Only",G275,F275),IF(B275="Closed",0,MIN(Dashboard!$F$10,E275+G275)))</x:f>
        <x:v>0</x:v>
      </x:c>
      <x:c r="I275" s="32" t="n">
        <x:f>IF(B275="Holiday",F275,IF(B275="Closed",0,MAX(0,H275-G275)))</x:f>
        <x:v>0</x:v>
      </x:c>
      <x:c r="J275" s="32" t="n">
        <x:f>IF(B275="Holiday",MAX(0,C275-F275),IF(B275="Closed",0,MAX(0,E275-I275)))</x:f>
        <x:v>0</x:v>
      </x:c>
      <x:c r="K275" s="32" t="n">
        <x:f>IF(B275="Holiday",IF(Dashboard!$B$14="Interest Only",D275,D275+G275),0)</x:f>
        <x:v>0</x:v>
      </x:c>
      <x:c r="L275" s="32" t="n">
        <x:f>J275+K275</x:f>
        <x:v>0</x:v>
      </x:c>
      <x:c r="M275" s="32" t="n">
        <x:f>IF(A275=1,H275,M274+H275)</x:f>
        <x:v>0</x:v>
      </x:c>
      <x:c r="N275" s="32" t="n">
        <x:f>IF(A275=1,I275,N274+I275)</x:f>
        <x:v>0</x:v>
      </x:c>
      <x:c r="O275" s="32" t="n">
        <x:f>IF(A275=1,G275,O274+G275)</x:f>
        <x:v>3671325</x:v>
      </x:c>
      <x:c r="P275" s="37" t="n">
        <x:f>EDATE(Dashboard!$B$10,A275)</x:f>
        <x:v>53359</x:v>
      </x:c>
    </x:row>
    <x:row r="276">
      <x:c r="A276" s="33" t="n">
        <x:v>275</x:v>
      </x:c>
      <x:c r="B276" s="33" t="str">
        <x:f>IF(A276&lt;=Dashboard!$F$8,"Holiday",IF(A276&lt;=Dashboard!$F$8+Dashboard!$F$7,"Repayment","Closed"))</x:f>
        <x:v>Closed</x:v>
      </x:c>
      <x:c r="C276" s="32">
        <x:f>IF(A276=1,Dashboard!$B$6,IF(B276="Holiday",J275,L275))</x:f>
      </x:c>
      <x:c r="D276" s="32">
        <x:f>IF(A276=1,0,IF(B276="Holiday",K275,0))</x:f>
      </x:c>
      <x:c r="E276" s="32">
        <x:f>C276+D276</x:f>
      </x:c>
      <x:c r="F276" s="32">
        <x:f>IF(B276="Holiday",IF(Dashboard!$B$14="Principal Only",MIN(Dashboard!$B$15,C276),0),0)</x:f>
      </x:c>
      <x:c r="G276" s="32" t="n">
        <x:f>IF(B276="Closed",0,IF(B276="Holiday",IF(Dashboard!$B$14="Interest Only",C276*Dashboard!$F$6,MAX(0,(C276-F276)*Dashboard!$F$6)),E276*Dashboard!$F$6))</x:f>
        <x:v>0</x:v>
      </x:c>
      <x:c r="H276" s="32" t="n">
        <x:f>IF(B276="Holiday",IF(Dashboard!$B$14="Interest Only",G276,F276),IF(B276="Closed",0,MIN(Dashboard!$F$10,E276+G276)))</x:f>
        <x:v>0</x:v>
      </x:c>
      <x:c r="I276" s="32" t="n">
        <x:f>IF(B276="Holiday",F276,IF(B276="Closed",0,MAX(0,H276-G276)))</x:f>
        <x:v>0</x:v>
      </x:c>
      <x:c r="J276" s="32" t="n">
        <x:f>IF(B276="Holiday",MAX(0,C276-F276),IF(B276="Closed",0,MAX(0,E276-I276)))</x:f>
        <x:v>0</x:v>
      </x:c>
      <x:c r="K276" s="32" t="n">
        <x:f>IF(B276="Holiday",IF(Dashboard!$B$14="Interest Only",D276,D276+G276),0)</x:f>
        <x:v>0</x:v>
      </x:c>
      <x:c r="L276" s="32" t="n">
        <x:f>J276+K276</x:f>
        <x:v>0</x:v>
      </x:c>
      <x:c r="M276" s="32" t="n">
        <x:f>IF(A276=1,H276,M275+H276)</x:f>
        <x:v>0</x:v>
      </x:c>
      <x:c r="N276" s="32" t="n">
        <x:f>IF(A276=1,I276,N275+I276)</x:f>
        <x:v>0</x:v>
      </x:c>
      <x:c r="O276" s="32" t="n">
        <x:f>IF(A276=1,G276,O275+G276)</x:f>
        <x:v>3671325</x:v>
      </x:c>
      <x:c r="P276" s="37" t="n">
        <x:f>EDATE(Dashboard!$B$10,A276)</x:f>
        <x:v>53387</x:v>
      </x:c>
    </x:row>
    <x:row r="277">
      <x:c r="A277" s="33" t="n">
        <x:v>276</x:v>
      </x:c>
      <x:c r="B277" s="33" t="str">
        <x:f>IF(A277&lt;=Dashboard!$F$8,"Holiday",IF(A277&lt;=Dashboard!$F$8+Dashboard!$F$7,"Repayment","Closed"))</x:f>
        <x:v>Closed</x:v>
      </x:c>
      <x:c r="C277" s="32">
        <x:f>IF(A277=1,Dashboard!$B$6,IF(B277="Holiday",J276,L276))</x:f>
      </x:c>
      <x:c r="D277" s="32">
        <x:f>IF(A277=1,0,IF(B277="Holiday",K276,0))</x:f>
      </x:c>
      <x:c r="E277" s="32">
        <x:f>C277+D277</x:f>
      </x:c>
      <x:c r="F277" s="32">
        <x:f>IF(B277="Holiday",IF(Dashboard!$B$14="Principal Only",MIN(Dashboard!$B$15,C277),0),0)</x:f>
      </x:c>
      <x:c r="G277" s="32" t="n">
        <x:f>IF(B277="Closed",0,IF(B277="Holiday",IF(Dashboard!$B$14="Interest Only",C277*Dashboard!$F$6,MAX(0,(C277-F277)*Dashboard!$F$6)),E277*Dashboard!$F$6))</x:f>
        <x:v>0</x:v>
      </x:c>
      <x:c r="H277" s="32" t="n">
        <x:f>IF(B277="Holiday",IF(Dashboard!$B$14="Interest Only",G277,F277),IF(B277="Closed",0,MIN(Dashboard!$F$10,E277+G277)))</x:f>
        <x:v>0</x:v>
      </x:c>
      <x:c r="I277" s="32" t="n">
        <x:f>IF(B277="Holiday",F277,IF(B277="Closed",0,MAX(0,H277-G277)))</x:f>
        <x:v>0</x:v>
      </x:c>
      <x:c r="J277" s="32" t="n">
        <x:f>IF(B277="Holiday",MAX(0,C277-F277),IF(B277="Closed",0,MAX(0,E277-I277)))</x:f>
        <x:v>0</x:v>
      </x:c>
      <x:c r="K277" s="32" t="n">
        <x:f>IF(B277="Holiday",IF(Dashboard!$B$14="Interest Only",D277,D277+G277),0)</x:f>
        <x:v>0</x:v>
      </x:c>
      <x:c r="L277" s="32" t="n">
        <x:f>J277+K277</x:f>
        <x:v>0</x:v>
      </x:c>
      <x:c r="M277" s="32" t="n">
        <x:f>IF(A277=1,H277,M276+H277)</x:f>
        <x:v>0</x:v>
      </x:c>
      <x:c r="N277" s="32" t="n">
        <x:f>IF(A277=1,I277,N276+I277)</x:f>
        <x:v>0</x:v>
      </x:c>
      <x:c r="O277" s="32" t="n">
        <x:f>IF(A277=1,G277,O276+G277)</x:f>
        <x:v>3671325</x:v>
      </x:c>
      <x:c r="P277" s="37" t="n">
        <x:f>EDATE(Dashboard!$B$10,A277)</x:f>
        <x:v>53418</x:v>
      </x:c>
    </x:row>
    <x:row r="278">
      <x:c r="A278" s="33" t="n">
        <x:v>277</x:v>
      </x:c>
      <x:c r="B278" s="33" t="str">
        <x:f>IF(A278&lt;=Dashboard!$F$8,"Holiday",IF(A278&lt;=Dashboard!$F$8+Dashboard!$F$7,"Repayment","Closed"))</x:f>
        <x:v>Closed</x:v>
      </x:c>
      <x:c r="C278" s="32">
        <x:f>IF(A278=1,Dashboard!$B$6,IF(B278="Holiday",J277,L277))</x:f>
      </x:c>
      <x:c r="D278" s="32">
        <x:f>IF(A278=1,0,IF(B278="Holiday",K277,0))</x:f>
      </x:c>
      <x:c r="E278" s="32">
        <x:f>C278+D278</x:f>
      </x:c>
      <x:c r="F278" s="32">
        <x:f>IF(B278="Holiday",IF(Dashboard!$B$14="Principal Only",MIN(Dashboard!$B$15,C278),0),0)</x:f>
      </x:c>
      <x:c r="G278" s="32" t="n">
        <x:f>IF(B278="Closed",0,IF(B278="Holiday",IF(Dashboard!$B$14="Interest Only",C278*Dashboard!$F$6,MAX(0,(C278-F278)*Dashboard!$F$6)),E278*Dashboard!$F$6))</x:f>
        <x:v>0</x:v>
      </x:c>
      <x:c r="H278" s="32" t="n">
        <x:f>IF(B278="Holiday",IF(Dashboard!$B$14="Interest Only",G278,F278),IF(B278="Closed",0,MIN(Dashboard!$F$10,E278+G278)))</x:f>
        <x:v>0</x:v>
      </x:c>
      <x:c r="I278" s="32" t="n">
        <x:f>IF(B278="Holiday",F278,IF(B278="Closed",0,MAX(0,H278-G278)))</x:f>
        <x:v>0</x:v>
      </x:c>
      <x:c r="J278" s="32" t="n">
        <x:f>IF(B278="Holiday",MAX(0,C278-F278),IF(B278="Closed",0,MAX(0,E278-I278)))</x:f>
        <x:v>0</x:v>
      </x:c>
      <x:c r="K278" s="32" t="n">
        <x:f>IF(B278="Holiday",IF(Dashboard!$B$14="Interest Only",D278,D278+G278),0)</x:f>
        <x:v>0</x:v>
      </x:c>
      <x:c r="L278" s="32" t="n">
        <x:f>J278+K278</x:f>
        <x:v>0</x:v>
      </x:c>
      <x:c r="M278" s="32" t="n">
        <x:f>IF(A278=1,H278,M277+H278)</x:f>
        <x:v>0</x:v>
      </x:c>
      <x:c r="N278" s="32" t="n">
        <x:f>IF(A278=1,I278,N277+I278)</x:f>
        <x:v>0</x:v>
      </x:c>
      <x:c r="O278" s="32" t="n">
        <x:f>IF(A278=1,G278,O277+G278)</x:f>
        <x:v>3671325</x:v>
      </x:c>
      <x:c r="P278" s="37" t="n">
        <x:f>EDATE(Dashboard!$B$10,A278)</x:f>
        <x:v>53448</x:v>
      </x:c>
    </x:row>
    <x:row r="279">
      <x:c r="A279" s="33" t="n">
        <x:v>278</x:v>
      </x:c>
      <x:c r="B279" s="33" t="str">
        <x:f>IF(A279&lt;=Dashboard!$F$8,"Holiday",IF(A279&lt;=Dashboard!$F$8+Dashboard!$F$7,"Repayment","Closed"))</x:f>
        <x:v>Closed</x:v>
      </x:c>
      <x:c r="C279" s="32">
        <x:f>IF(A279=1,Dashboard!$B$6,IF(B279="Holiday",J278,L278))</x:f>
      </x:c>
      <x:c r="D279" s="32">
        <x:f>IF(A279=1,0,IF(B279="Holiday",K278,0))</x:f>
      </x:c>
      <x:c r="E279" s="32">
        <x:f>C279+D279</x:f>
      </x:c>
      <x:c r="F279" s="32">
        <x:f>IF(B279="Holiday",IF(Dashboard!$B$14="Principal Only",MIN(Dashboard!$B$15,C279),0),0)</x:f>
      </x:c>
      <x:c r="G279" s="32" t="n">
        <x:f>IF(B279="Closed",0,IF(B279="Holiday",IF(Dashboard!$B$14="Interest Only",C279*Dashboard!$F$6,MAX(0,(C279-F279)*Dashboard!$F$6)),E279*Dashboard!$F$6))</x:f>
        <x:v>0</x:v>
      </x:c>
      <x:c r="H279" s="32" t="n">
        <x:f>IF(B279="Holiday",IF(Dashboard!$B$14="Interest Only",G279,F279),IF(B279="Closed",0,MIN(Dashboard!$F$10,E279+G279)))</x:f>
        <x:v>0</x:v>
      </x:c>
      <x:c r="I279" s="32" t="n">
        <x:f>IF(B279="Holiday",F279,IF(B279="Closed",0,MAX(0,H279-G279)))</x:f>
        <x:v>0</x:v>
      </x:c>
      <x:c r="J279" s="32" t="n">
        <x:f>IF(B279="Holiday",MAX(0,C279-F279),IF(B279="Closed",0,MAX(0,E279-I279)))</x:f>
        <x:v>0</x:v>
      </x:c>
      <x:c r="K279" s="32" t="n">
        <x:f>IF(B279="Holiday",IF(Dashboard!$B$14="Interest Only",D279,D279+G279),0)</x:f>
        <x:v>0</x:v>
      </x:c>
      <x:c r="L279" s="32" t="n">
        <x:f>J279+K279</x:f>
        <x:v>0</x:v>
      </x:c>
      <x:c r="M279" s="32" t="n">
        <x:f>IF(A279=1,H279,M278+H279)</x:f>
        <x:v>0</x:v>
      </x:c>
      <x:c r="N279" s="32" t="n">
        <x:f>IF(A279=1,I279,N278+I279)</x:f>
        <x:v>0</x:v>
      </x:c>
      <x:c r="O279" s="32" t="n">
        <x:f>IF(A279=1,G279,O278+G279)</x:f>
        <x:v>3671325</x:v>
      </x:c>
      <x:c r="P279" s="37" t="n">
        <x:f>EDATE(Dashboard!$B$10,A279)</x:f>
        <x:v>53479</x:v>
      </x:c>
    </x:row>
    <x:row r="280">
      <x:c r="A280" s="33" t="n">
        <x:v>279</x:v>
      </x:c>
      <x:c r="B280" s="33" t="str">
        <x:f>IF(A280&lt;=Dashboard!$F$8,"Holiday",IF(A280&lt;=Dashboard!$F$8+Dashboard!$F$7,"Repayment","Closed"))</x:f>
        <x:v>Closed</x:v>
      </x:c>
      <x:c r="C280" s="32">
        <x:f>IF(A280=1,Dashboard!$B$6,IF(B280="Holiday",J279,L279))</x:f>
      </x:c>
      <x:c r="D280" s="32">
        <x:f>IF(A280=1,0,IF(B280="Holiday",K279,0))</x:f>
      </x:c>
      <x:c r="E280" s="32">
        <x:f>C280+D280</x:f>
      </x:c>
      <x:c r="F280" s="32">
        <x:f>IF(B280="Holiday",IF(Dashboard!$B$14="Principal Only",MIN(Dashboard!$B$15,C280),0),0)</x:f>
      </x:c>
      <x:c r="G280" s="32" t="n">
        <x:f>IF(B280="Closed",0,IF(B280="Holiday",IF(Dashboard!$B$14="Interest Only",C280*Dashboard!$F$6,MAX(0,(C280-F280)*Dashboard!$F$6)),E280*Dashboard!$F$6))</x:f>
        <x:v>0</x:v>
      </x:c>
      <x:c r="H280" s="32" t="n">
        <x:f>IF(B280="Holiday",IF(Dashboard!$B$14="Interest Only",G280,F280),IF(B280="Closed",0,MIN(Dashboard!$F$10,E280+G280)))</x:f>
        <x:v>0</x:v>
      </x:c>
      <x:c r="I280" s="32" t="n">
        <x:f>IF(B280="Holiday",F280,IF(B280="Closed",0,MAX(0,H280-G280)))</x:f>
        <x:v>0</x:v>
      </x:c>
      <x:c r="J280" s="32" t="n">
        <x:f>IF(B280="Holiday",MAX(0,C280-F280),IF(B280="Closed",0,MAX(0,E280-I280)))</x:f>
        <x:v>0</x:v>
      </x:c>
      <x:c r="K280" s="32" t="n">
        <x:f>IF(B280="Holiday",IF(Dashboard!$B$14="Interest Only",D280,D280+G280),0)</x:f>
        <x:v>0</x:v>
      </x:c>
      <x:c r="L280" s="32" t="n">
        <x:f>J280+K280</x:f>
        <x:v>0</x:v>
      </x:c>
      <x:c r="M280" s="32" t="n">
        <x:f>IF(A280=1,H280,M279+H280)</x:f>
        <x:v>0</x:v>
      </x:c>
      <x:c r="N280" s="32" t="n">
        <x:f>IF(A280=1,I280,N279+I280)</x:f>
        <x:v>0</x:v>
      </x:c>
      <x:c r="O280" s="32" t="n">
        <x:f>IF(A280=1,G280,O279+G280)</x:f>
        <x:v>3671325</x:v>
      </x:c>
      <x:c r="P280" s="37" t="n">
        <x:f>EDATE(Dashboard!$B$10,A280)</x:f>
        <x:v>53509</x:v>
      </x:c>
    </x:row>
    <x:row r="281">
      <x:c r="A281" s="33" t="n">
        <x:v>280</x:v>
      </x:c>
      <x:c r="B281" s="33" t="str">
        <x:f>IF(A281&lt;=Dashboard!$F$8,"Holiday",IF(A281&lt;=Dashboard!$F$8+Dashboard!$F$7,"Repayment","Closed"))</x:f>
        <x:v>Closed</x:v>
      </x:c>
      <x:c r="C281" s="32">
        <x:f>IF(A281=1,Dashboard!$B$6,IF(B281="Holiday",J280,L280))</x:f>
      </x:c>
      <x:c r="D281" s="32">
        <x:f>IF(A281=1,0,IF(B281="Holiday",K280,0))</x:f>
      </x:c>
      <x:c r="E281" s="32">
        <x:f>C281+D281</x:f>
      </x:c>
      <x:c r="F281" s="32">
        <x:f>IF(B281="Holiday",IF(Dashboard!$B$14="Principal Only",MIN(Dashboard!$B$15,C281),0),0)</x:f>
      </x:c>
      <x:c r="G281" s="32" t="n">
        <x:f>IF(B281="Closed",0,IF(B281="Holiday",IF(Dashboard!$B$14="Interest Only",C281*Dashboard!$F$6,MAX(0,(C281-F281)*Dashboard!$F$6)),E281*Dashboard!$F$6))</x:f>
        <x:v>0</x:v>
      </x:c>
      <x:c r="H281" s="32" t="n">
        <x:f>IF(B281="Holiday",IF(Dashboard!$B$14="Interest Only",G281,F281),IF(B281="Closed",0,MIN(Dashboard!$F$10,E281+G281)))</x:f>
        <x:v>0</x:v>
      </x:c>
      <x:c r="I281" s="32" t="n">
        <x:f>IF(B281="Holiday",F281,IF(B281="Closed",0,MAX(0,H281-G281)))</x:f>
        <x:v>0</x:v>
      </x:c>
      <x:c r="J281" s="32" t="n">
        <x:f>IF(B281="Holiday",MAX(0,C281-F281),IF(B281="Closed",0,MAX(0,E281-I281)))</x:f>
        <x:v>0</x:v>
      </x:c>
      <x:c r="K281" s="32" t="n">
        <x:f>IF(B281="Holiday",IF(Dashboard!$B$14="Interest Only",D281,D281+G281),0)</x:f>
        <x:v>0</x:v>
      </x:c>
      <x:c r="L281" s="32" t="n">
        <x:f>J281+K281</x:f>
        <x:v>0</x:v>
      </x:c>
      <x:c r="M281" s="32" t="n">
        <x:f>IF(A281=1,H281,M280+H281)</x:f>
        <x:v>0</x:v>
      </x:c>
      <x:c r="N281" s="32" t="n">
        <x:f>IF(A281=1,I281,N280+I281)</x:f>
        <x:v>0</x:v>
      </x:c>
      <x:c r="O281" s="32" t="n">
        <x:f>IF(A281=1,G281,O280+G281)</x:f>
        <x:v>3671325</x:v>
      </x:c>
      <x:c r="P281" s="37" t="n">
        <x:f>EDATE(Dashboard!$B$10,A281)</x:f>
        <x:v>53540</x:v>
      </x:c>
    </x:row>
    <x:row r="282">
      <x:c r="A282" s="33" t="n">
        <x:v>281</x:v>
      </x:c>
      <x:c r="B282" s="33" t="str">
        <x:f>IF(A282&lt;=Dashboard!$F$8,"Holiday",IF(A282&lt;=Dashboard!$F$8+Dashboard!$F$7,"Repayment","Closed"))</x:f>
        <x:v>Closed</x:v>
      </x:c>
      <x:c r="C282" s="32">
        <x:f>IF(A282=1,Dashboard!$B$6,IF(B282="Holiday",J281,L281))</x:f>
      </x:c>
      <x:c r="D282" s="32">
        <x:f>IF(A282=1,0,IF(B282="Holiday",K281,0))</x:f>
      </x:c>
      <x:c r="E282" s="32">
        <x:f>C282+D282</x:f>
      </x:c>
      <x:c r="F282" s="32">
        <x:f>IF(B282="Holiday",IF(Dashboard!$B$14="Principal Only",MIN(Dashboard!$B$15,C282),0),0)</x:f>
      </x:c>
      <x:c r="G282" s="32" t="n">
        <x:f>IF(B282="Closed",0,IF(B282="Holiday",IF(Dashboard!$B$14="Interest Only",C282*Dashboard!$F$6,MAX(0,(C282-F282)*Dashboard!$F$6)),E282*Dashboard!$F$6))</x:f>
        <x:v>0</x:v>
      </x:c>
      <x:c r="H282" s="32" t="n">
        <x:f>IF(B282="Holiday",IF(Dashboard!$B$14="Interest Only",G282,F282),IF(B282="Closed",0,MIN(Dashboard!$F$10,E282+G282)))</x:f>
        <x:v>0</x:v>
      </x:c>
      <x:c r="I282" s="32" t="n">
        <x:f>IF(B282="Holiday",F282,IF(B282="Closed",0,MAX(0,H282-G282)))</x:f>
        <x:v>0</x:v>
      </x:c>
      <x:c r="J282" s="32" t="n">
        <x:f>IF(B282="Holiday",MAX(0,C282-F282),IF(B282="Closed",0,MAX(0,E282-I282)))</x:f>
        <x:v>0</x:v>
      </x:c>
      <x:c r="K282" s="32" t="n">
        <x:f>IF(B282="Holiday",IF(Dashboard!$B$14="Interest Only",D282,D282+G282),0)</x:f>
        <x:v>0</x:v>
      </x:c>
      <x:c r="L282" s="32" t="n">
        <x:f>J282+K282</x:f>
        <x:v>0</x:v>
      </x:c>
      <x:c r="M282" s="32" t="n">
        <x:f>IF(A282=1,H282,M281+H282)</x:f>
        <x:v>0</x:v>
      </x:c>
      <x:c r="N282" s="32" t="n">
        <x:f>IF(A282=1,I282,N281+I282)</x:f>
        <x:v>0</x:v>
      </x:c>
      <x:c r="O282" s="32" t="n">
        <x:f>IF(A282=1,G282,O281+G282)</x:f>
        <x:v>3671325</x:v>
      </x:c>
      <x:c r="P282" s="37" t="n">
        <x:f>EDATE(Dashboard!$B$10,A282)</x:f>
        <x:v>53571</x:v>
      </x:c>
    </x:row>
    <x:row r="283">
      <x:c r="A283" s="33" t="n">
        <x:v>282</x:v>
      </x:c>
      <x:c r="B283" s="33" t="str">
        <x:f>IF(A283&lt;=Dashboard!$F$8,"Holiday",IF(A283&lt;=Dashboard!$F$8+Dashboard!$F$7,"Repayment","Closed"))</x:f>
        <x:v>Closed</x:v>
      </x:c>
      <x:c r="C283" s="32">
        <x:f>IF(A283=1,Dashboard!$B$6,IF(B283="Holiday",J282,L282))</x:f>
      </x:c>
      <x:c r="D283" s="32">
        <x:f>IF(A283=1,0,IF(B283="Holiday",K282,0))</x:f>
      </x:c>
      <x:c r="E283" s="32">
        <x:f>C283+D283</x:f>
      </x:c>
      <x:c r="F283" s="32">
        <x:f>IF(B283="Holiday",IF(Dashboard!$B$14="Principal Only",MIN(Dashboard!$B$15,C283),0),0)</x:f>
      </x:c>
      <x:c r="G283" s="32" t="n">
        <x:f>IF(B283="Closed",0,IF(B283="Holiday",IF(Dashboard!$B$14="Interest Only",C283*Dashboard!$F$6,MAX(0,(C283-F283)*Dashboard!$F$6)),E283*Dashboard!$F$6))</x:f>
        <x:v>0</x:v>
      </x:c>
      <x:c r="H283" s="32" t="n">
        <x:f>IF(B283="Holiday",IF(Dashboard!$B$14="Interest Only",G283,F283),IF(B283="Closed",0,MIN(Dashboard!$F$10,E283+G283)))</x:f>
        <x:v>0</x:v>
      </x:c>
      <x:c r="I283" s="32" t="n">
        <x:f>IF(B283="Holiday",F283,IF(B283="Closed",0,MAX(0,H283-G283)))</x:f>
        <x:v>0</x:v>
      </x:c>
      <x:c r="J283" s="32" t="n">
        <x:f>IF(B283="Holiday",MAX(0,C283-F283),IF(B283="Closed",0,MAX(0,E283-I283)))</x:f>
        <x:v>0</x:v>
      </x:c>
      <x:c r="K283" s="32" t="n">
        <x:f>IF(B283="Holiday",IF(Dashboard!$B$14="Interest Only",D283,D283+G283),0)</x:f>
        <x:v>0</x:v>
      </x:c>
      <x:c r="L283" s="32" t="n">
        <x:f>J283+K283</x:f>
        <x:v>0</x:v>
      </x:c>
      <x:c r="M283" s="32" t="n">
        <x:f>IF(A283=1,H283,M282+H283)</x:f>
        <x:v>0</x:v>
      </x:c>
      <x:c r="N283" s="32" t="n">
        <x:f>IF(A283=1,I283,N282+I283)</x:f>
        <x:v>0</x:v>
      </x:c>
      <x:c r="O283" s="32" t="n">
        <x:f>IF(A283=1,G283,O282+G283)</x:f>
        <x:v>3671325</x:v>
      </x:c>
      <x:c r="P283" s="37" t="n">
        <x:f>EDATE(Dashboard!$B$10,A283)</x:f>
        <x:v>53601</x:v>
      </x:c>
    </x:row>
    <x:row r="284">
      <x:c r="A284" s="33" t="n">
        <x:v>283</x:v>
      </x:c>
      <x:c r="B284" s="33" t="str">
        <x:f>IF(A284&lt;=Dashboard!$F$8,"Holiday",IF(A284&lt;=Dashboard!$F$8+Dashboard!$F$7,"Repayment","Closed"))</x:f>
        <x:v>Closed</x:v>
      </x:c>
      <x:c r="C284" s="32">
        <x:f>IF(A284=1,Dashboard!$B$6,IF(B284="Holiday",J283,L283))</x:f>
      </x:c>
      <x:c r="D284" s="32">
        <x:f>IF(A284=1,0,IF(B284="Holiday",K283,0))</x:f>
      </x:c>
      <x:c r="E284" s="32">
        <x:f>C284+D284</x:f>
      </x:c>
      <x:c r="F284" s="32">
        <x:f>IF(B284="Holiday",IF(Dashboard!$B$14="Principal Only",MIN(Dashboard!$B$15,C284),0),0)</x:f>
      </x:c>
      <x:c r="G284" s="32" t="n">
        <x:f>IF(B284="Closed",0,IF(B284="Holiday",IF(Dashboard!$B$14="Interest Only",C284*Dashboard!$F$6,MAX(0,(C284-F284)*Dashboard!$F$6)),E284*Dashboard!$F$6))</x:f>
        <x:v>0</x:v>
      </x:c>
      <x:c r="H284" s="32" t="n">
        <x:f>IF(B284="Holiday",IF(Dashboard!$B$14="Interest Only",G284,F284),IF(B284="Closed",0,MIN(Dashboard!$F$10,E284+G284)))</x:f>
        <x:v>0</x:v>
      </x:c>
      <x:c r="I284" s="32" t="n">
        <x:f>IF(B284="Holiday",F284,IF(B284="Closed",0,MAX(0,H284-G284)))</x:f>
        <x:v>0</x:v>
      </x:c>
      <x:c r="J284" s="32" t="n">
        <x:f>IF(B284="Holiday",MAX(0,C284-F284),IF(B284="Closed",0,MAX(0,E284-I284)))</x:f>
        <x:v>0</x:v>
      </x:c>
      <x:c r="K284" s="32" t="n">
        <x:f>IF(B284="Holiday",IF(Dashboard!$B$14="Interest Only",D284,D284+G284),0)</x:f>
        <x:v>0</x:v>
      </x:c>
      <x:c r="L284" s="32" t="n">
        <x:f>J284+K284</x:f>
        <x:v>0</x:v>
      </x:c>
      <x:c r="M284" s="32" t="n">
        <x:f>IF(A284=1,H284,M283+H284)</x:f>
        <x:v>0</x:v>
      </x:c>
      <x:c r="N284" s="32" t="n">
        <x:f>IF(A284=1,I284,N283+I284)</x:f>
        <x:v>0</x:v>
      </x:c>
      <x:c r="O284" s="32" t="n">
        <x:f>IF(A284=1,G284,O283+G284)</x:f>
        <x:v>3671325</x:v>
      </x:c>
      <x:c r="P284" s="37" t="n">
        <x:f>EDATE(Dashboard!$B$10,A284)</x:f>
        <x:v>53632</x:v>
      </x:c>
    </x:row>
    <x:row r="285">
      <x:c r="A285" s="33" t="n">
        <x:v>284</x:v>
      </x:c>
      <x:c r="B285" s="33" t="str">
        <x:f>IF(A285&lt;=Dashboard!$F$8,"Holiday",IF(A285&lt;=Dashboard!$F$8+Dashboard!$F$7,"Repayment","Closed"))</x:f>
        <x:v>Closed</x:v>
      </x:c>
      <x:c r="C285" s="32">
        <x:f>IF(A285=1,Dashboard!$B$6,IF(B285="Holiday",J284,L284))</x:f>
      </x:c>
      <x:c r="D285" s="32">
        <x:f>IF(A285=1,0,IF(B285="Holiday",K284,0))</x:f>
      </x:c>
      <x:c r="E285" s="32">
        <x:f>C285+D285</x:f>
      </x:c>
      <x:c r="F285" s="32">
        <x:f>IF(B285="Holiday",IF(Dashboard!$B$14="Principal Only",MIN(Dashboard!$B$15,C285),0),0)</x:f>
      </x:c>
      <x:c r="G285" s="32" t="n">
        <x:f>IF(B285="Closed",0,IF(B285="Holiday",IF(Dashboard!$B$14="Interest Only",C285*Dashboard!$F$6,MAX(0,(C285-F285)*Dashboard!$F$6)),E285*Dashboard!$F$6))</x:f>
        <x:v>0</x:v>
      </x:c>
      <x:c r="H285" s="32" t="n">
        <x:f>IF(B285="Holiday",IF(Dashboard!$B$14="Interest Only",G285,F285),IF(B285="Closed",0,MIN(Dashboard!$F$10,E285+G285)))</x:f>
        <x:v>0</x:v>
      </x:c>
      <x:c r="I285" s="32" t="n">
        <x:f>IF(B285="Holiday",F285,IF(B285="Closed",0,MAX(0,H285-G285)))</x:f>
        <x:v>0</x:v>
      </x:c>
      <x:c r="J285" s="32" t="n">
        <x:f>IF(B285="Holiday",MAX(0,C285-F285),IF(B285="Closed",0,MAX(0,E285-I285)))</x:f>
        <x:v>0</x:v>
      </x:c>
      <x:c r="K285" s="32" t="n">
        <x:f>IF(B285="Holiday",IF(Dashboard!$B$14="Interest Only",D285,D285+G285),0)</x:f>
        <x:v>0</x:v>
      </x:c>
      <x:c r="L285" s="32" t="n">
        <x:f>J285+K285</x:f>
        <x:v>0</x:v>
      </x:c>
      <x:c r="M285" s="32" t="n">
        <x:f>IF(A285=1,H285,M284+H285)</x:f>
        <x:v>0</x:v>
      </x:c>
      <x:c r="N285" s="32" t="n">
        <x:f>IF(A285=1,I285,N284+I285)</x:f>
        <x:v>0</x:v>
      </x:c>
      <x:c r="O285" s="32" t="n">
        <x:f>IF(A285=1,G285,O284+G285)</x:f>
        <x:v>3671325</x:v>
      </x:c>
      <x:c r="P285" s="37" t="n">
        <x:f>EDATE(Dashboard!$B$10,A285)</x:f>
        <x:v>53662</x:v>
      </x:c>
    </x:row>
    <x:row r="286">
      <x:c r="A286" s="33" t="n">
        <x:v>285</x:v>
      </x:c>
      <x:c r="B286" s="33" t="str">
        <x:f>IF(A286&lt;=Dashboard!$F$8,"Holiday",IF(A286&lt;=Dashboard!$F$8+Dashboard!$F$7,"Repayment","Closed"))</x:f>
        <x:v>Closed</x:v>
      </x:c>
      <x:c r="C286" s="32">
        <x:f>IF(A286=1,Dashboard!$B$6,IF(B286="Holiday",J285,L285))</x:f>
      </x:c>
      <x:c r="D286" s="32">
        <x:f>IF(A286=1,0,IF(B286="Holiday",K285,0))</x:f>
      </x:c>
      <x:c r="E286" s="32">
        <x:f>C286+D286</x:f>
      </x:c>
      <x:c r="F286" s="32">
        <x:f>IF(B286="Holiday",IF(Dashboard!$B$14="Principal Only",MIN(Dashboard!$B$15,C286),0),0)</x:f>
      </x:c>
      <x:c r="G286" s="32" t="n">
        <x:f>IF(B286="Closed",0,IF(B286="Holiday",IF(Dashboard!$B$14="Interest Only",C286*Dashboard!$F$6,MAX(0,(C286-F286)*Dashboard!$F$6)),E286*Dashboard!$F$6))</x:f>
        <x:v>0</x:v>
      </x:c>
      <x:c r="H286" s="32" t="n">
        <x:f>IF(B286="Holiday",IF(Dashboard!$B$14="Interest Only",G286,F286),IF(B286="Closed",0,MIN(Dashboard!$F$10,E286+G286)))</x:f>
        <x:v>0</x:v>
      </x:c>
      <x:c r="I286" s="32" t="n">
        <x:f>IF(B286="Holiday",F286,IF(B286="Closed",0,MAX(0,H286-G286)))</x:f>
        <x:v>0</x:v>
      </x:c>
      <x:c r="J286" s="32" t="n">
        <x:f>IF(B286="Holiday",MAX(0,C286-F286),IF(B286="Closed",0,MAX(0,E286-I286)))</x:f>
        <x:v>0</x:v>
      </x:c>
      <x:c r="K286" s="32" t="n">
        <x:f>IF(B286="Holiday",IF(Dashboard!$B$14="Interest Only",D286,D286+G286),0)</x:f>
        <x:v>0</x:v>
      </x:c>
      <x:c r="L286" s="32" t="n">
        <x:f>J286+K286</x:f>
        <x:v>0</x:v>
      </x:c>
      <x:c r="M286" s="32" t="n">
        <x:f>IF(A286=1,H286,M285+H286)</x:f>
        <x:v>0</x:v>
      </x:c>
      <x:c r="N286" s="32" t="n">
        <x:f>IF(A286=1,I286,N285+I286)</x:f>
        <x:v>0</x:v>
      </x:c>
      <x:c r="O286" s="32" t="n">
        <x:f>IF(A286=1,G286,O285+G286)</x:f>
        <x:v>3671325</x:v>
      </x:c>
      <x:c r="P286" s="37" t="n">
        <x:f>EDATE(Dashboard!$B$10,A286)</x:f>
        <x:v>53693</x:v>
      </x:c>
    </x:row>
    <x:row r="287">
      <x:c r="A287" s="33" t="n">
        <x:v>286</x:v>
      </x:c>
      <x:c r="B287" s="33" t="str">
        <x:f>IF(A287&lt;=Dashboard!$F$8,"Holiday",IF(A287&lt;=Dashboard!$F$8+Dashboard!$F$7,"Repayment","Closed"))</x:f>
        <x:v>Closed</x:v>
      </x:c>
      <x:c r="C287" s="32">
        <x:f>IF(A287=1,Dashboard!$B$6,IF(B287="Holiday",J286,L286))</x:f>
      </x:c>
      <x:c r="D287" s="32">
        <x:f>IF(A287=1,0,IF(B287="Holiday",K286,0))</x:f>
      </x:c>
      <x:c r="E287" s="32">
        <x:f>C287+D287</x:f>
      </x:c>
      <x:c r="F287" s="32">
        <x:f>IF(B287="Holiday",IF(Dashboard!$B$14="Principal Only",MIN(Dashboard!$B$15,C287),0),0)</x:f>
      </x:c>
      <x:c r="G287" s="32" t="n">
        <x:f>IF(B287="Closed",0,IF(B287="Holiday",IF(Dashboard!$B$14="Interest Only",C287*Dashboard!$F$6,MAX(0,(C287-F287)*Dashboard!$F$6)),E287*Dashboard!$F$6))</x:f>
        <x:v>0</x:v>
      </x:c>
      <x:c r="H287" s="32" t="n">
        <x:f>IF(B287="Holiday",IF(Dashboard!$B$14="Interest Only",G287,F287),IF(B287="Closed",0,MIN(Dashboard!$F$10,E287+G287)))</x:f>
        <x:v>0</x:v>
      </x:c>
      <x:c r="I287" s="32" t="n">
        <x:f>IF(B287="Holiday",F287,IF(B287="Closed",0,MAX(0,H287-G287)))</x:f>
        <x:v>0</x:v>
      </x:c>
      <x:c r="J287" s="32" t="n">
        <x:f>IF(B287="Holiday",MAX(0,C287-F287),IF(B287="Closed",0,MAX(0,E287-I287)))</x:f>
        <x:v>0</x:v>
      </x:c>
      <x:c r="K287" s="32" t="n">
        <x:f>IF(B287="Holiday",IF(Dashboard!$B$14="Interest Only",D287,D287+G287),0)</x:f>
        <x:v>0</x:v>
      </x:c>
      <x:c r="L287" s="32" t="n">
        <x:f>J287+K287</x:f>
        <x:v>0</x:v>
      </x:c>
      <x:c r="M287" s="32" t="n">
        <x:f>IF(A287=1,H287,M286+H287)</x:f>
        <x:v>0</x:v>
      </x:c>
      <x:c r="N287" s="32" t="n">
        <x:f>IF(A287=1,I287,N286+I287)</x:f>
        <x:v>0</x:v>
      </x:c>
      <x:c r="O287" s="32" t="n">
        <x:f>IF(A287=1,G287,O286+G287)</x:f>
        <x:v>3671325</x:v>
      </x:c>
      <x:c r="P287" s="37" t="n">
        <x:f>EDATE(Dashboard!$B$10,A287)</x:f>
        <x:v>53724</x:v>
      </x:c>
    </x:row>
    <x:row r="288">
      <x:c r="A288" s="33" t="n">
        <x:v>287</x:v>
      </x:c>
      <x:c r="B288" s="33" t="str">
        <x:f>IF(A288&lt;=Dashboard!$F$8,"Holiday",IF(A288&lt;=Dashboard!$F$8+Dashboard!$F$7,"Repayment","Closed"))</x:f>
        <x:v>Closed</x:v>
      </x:c>
      <x:c r="C288" s="32">
        <x:f>IF(A288=1,Dashboard!$B$6,IF(B288="Holiday",J287,L287))</x:f>
      </x:c>
      <x:c r="D288" s="32">
        <x:f>IF(A288=1,0,IF(B288="Holiday",K287,0))</x:f>
      </x:c>
      <x:c r="E288" s="32">
        <x:f>C288+D288</x:f>
      </x:c>
      <x:c r="F288" s="32">
        <x:f>IF(B288="Holiday",IF(Dashboard!$B$14="Principal Only",MIN(Dashboard!$B$15,C288),0),0)</x:f>
      </x:c>
      <x:c r="G288" s="32" t="n">
        <x:f>IF(B288="Closed",0,IF(B288="Holiday",IF(Dashboard!$B$14="Interest Only",C288*Dashboard!$F$6,MAX(0,(C288-F288)*Dashboard!$F$6)),E288*Dashboard!$F$6))</x:f>
        <x:v>0</x:v>
      </x:c>
      <x:c r="H288" s="32" t="n">
        <x:f>IF(B288="Holiday",IF(Dashboard!$B$14="Interest Only",G288,F288),IF(B288="Closed",0,MIN(Dashboard!$F$10,E288+G288)))</x:f>
        <x:v>0</x:v>
      </x:c>
      <x:c r="I288" s="32" t="n">
        <x:f>IF(B288="Holiday",F288,IF(B288="Closed",0,MAX(0,H288-G288)))</x:f>
        <x:v>0</x:v>
      </x:c>
      <x:c r="J288" s="32" t="n">
        <x:f>IF(B288="Holiday",MAX(0,C288-F288),IF(B288="Closed",0,MAX(0,E288-I288)))</x:f>
        <x:v>0</x:v>
      </x:c>
      <x:c r="K288" s="32" t="n">
        <x:f>IF(B288="Holiday",IF(Dashboard!$B$14="Interest Only",D288,D288+G288),0)</x:f>
        <x:v>0</x:v>
      </x:c>
      <x:c r="L288" s="32" t="n">
        <x:f>J288+K288</x:f>
        <x:v>0</x:v>
      </x:c>
      <x:c r="M288" s="32" t="n">
        <x:f>IF(A288=1,H288,M287+H288)</x:f>
        <x:v>0</x:v>
      </x:c>
      <x:c r="N288" s="32" t="n">
        <x:f>IF(A288=1,I288,N287+I288)</x:f>
        <x:v>0</x:v>
      </x:c>
      <x:c r="O288" s="32" t="n">
        <x:f>IF(A288=1,G288,O287+G288)</x:f>
        <x:v>3671325</x:v>
      </x:c>
      <x:c r="P288" s="37" t="n">
        <x:f>EDATE(Dashboard!$B$10,A288)</x:f>
        <x:v>53752</x:v>
      </x:c>
    </x:row>
    <x:row r="289">
      <x:c r="A289" s="33" t="n">
        <x:v>288</x:v>
      </x:c>
      <x:c r="B289" s="33" t="str">
        <x:f>IF(A289&lt;=Dashboard!$F$8,"Holiday",IF(A289&lt;=Dashboard!$F$8+Dashboard!$F$7,"Repayment","Closed"))</x:f>
        <x:v>Closed</x:v>
      </x:c>
      <x:c r="C289" s="32">
        <x:f>IF(A289=1,Dashboard!$B$6,IF(B289="Holiday",J288,L288))</x:f>
      </x:c>
      <x:c r="D289" s="32">
        <x:f>IF(A289=1,0,IF(B289="Holiday",K288,0))</x:f>
      </x:c>
      <x:c r="E289" s="32">
        <x:f>C289+D289</x:f>
      </x:c>
      <x:c r="F289" s="32">
        <x:f>IF(B289="Holiday",IF(Dashboard!$B$14="Principal Only",MIN(Dashboard!$B$15,C289),0),0)</x:f>
      </x:c>
      <x:c r="G289" s="32" t="n">
        <x:f>IF(B289="Closed",0,IF(B289="Holiday",IF(Dashboard!$B$14="Interest Only",C289*Dashboard!$F$6,MAX(0,(C289-F289)*Dashboard!$F$6)),E289*Dashboard!$F$6))</x:f>
        <x:v>0</x:v>
      </x:c>
      <x:c r="H289" s="32" t="n">
        <x:f>IF(B289="Holiday",IF(Dashboard!$B$14="Interest Only",G289,F289),IF(B289="Closed",0,MIN(Dashboard!$F$10,E289+G289)))</x:f>
        <x:v>0</x:v>
      </x:c>
      <x:c r="I289" s="32" t="n">
        <x:f>IF(B289="Holiday",F289,IF(B289="Closed",0,MAX(0,H289-G289)))</x:f>
        <x:v>0</x:v>
      </x:c>
      <x:c r="J289" s="32" t="n">
        <x:f>IF(B289="Holiday",MAX(0,C289-F289),IF(B289="Closed",0,MAX(0,E289-I289)))</x:f>
        <x:v>0</x:v>
      </x:c>
      <x:c r="K289" s="32" t="n">
        <x:f>IF(B289="Holiday",IF(Dashboard!$B$14="Interest Only",D289,D289+G289),0)</x:f>
        <x:v>0</x:v>
      </x:c>
      <x:c r="L289" s="32" t="n">
        <x:f>J289+K289</x:f>
        <x:v>0</x:v>
      </x:c>
      <x:c r="M289" s="32" t="n">
        <x:f>IF(A289=1,H289,M288+H289)</x:f>
        <x:v>0</x:v>
      </x:c>
      <x:c r="N289" s="32" t="n">
        <x:f>IF(A289=1,I289,N288+I289)</x:f>
        <x:v>0</x:v>
      </x:c>
      <x:c r="O289" s="32" t="n">
        <x:f>IF(A289=1,G289,O288+G289)</x:f>
        <x:v>3671325</x:v>
      </x:c>
      <x:c r="P289" s="37" t="n">
        <x:f>EDATE(Dashboard!$B$10,A289)</x:f>
        <x:v>53783</x:v>
      </x:c>
    </x:row>
    <x:row r="290">
      <x:c r="A290" s="33" t="n">
        <x:v>289</x:v>
      </x:c>
      <x:c r="B290" s="33" t="str">
        <x:f>IF(A290&lt;=Dashboard!$F$8,"Holiday",IF(A290&lt;=Dashboard!$F$8+Dashboard!$F$7,"Repayment","Closed"))</x:f>
        <x:v>Closed</x:v>
      </x:c>
      <x:c r="C290" s="32">
        <x:f>IF(A290=1,Dashboard!$B$6,IF(B290="Holiday",J289,L289))</x:f>
      </x:c>
      <x:c r="D290" s="32">
        <x:f>IF(A290=1,0,IF(B290="Holiday",K289,0))</x:f>
      </x:c>
      <x:c r="E290" s="32">
        <x:f>C290+D290</x:f>
      </x:c>
      <x:c r="F290" s="32">
        <x:f>IF(B290="Holiday",IF(Dashboard!$B$14="Principal Only",MIN(Dashboard!$B$15,C290),0),0)</x:f>
      </x:c>
      <x:c r="G290" s="32" t="n">
        <x:f>IF(B290="Closed",0,IF(B290="Holiday",IF(Dashboard!$B$14="Interest Only",C290*Dashboard!$F$6,MAX(0,(C290-F290)*Dashboard!$F$6)),E290*Dashboard!$F$6))</x:f>
        <x:v>0</x:v>
      </x:c>
      <x:c r="H290" s="32" t="n">
        <x:f>IF(B290="Holiday",IF(Dashboard!$B$14="Interest Only",G290,F290),IF(B290="Closed",0,MIN(Dashboard!$F$10,E290+G290)))</x:f>
        <x:v>0</x:v>
      </x:c>
      <x:c r="I290" s="32" t="n">
        <x:f>IF(B290="Holiday",F290,IF(B290="Closed",0,MAX(0,H290-G290)))</x:f>
        <x:v>0</x:v>
      </x:c>
      <x:c r="J290" s="32" t="n">
        <x:f>IF(B290="Holiday",MAX(0,C290-F290),IF(B290="Closed",0,MAX(0,E290-I290)))</x:f>
        <x:v>0</x:v>
      </x:c>
      <x:c r="K290" s="32" t="n">
        <x:f>IF(B290="Holiday",IF(Dashboard!$B$14="Interest Only",D290,D290+G290),0)</x:f>
        <x:v>0</x:v>
      </x:c>
      <x:c r="L290" s="32" t="n">
        <x:f>J290+K290</x:f>
        <x:v>0</x:v>
      </x:c>
      <x:c r="M290" s="32" t="n">
        <x:f>IF(A290=1,H290,M289+H290)</x:f>
        <x:v>0</x:v>
      </x:c>
      <x:c r="N290" s="32" t="n">
        <x:f>IF(A290=1,I290,N289+I290)</x:f>
        <x:v>0</x:v>
      </x:c>
      <x:c r="O290" s="32" t="n">
        <x:f>IF(A290=1,G290,O289+G290)</x:f>
        <x:v>3671325</x:v>
      </x:c>
      <x:c r="P290" s="37" t="n">
        <x:f>EDATE(Dashboard!$B$10,A290)</x:f>
        <x:v>53813</x:v>
      </x:c>
    </x:row>
    <x:row r="291">
      <x:c r="A291" s="33" t="n">
        <x:v>290</x:v>
      </x:c>
      <x:c r="B291" s="33" t="str">
        <x:f>IF(A291&lt;=Dashboard!$F$8,"Holiday",IF(A291&lt;=Dashboard!$F$8+Dashboard!$F$7,"Repayment","Closed"))</x:f>
        <x:v>Closed</x:v>
      </x:c>
      <x:c r="C291" s="32">
        <x:f>IF(A291=1,Dashboard!$B$6,IF(B291="Holiday",J290,L290))</x:f>
      </x:c>
      <x:c r="D291" s="32">
        <x:f>IF(A291=1,0,IF(B291="Holiday",K290,0))</x:f>
      </x:c>
      <x:c r="E291" s="32">
        <x:f>C291+D291</x:f>
      </x:c>
      <x:c r="F291" s="32">
        <x:f>IF(B291="Holiday",IF(Dashboard!$B$14="Principal Only",MIN(Dashboard!$B$15,C291),0),0)</x:f>
      </x:c>
      <x:c r="G291" s="32" t="n">
        <x:f>IF(B291="Closed",0,IF(B291="Holiday",IF(Dashboard!$B$14="Interest Only",C291*Dashboard!$F$6,MAX(0,(C291-F291)*Dashboard!$F$6)),E291*Dashboard!$F$6))</x:f>
        <x:v>0</x:v>
      </x:c>
      <x:c r="H291" s="32" t="n">
        <x:f>IF(B291="Holiday",IF(Dashboard!$B$14="Interest Only",G291,F291),IF(B291="Closed",0,MIN(Dashboard!$F$10,E291+G291)))</x:f>
        <x:v>0</x:v>
      </x:c>
      <x:c r="I291" s="32" t="n">
        <x:f>IF(B291="Holiday",F291,IF(B291="Closed",0,MAX(0,H291-G291)))</x:f>
        <x:v>0</x:v>
      </x:c>
      <x:c r="J291" s="32" t="n">
        <x:f>IF(B291="Holiday",MAX(0,C291-F291),IF(B291="Closed",0,MAX(0,E291-I291)))</x:f>
        <x:v>0</x:v>
      </x:c>
      <x:c r="K291" s="32" t="n">
        <x:f>IF(B291="Holiday",IF(Dashboard!$B$14="Interest Only",D291,D291+G291),0)</x:f>
        <x:v>0</x:v>
      </x:c>
      <x:c r="L291" s="32" t="n">
        <x:f>J291+K291</x:f>
        <x:v>0</x:v>
      </x:c>
      <x:c r="M291" s="32" t="n">
        <x:f>IF(A291=1,H291,M290+H291)</x:f>
        <x:v>0</x:v>
      </x:c>
      <x:c r="N291" s="32" t="n">
        <x:f>IF(A291=1,I291,N290+I291)</x:f>
        <x:v>0</x:v>
      </x:c>
      <x:c r="O291" s="32" t="n">
        <x:f>IF(A291=1,G291,O290+G291)</x:f>
        <x:v>3671325</x:v>
      </x:c>
      <x:c r="P291" s="37" t="n">
        <x:f>EDATE(Dashboard!$B$10,A291)</x:f>
        <x:v>53844</x:v>
      </x:c>
    </x:row>
    <x:row r="292">
      <x:c r="A292" s="33" t="n">
        <x:v>291</x:v>
      </x:c>
      <x:c r="B292" s="33" t="str">
        <x:f>IF(A292&lt;=Dashboard!$F$8,"Holiday",IF(A292&lt;=Dashboard!$F$8+Dashboard!$F$7,"Repayment","Closed"))</x:f>
        <x:v>Closed</x:v>
      </x:c>
      <x:c r="C292" s="32">
        <x:f>IF(A292=1,Dashboard!$B$6,IF(B292="Holiday",J291,L291))</x:f>
      </x:c>
      <x:c r="D292" s="32">
        <x:f>IF(A292=1,0,IF(B292="Holiday",K291,0))</x:f>
      </x:c>
      <x:c r="E292" s="32">
        <x:f>C292+D292</x:f>
      </x:c>
      <x:c r="F292" s="32">
        <x:f>IF(B292="Holiday",IF(Dashboard!$B$14="Principal Only",MIN(Dashboard!$B$15,C292),0),0)</x:f>
      </x:c>
      <x:c r="G292" s="32" t="n">
        <x:f>IF(B292="Closed",0,IF(B292="Holiday",IF(Dashboard!$B$14="Interest Only",C292*Dashboard!$F$6,MAX(0,(C292-F292)*Dashboard!$F$6)),E292*Dashboard!$F$6))</x:f>
        <x:v>0</x:v>
      </x:c>
      <x:c r="H292" s="32" t="n">
        <x:f>IF(B292="Holiday",IF(Dashboard!$B$14="Interest Only",G292,F292),IF(B292="Closed",0,MIN(Dashboard!$F$10,E292+G292)))</x:f>
        <x:v>0</x:v>
      </x:c>
      <x:c r="I292" s="32" t="n">
        <x:f>IF(B292="Holiday",F292,IF(B292="Closed",0,MAX(0,H292-G292)))</x:f>
        <x:v>0</x:v>
      </x:c>
      <x:c r="J292" s="32" t="n">
        <x:f>IF(B292="Holiday",MAX(0,C292-F292),IF(B292="Closed",0,MAX(0,E292-I292)))</x:f>
        <x:v>0</x:v>
      </x:c>
      <x:c r="K292" s="32" t="n">
        <x:f>IF(B292="Holiday",IF(Dashboard!$B$14="Interest Only",D292,D292+G292),0)</x:f>
        <x:v>0</x:v>
      </x:c>
      <x:c r="L292" s="32" t="n">
        <x:f>J292+K292</x:f>
        <x:v>0</x:v>
      </x:c>
      <x:c r="M292" s="32" t="n">
        <x:f>IF(A292=1,H292,M291+H292)</x:f>
        <x:v>0</x:v>
      </x:c>
      <x:c r="N292" s="32" t="n">
        <x:f>IF(A292=1,I292,N291+I292)</x:f>
        <x:v>0</x:v>
      </x:c>
      <x:c r="O292" s="32" t="n">
        <x:f>IF(A292=1,G292,O291+G292)</x:f>
        <x:v>3671325</x:v>
      </x:c>
      <x:c r="P292" s="37" t="n">
        <x:f>EDATE(Dashboard!$B$10,A292)</x:f>
        <x:v>53874</x:v>
      </x:c>
    </x:row>
    <x:row r="293">
      <x:c r="A293" s="33" t="n">
        <x:v>292</x:v>
      </x:c>
      <x:c r="B293" s="33" t="str">
        <x:f>IF(A293&lt;=Dashboard!$F$8,"Holiday",IF(A293&lt;=Dashboard!$F$8+Dashboard!$F$7,"Repayment","Closed"))</x:f>
        <x:v>Closed</x:v>
      </x:c>
      <x:c r="C293" s="32">
        <x:f>IF(A293=1,Dashboard!$B$6,IF(B293="Holiday",J292,L292))</x:f>
      </x:c>
      <x:c r="D293" s="32">
        <x:f>IF(A293=1,0,IF(B293="Holiday",K292,0))</x:f>
      </x:c>
      <x:c r="E293" s="32">
        <x:f>C293+D293</x:f>
      </x:c>
      <x:c r="F293" s="32">
        <x:f>IF(B293="Holiday",IF(Dashboard!$B$14="Principal Only",MIN(Dashboard!$B$15,C293),0),0)</x:f>
      </x:c>
      <x:c r="G293" s="32" t="n">
        <x:f>IF(B293="Closed",0,IF(B293="Holiday",IF(Dashboard!$B$14="Interest Only",C293*Dashboard!$F$6,MAX(0,(C293-F293)*Dashboard!$F$6)),E293*Dashboard!$F$6))</x:f>
        <x:v>0</x:v>
      </x:c>
      <x:c r="H293" s="32" t="n">
        <x:f>IF(B293="Holiday",IF(Dashboard!$B$14="Interest Only",G293,F293),IF(B293="Closed",0,MIN(Dashboard!$F$10,E293+G293)))</x:f>
        <x:v>0</x:v>
      </x:c>
      <x:c r="I293" s="32" t="n">
        <x:f>IF(B293="Holiday",F293,IF(B293="Closed",0,MAX(0,H293-G293)))</x:f>
        <x:v>0</x:v>
      </x:c>
      <x:c r="J293" s="32" t="n">
        <x:f>IF(B293="Holiday",MAX(0,C293-F293),IF(B293="Closed",0,MAX(0,E293-I293)))</x:f>
        <x:v>0</x:v>
      </x:c>
      <x:c r="K293" s="32" t="n">
        <x:f>IF(B293="Holiday",IF(Dashboard!$B$14="Interest Only",D293,D293+G293),0)</x:f>
        <x:v>0</x:v>
      </x:c>
      <x:c r="L293" s="32" t="n">
        <x:f>J293+K293</x:f>
        <x:v>0</x:v>
      </x:c>
      <x:c r="M293" s="32" t="n">
        <x:f>IF(A293=1,H293,M292+H293)</x:f>
        <x:v>0</x:v>
      </x:c>
      <x:c r="N293" s="32" t="n">
        <x:f>IF(A293=1,I293,N292+I293)</x:f>
        <x:v>0</x:v>
      </x:c>
      <x:c r="O293" s="32" t="n">
        <x:f>IF(A293=1,G293,O292+G293)</x:f>
        <x:v>3671325</x:v>
      </x:c>
      <x:c r="P293" s="37" t="n">
        <x:f>EDATE(Dashboard!$B$10,A293)</x:f>
        <x:v>53905</x:v>
      </x:c>
    </x:row>
    <x:row r="294">
      <x:c r="A294" s="33" t="n">
        <x:v>293</x:v>
      </x:c>
      <x:c r="B294" s="33" t="str">
        <x:f>IF(A294&lt;=Dashboard!$F$8,"Holiday",IF(A294&lt;=Dashboard!$F$8+Dashboard!$F$7,"Repayment","Closed"))</x:f>
        <x:v>Closed</x:v>
      </x:c>
      <x:c r="C294" s="32">
        <x:f>IF(A294=1,Dashboard!$B$6,IF(B294="Holiday",J293,L293))</x:f>
      </x:c>
      <x:c r="D294" s="32">
        <x:f>IF(A294=1,0,IF(B294="Holiday",K293,0))</x:f>
      </x:c>
      <x:c r="E294" s="32">
        <x:f>C294+D294</x:f>
      </x:c>
      <x:c r="F294" s="32">
        <x:f>IF(B294="Holiday",IF(Dashboard!$B$14="Principal Only",MIN(Dashboard!$B$15,C294),0),0)</x:f>
      </x:c>
      <x:c r="G294" s="32" t="n">
        <x:f>IF(B294="Closed",0,IF(B294="Holiday",IF(Dashboard!$B$14="Interest Only",C294*Dashboard!$F$6,MAX(0,(C294-F294)*Dashboard!$F$6)),E294*Dashboard!$F$6))</x:f>
        <x:v>0</x:v>
      </x:c>
      <x:c r="H294" s="32" t="n">
        <x:f>IF(B294="Holiday",IF(Dashboard!$B$14="Interest Only",G294,F294),IF(B294="Closed",0,MIN(Dashboard!$F$10,E294+G294)))</x:f>
        <x:v>0</x:v>
      </x:c>
      <x:c r="I294" s="32" t="n">
        <x:f>IF(B294="Holiday",F294,IF(B294="Closed",0,MAX(0,H294-G294)))</x:f>
        <x:v>0</x:v>
      </x:c>
      <x:c r="J294" s="32" t="n">
        <x:f>IF(B294="Holiday",MAX(0,C294-F294),IF(B294="Closed",0,MAX(0,E294-I294)))</x:f>
        <x:v>0</x:v>
      </x:c>
      <x:c r="K294" s="32" t="n">
        <x:f>IF(B294="Holiday",IF(Dashboard!$B$14="Interest Only",D294,D294+G294),0)</x:f>
        <x:v>0</x:v>
      </x:c>
      <x:c r="L294" s="32" t="n">
        <x:f>J294+K294</x:f>
        <x:v>0</x:v>
      </x:c>
      <x:c r="M294" s="32" t="n">
        <x:f>IF(A294=1,H294,M293+H294)</x:f>
        <x:v>0</x:v>
      </x:c>
      <x:c r="N294" s="32" t="n">
        <x:f>IF(A294=1,I294,N293+I294)</x:f>
        <x:v>0</x:v>
      </x:c>
      <x:c r="O294" s="32" t="n">
        <x:f>IF(A294=1,G294,O293+G294)</x:f>
        <x:v>3671325</x:v>
      </x:c>
      <x:c r="P294" s="37" t="n">
        <x:f>EDATE(Dashboard!$B$10,A294)</x:f>
        <x:v>53936</x:v>
      </x:c>
    </x:row>
    <x:row r="295">
      <x:c r="A295" s="33" t="n">
        <x:v>294</x:v>
      </x:c>
      <x:c r="B295" s="33" t="str">
        <x:f>IF(A295&lt;=Dashboard!$F$8,"Holiday",IF(A295&lt;=Dashboard!$F$8+Dashboard!$F$7,"Repayment","Closed"))</x:f>
        <x:v>Closed</x:v>
      </x:c>
      <x:c r="C295" s="32">
        <x:f>IF(A295=1,Dashboard!$B$6,IF(B295="Holiday",J294,L294))</x:f>
      </x:c>
      <x:c r="D295" s="32">
        <x:f>IF(A295=1,0,IF(B295="Holiday",K294,0))</x:f>
      </x:c>
      <x:c r="E295" s="32">
        <x:f>C295+D295</x:f>
      </x:c>
      <x:c r="F295" s="32">
        <x:f>IF(B295="Holiday",IF(Dashboard!$B$14="Principal Only",MIN(Dashboard!$B$15,C295),0),0)</x:f>
      </x:c>
      <x:c r="G295" s="32" t="n">
        <x:f>IF(B295="Closed",0,IF(B295="Holiday",IF(Dashboard!$B$14="Interest Only",C295*Dashboard!$F$6,MAX(0,(C295-F295)*Dashboard!$F$6)),E295*Dashboard!$F$6))</x:f>
        <x:v>0</x:v>
      </x:c>
      <x:c r="H295" s="32" t="n">
        <x:f>IF(B295="Holiday",IF(Dashboard!$B$14="Interest Only",G295,F295),IF(B295="Closed",0,MIN(Dashboard!$F$10,E295+G295)))</x:f>
        <x:v>0</x:v>
      </x:c>
      <x:c r="I295" s="32" t="n">
        <x:f>IF(B295="Holiday",F295,IF(B295="Closed",0,MAX(0,H295-G295)))</x:f>
        <x:v>0</x:v>
      </x:c>
      <x:c r="J295" s="32" t="n">
        <x:f>IF(B295="Holiday",MAX(0,C295-F295),IF(B295="Closed",0,MAX(0,E295-I295)))</x:f>
        <x:v>0</x:v>
      </x:c>
      <x:c r="K295" s="32" t="n">
        <x:f>IF(B295="Holiday",IF(Dashboard!$B$14="Interest Only",D295,D295+G295),0)</x:f>
        <x:v>0</x:v>
      </x:c>
      <x:c r="L295" s="32" t="n">
        <x:f>J295+K295</x:f>
        <x:v>0</x:v>
      </x:c>
      <x:c r="M295" s="32" t="n">
        <x:f>IF(A295=1,H295,M294+H295)</x:f>
        <x:v>0</x:v>
      </x:c>
      <x:c r="N295" s="32" t="n">
        <x:f>IF(A295=1,I295,N294+I295)</x:f>
        <x:v>0</x:v>
      </x:c>
      <x:c r="O295" s="32" t="n">
        <x:f>IF(A295=1,G295,O294+G295)</x:f>
        <x:v>3671325</x:v>
      </x:c>
      <x:c r="P295" s="37" t="n">
        <x:f>EDATE(Dashboard!$B$10,A295)</x:f>
        <x:v>53966</x:v>
      </x:c>
    </x:row>
    <x:row r="296">
      <x:c r="A296" s="33" t="n">
        <x:v>295</x:v>
      </x:c>
      <x:c r="B296" s="33" t="str">
        <x:f>IF(A296&lt;=Dashboard!$F$8,"Holiday",IF(A296&lt;=Dashboard!$F$8+Dashboard!$F$7,"Repayment","Closed"))</x:f>
        <x:v>Closed</x:v>
      </x:c>
      <x:c r="C296" s="32">
        <x:f>IF(A296=1,Dashboard!$B$6,IF(B296="Holiday",J295,L295))</x:f>
      </x:c>
      <x:c r="D296" s="32">
        <x:f>IF(A296=1,0,IF(B296="Holiday",K295,0))</x:f>
      </x:c>
      <x:c r="E296" s="32">
        <x:f>C296+D296</x:f>
      </x:c>
      <x:c r="F296" s="32">
        <x:f>IF(B296="Holiday",IF(Dashboard!$B$14="Principal Only",MIN(Dashboard!$B$15,C296),0),0)</x:f>
      </x:c>
      <x:c r="G296" s="32" t="n">
        <x:f>IF(B296="Closed",0,IF(B296="Holiday",IF(Dashboard!$B$14="Interest Only",C296*Dashboard!$F$6,MAX(0,(C296-F296)*Dashboard!$F$6)),E296*Dashboard!$F$6))</x:f>
        <x:v>0</x:v>
      </x:c>
      <x:c r="H296" s="32" t="n">
        <x:f>IF(B296="Holiday",IF(Dashboard!$B$14="Interest Only",G296,F296),IF(B296="Closed",0,MIN(Dashboard!$F$10,E296+G296)))</x:f>
        <x:v>0</x:v>
      </x:c>
      <x:c r="I296" s="32" t="n">
        <x:f>IF(B296="Holiday",F296,IF(B296="Closed",0,MAX(0,H296-G296)))</x:f>
        <x:v>0</x:v>
      </x:c>
      <x:c r="J296" s="32" t="n">
        <x:f>IF(B296="Holiday",MAX(0,C296-F296),IF(B296="Closed",0,MAX(0,E296-I296)))</x:f>
        <x:v>0</x:v>
      </x:c>
      <x:c r="K296" s="32" t="n">
        <x:f>IF(B296="Holiday",IF(Dashboard!$B$14="Interest Only",D296,D296+G296),0)</x:f>
        <x:v>0</x:v>
      </x:c>
      <x:c r="L296" s="32" t="n">
        <x:f>J296+K296</x:f>
        <x:v>0</x:v>
      </x:c>
      <x:c r="M296" s="32" t="n">
        <x:f>IF(A296=1,H296,M295+H296)</x:f>
        <x:v>0</x:v>
      </x:c>
      <x:c r="N296" s="32" t="n">
        <x:f>IF(A296=1,I296,N295+I296)</x:f>
        <x:v>0</x:v>
      </x:c>
      <x:c r="O296" s="32" t="n">
        <x:f>IF(A296=1,G296,O295+G296)</x:f>
        <x:v>3671325</x:v>
      </x:c>
      <x:c r="P296" s="37" t="n">
        <x:f>EDATE(Dashboard!$B$10,A296)</x:f>
        <x:v>53997</x:v>
      </x:c>
    </x:row>
    <x:row r="297">
      <x:c r="A297" s="33" t="n">
        <x:v>296</x:v>
      </x:c>
      <x:c r="B297" s="33" t="str">
        <x:f>IF(A297&lt;=Dashboard!$F$8,"Holiday",IF(A297&lt;=Dashboard!$F$8+Dashboard!$F$7,"Repayment","Closed"))</x:f>
        <x:v>Closed</x:v>
      </x:c>
      <x:c r="C297" s="32">
        <x:f>IF(A297=1,Dashboard!$B$6,IF(B297="Holiday",J296,L296))</x:f>
      </x:c>
      <x:c r="D297" s="32">
        <x:f>IF(A297=1,0,IF(B297="Holiday",K296,0))</x:f>
      </x:c>
      <x:c r="E297" s="32">
        <x:f>C297+D297</x:f>
      </x:c>
      <x:c r="F297" s="32">
        <x:f>IF(B297="Holiday",IF(Dashboard!$B$14="Principal Only",MIN(Dashboard!$B$15,C297),0),0)</x:f>
      </x:c>
      <x:c r="G297" s="32" t="n">
        <x:f>IF(B297="Closed",0,IF(B297="Holiday",IF(Dashboard!$B$14="Interest Only",C297*Dashboard!$F$6,MAX(0,(C297-F297)*Dashboard!$F$6)),E297*Dashboard!$F$6))</x:f>
        <x:v>0</x:v>
      </x:c>
      <x:c r="H297" s="32" t="n">
        <x:f>IF(B297="Holiday",IF(Dashboard!$B$14="Interest Only",G297,F297),IF(B297="Closed",0,MIN(Dashboard!$F$10,E297+G297)))</x:f>
        <x:v>0</x:v>
      </x:c>
      <x:c r="I297" s="32" t="n">
        <x:f>IF(B297="Holiday",F297,IF(B297="Closed",0,MAX(0,H297-G297)))</x:f>
        <x:v>0</x:v>
      </x:c>
      <x:c r="J297" s="32" t="n">
        <x:f>IF(B297="Holiday",MAX(0,C297-F297),IF(B297="Closed",0,MAX(0,E297-I297)))</x:f>
        <x:v>0</x:v>
      </x:c>
      <x:c r="K297" s="32" t="n">
        <x:f>IF(B297="Holiday",IF(Dashboard!$B$14="Interest Only",D297,D297+G297),0)</x:f>
        <x:v>0</x:v>
      </x:c>
      <x:c r="L297" s="32" t="n">
        <x:f>J297+K297</x:f>
        <x:v>0</x:v>
      </x:c>
      <x:c r="M297" s="32" t="n">
        <x:f>IF(A297=1,H297,M296+H297)</x:f>
        <x:v>0</x:v>
      </x:c>
      <x:c r="N297" s="32" t="n">
        <x:f>IF(A297=1,I297,N296+I297)</x:f>
        <x:v>0</x:v>
      </x:c>
      <x:c r="O297" s="32" t="n">
        <x:f>IF(A297=1,G297,O296+G297)</x:f>
        <x:v>3671325</x:v>
      </x:c>
      <x:c r="P297" s="37" t="n">
        <x:f>EDATE(Dashboard!$B$10,A297)</x:f>
        <x:v>54027</x:v>
      </x:c>
    </x:row>
    <x:row r="298">
      <x:c r="A298" s="33" t="n">
        <x:v>297</x:v>
      </x:c>
      <x:c r="B298" s="33" t="str">
        <x:f>IF(A298&lt;=Dashboard!$F$8,"Holiday",IF(A298&lt;=Dashboard!$F$8+Dashboard!$F$7,"Repayment","Closed"))</x:f>
        <x:v>Closed</x:v>
      </x:c>
      <x:c r="C298" s="32">
        <x:f>IF(A298=1,Dashboard!$B$6,IF(B298="Holiday",J297,L297))</x:f>
      </x:c>
      <x:c r="D298" s="32">
        <x:f>IF(A298=1,0,IF(B298="Holiday",K297,0))</x:f>
      </x:c>
      <x:c r="E298" s="32">
        <x:f>C298+D298</x:f>
      </x:c>
      <x:c r="F298" s="32">
        <x:f>IF(B298="Holiday",IF(Dashboard!$B$14="Principal Only",MIN(Dashboard!$B$15,C298),0),0)</x:f>
      </x:c>
      <x:c r="G298" s="32" t="n">
        <x:f>IF(B298="Closed",0,IF(B298="Holiday",IF(Dashboard!$B$14="Interest Only",C298*Dashboard!$F$6,MAX(0,(C298-F298)*Dashboard!$F$6)),E298*Dashboard!$F$6))</x:f>
        <x:v>0</x:v>
      </x:c>
      <x:c r="H298" s="32" t="n">
        <x:f>IF(B298="Holiday",IF(Dashboard!$B$14="Interest Only",G298,F298),IF(B298="Closed",0,MIN(Dashboard!$F$10,E298+G298)))</x:f>
        <x:v>0</x:v>
      </x:c>
      <x:c r="I298" s="32" t="n">
        <x:f>IF(B298="Holiday",F298,IF(B298="Closed",0,MAX(0,H298-G298)))</x:f>
        <x:v>0</x:v>
      </x:c>
      <x:c r="J298" s="32" t="n">
        <x:f>IF(B298="Holiday",MAX(0,C298-F298),IF(B298="Closed",0,MAX(0,E298-I298)))</x:f>
        <x:v>0</x:v>
      </x:c>
      <x:c r="K298" s="32" t="n">
        <x:f>IF(B298="Holiday",IF(Dashboard!$B$14="Interest Only",D298,D298+G298),0)</x:f>
        <x:v>0</x:v>
      </x:c>
      <x:c r="L298" s="32" t="n">
        <x:f>J298+K298</x:f>
        <x:v>0</x:v>
      </x:c>
      <x:c r="M298" s="32" t="n">
        <x:f>IF(A298=1,H298,M297+H298)</x:f>
        <x:v>0</x:v>
      </x:c>
      <x:c r="N298" s="32" t="n">
        <x:f>IF(A298=1,I298,N297+I298)</x:f>
        <x:v>0</x:v>
      </x:c>
      <x:c r="O298" s="32" t="n">
        <x:f>IF(A298=1,G298,O297+G298)</x:f>
        <x:v>3671325</x:v>
      </x:c>
      <x:c r="P298" s="37" t="n">
        <x:f>EDATE(Dashboard!$B$10,A298)</x:f>
        <x:v>54058</x:v>
      </x:c>
    </x:row>
    <x:row r="299">
      <x:c r="A299" s="33" t="n">
        <x:v>298</x:v>
      </x:c>
      <x:c r="B299" s="33" t="str">
        <x:f>IF(A299&lt;=Dashboard!$F$8,"Holiday",IF(A299&lt;=Dashboard!$F$8+Dashboard!$F$7,"Repayment","Closed"))</x:f>
        <x:v>Closed</x:v>
      </x:c>
      <x:c r="C299" s="32">
        <x:f>IF(A299=1,Dashboard!$B$6,IF(B299="Holiday",J298,L298))</x:f>
      </x:c>
      <x:c r="D299" s="32">
        <x:f>IF(A299=1,0,IF(B299="Holiday",K298,0))</x:f>
      </x:c>
      <x:c r="E299" s="32">
        <x:f>C299+D299</x:f>
      </x:c>
      <x:c r="F299" s="32">
        <x:f>IF(B299="Holiday",IF(Dashboard!$B$14="Principal Only",MIN(Dashboard!$B$15,C299),0),0)</x:f>
      </x:c>
      <x:c r="G299" s="32" t="n">
        <x:f>IF(B299="Closed",0,IF(B299="Holiday",IF(Dashboard!$B$14="Interest Only",C299*Dashboard!$F$6,MAX(0,(C299-F299)*Dashboard!$F$6)),E299*Dashboard!$F$6))</x:f>
        <x:v>0</x:v>
      </x:c>
      <x:c r="H299" s="32" t="n">
        <x:f>IF(B299="Holiday",IF(Dashboard!$B$14="Interest Only",G299,F299),IF(B299="Closed",0,MIN(Dashboard!$F$10,E299+G299)))</x:f>
        <x:v>0</x:v>
      </x:c>
      <x:c r="I299" s="32" t="n">
        <x:f>IF(B299="Holiday",F299,IF(B299="Closed",0,MAX(0,H299-G299)))</x:f>
        <x:v>0</x:v>
      </x:c>
      <x:c r="J299" s="32" t="n">
        <x:f>IF(B299="Holiday",MAX(0,C299-F299),IF(B299="Closed",0,MAX(0,E299-I299)))</x:f>
        <x:v>0</x:v>
      </x:c>
      <x:c r="K299" s="32" t="n">
        <x:f>IF(B299="Holiday",IF(Dashboard!$B$14="Interest Only",D299,D299+G299),0)</x:f>
        <x:v>0</x:v>
      </x:c>
      <x:c r="L299" s="32" t="n">
        <x:f>J299+K299</x:f>
        <x:v>0</x:v>
      </x:c>
      <x:c r="M299" s="32" t="n">
        <x:f>IF(A299=1,H299,M298+H299)</x:f>
        <x:v>0</x:v>
      </x:c>
      <x:c r="N299" s="32" t="n">
        <x:f>IF(A299=1,I299,N298+I299)</x:f>
        <x:v>0</x:v>
      </x:c>
      <x:c r="O299" s="32" t="n">
        <x:f>IF(A299=1,G299,O298+G299)</x:f>
        <x:v>3671325</x:v>
      </x:c>
      <x:c r="P299" s="37" t="n">
        <x:f>EDATE(Dashboard!$B$10,A299)</x:f>
        <x:v>54089</x:v>
      </x:c>
    </x:row>
    <x:row r="300">
      <x:c r="A300" s="33" t="n">
        <x:v>299</x:v>
      </x:c>
      <x:c r="B300" s="33" t="str">
        <x:f>IF(A300&lt;=Dashboard!$F$8,"Holiday",IF(A300&lt;=Dashboard!$F$8+Dashboard!$F$7,"Repayment","Closed"))</x:f>
        <x:v>Closed</x:v>
      </x:c>
      <x:c r="C300" s="32">
        <x:f>IF(A300=1,Dashboard!$B$6,IF(B300="Holiday",J299,L299))</x:f>
      </x:c>
      <x:c r="D300" s="32">
        <x:f>IF(A300=1,0,IF(B300="Holiday",K299,0))</x:f>
      </x:c>
      <x:c r="E300" s="32">
        <x:f>C300+D300</x:f>
      </x:c>
      <x:c r="F300" s="32">
        <x:f>IF(B300="Holiday",IF(Dashboard!$B$14="Principal Only",MIN(Dashboard!$B$15,C300),0),0)</x:f>
      </x:c>
      <x:c r="G300" s="32" t="n">
        <x:f>IF(B300="Closed",0,IF(B300="Holiday",IF(Dashboard!$B$14="Interest Only",C300*Dashboard!$F$6,MAX(0,(C300-F300)*Dashboard!$F$6)),E300*Dashboard!$F$6))</x:f>
        <x:v>0</x:v>
      </x:c>
      <x:c r="H300" s="32" t="n">
        <x:f>IF(B300="Holiday",IF(Dashboard!$B$14="Interest Only",G300,F300),IF(B300="Closed",0,MIN(Dashboard!$F$10,E300+G300)))</x:f>
        <x:v>0</x:v>
      </x:c>
      <x:c r="I300" s="32" t="n">
        <x:f>IF(B300="Holiday",F300,IF(B300="Closed",0,MAX(0,H300-G300)))</x:f>
        <x:v>0</x:v>
      </x:c>
      <x:c r="J300" s="32" t="n">
        <x:f>IF(B300="Holiday",MAX(0,C300-F300),IF(B300="Closed",0,MAX(0,E300-I300)))</x:f>
        <x:v>0</x:v>
      </x:c>
      <x:c r="K300" s="32" t="n">
        <x:f>IF(B300="Holiday",IF(Dashboard!$B$14="Interest Only",D300,D300+G300),0)</x:f>
        <x:v>0</x:v>
      </x:c>
      <x:c r="L300" s="32" t="n">
        <x:f>J300+K300</x:f>
        <x:v>0</x:v>
      </x:c>
      <x:c r="M300" s="32" t="n">
        <x:f>IF(A300=1,H300,M299+H300)</x:f>
        <x:v>0</x:v>
      </x:c>
      <x:c r="N300" s="32" t="n">
        <x:f>IF(A300=1,I300,N299+I300)</x:f>
        <x:v>0</x:v>
      </x:c>
      <x:c r="O300" s="32" t="n">
        <x:f>IF(A300=1,G300,O299+G300)</x:f>
        <x:v>3671325</x:v>
      </x:c>
      <x:c r="P300" s="37" t="n">
        <x:f>EDATE(Dashboard!$B$10,A300)</x:f>
        <x:v>54118</x:v>
      </x:c>
    </x:row>
    <x:row r="301">
      <x:c r="A301" s="33" t="n">
        <x:v>300</x:v>
      </x:c>
      <x:c r="B301" s="33" t="str">
        <x:f>IF(A301&lt;=Dashboard!$F$8,"Holiday",IF(A301&lt;=Dashboard!$F$8+Dashboard!$F$7,"Repayment","Closed"))</x:f>
        <x:v>Closed</x:v>
      </x:c>
      <x:c r="C301" s="32">
        <x:f>IF(A301=1,Dashboard!$B$6,IF(B301="Holiday",J300,L300))</x:f>
      </x:c>
      <x:c r="D301" s="32">
        <x:f>IF(A301=1,0,IF(B301="Holiday",K300,0))</x:f>
      </x:c>
      <x:c r="E301" s="32">
        <x:f>C301+D301</x:f>
      </x:c>
      <x:c r="F301" s="32">
        <x:f>IF(B301="Holiday",IF(Dashboard!$B$14="Principal Only",MIN(Dashboard!$B$15,C301),0),0)</x:f>
      </x:c>
      <x:c r="G301" s="32" t="n">
        <x:f>IF(B301="Closed",0,IF(B301="Holiday",IF(Dashboard!$B$14="Interest Only",C301*Dashboard!$F$6,MAX(0,(C301-F301)*Dashboard!$F$6)),E301*Dashboard!$F$6))</x:f>
        <x:v>0</x:v>
      </x:c>
      <x:c r="H301" s="32" t="n">
        <x:f>IF(B301="Holiday",IF(Dashboard!$B$14="Interest Only",G301,F301),IF(B301="Closed",0,MIN(Dashboard!$F$10,E301+G301)))</x:f>
        <x:v>0</x:v>
      </x:c>
      <x:c r="I301" s="32" t="n">
        <x:f>IF(B301="Holiday",F301,IF(B301="Closed",0,MAX(0,H301-G301)))</x:f>
        <x:v>0</x:v>
      </x:c>
      <x:c r="J301" s="32" t="n">
        <x:f>IF(B301="Holiday",MAX(0,C301-F301),IF(B301="Closed",0,MAX(0,E301-I301)))</x:f>
        <x:v>0</x:v>
      </x:c>
      <x:c r="K301" s="32" t="n">
        <x:f>IF(B301="Holiday",IF(Dashboard!$B$14="Interest Only",D301,D301+G301),0)</x:f>
        <x:v>0</x:v>
      </x:c>
      <x:c r="L301" s="32" t="n">
        <x:f>J301+K301</x:f>
        <x:v>0</x:v>
      </x:c>
      <x:c r="M301" s="32" t="n">
        <x:f>IF(A301=1,H301,M300+H301)</x:f>
        <x:v>0</x:v>
      </x:c>
      <x:c r="N301" s="32" t="n">
        <x:f>IF(A301=1,I301,N300+I301)</x:f>
        <x:v>0</x:v>
      </x:c>
      <x:c r="O301" s="32" t="n">
        <x:f>IF(A301=1,G301,O300+G301)</x:f>
        <x:v>3671325</x:v>
      </x:c>
      <x:c r="P301" s="37" t="n">
        <x:f>EDATE(Dashboard!$B$10,A301)</x:f>
        <x:v>54149</x:v>
      </x:c>
    </x:row>
    <x:row r="302">
      <x:c r="A302" s="33" t="n">
        <x:v>301</x:v>
      </x:c>
      <x:c r="B302" s="33" t="str">
        <x:f>IF(A302&lt;=Dashboard!$F$8,"Holiday",IF(A302&lt;=Dashboard!$F$8+Dashboard!$F$7,"Repayment","Closed"))</x:f>
        <x:v>Closed</x:v>
      </x:c>
      <x:c r="C302" s="32">
        <x:f>IF(A302=1,Dashboard!$B$6,IF(B302="Holiday",J301,L301))</x:f>
      </x:c>
      <x:c r="D302" s="32">
        <x:f>IF(A302=1,0,IF(B302="Holiday",K301,0))</x:f>
      </x:c>
      <x:c r="E302" s="32">
        <x:f>C302+D302</x:f>
      </x:c>
      <x:c r="F302" s="32">
        <x:f>IF(B302="Holiday",IF(Dashboard!$B$14="Principal Only",MIN(Dashboard!$B$15,C302),0),0)</x:f>
      </x:c>
      <x:c r="G302" s="32" t="n">
        <x:f>IF(B302="Closed",0,IF(B302="Holiday",IF(Dashboard!$B$14="Interest Only",C302*Dashboard!$F$6,MAX(0,(C302-F302)*Dashboard!$F$6)),E302*Dashboard!$F$6))</x:f>
        <x:v>0</x:v>
      </x:c>
      <x:c r="H302" s="32" t="n">
        <x:f>IF(B302="Holiday",IF(Dashboard!$B$14="Interest Only",G302,F302),IF(B302="Closed",0,MIN(Dashboard!$F$10,E302+G302)))</x:f>
        <x:v>0</x:v>
      </x:c>
      <x:c r="I302" s="32" t="n">
        <x:f>IF(B302="Holiday",F302,IF(B302="Closed",0,MAX(0,H302-G302)))</x:f>
        <x:v>0</x:v>
      </x:c>
      <x:c r="J302" s="32" t="n">
        <x:f>IF(B302="Holiday",MAX(0,C302-F302),IF(B302="Closed",0,MAX(0,E302-I302)))</x:f>
        <x:v>0</x:v>
      </x:c>
      <x:c r="K302" s="32" t="n">
        <x:f>IF(B302="Holiday",IF(Dashboard!$B$14="Interest Only",D302,D302+G302),0)</x:f>
        <x:v>0</x:v>
      </x:c>
      <x:c r="L302" s="32" t="n">
        <x:f>J302+K302</x:f>
        <x:v>0</x:v>
      </x:c>
      <x:c r="M302" s="32" t="n">
        <x:f>IF(A302=1,H302,M301+H302)</x:f>
        <x:v>0</x:v>
      </x:c>
      <x:c r="N302" s="32" t="n">
        <x:f>IF(A302=1,I302,N301+I302)</x:f>
        <x:v>0</x:v>
      </x:c>
      <x:c r="O302" s="32" t="n">
        <x:f>IF(A302=1,G302,O301+G302)</x:f>
        <x:v>3671325</x:v>
      </x:c>
      <x:c r="P302" s="37" t="n">
        <x:f>EDATE(Dashboard!$B$10,A302)</x:f>
        <x:v>54179</x:v>
      </x:c>
    </x:row>
    <x:row r="303">
      <x:c r="A303" s="33" t="n">
        <x:v>302</x:v>
      </x:c>
      <x:c r="B303" s="33" t="str">
        <x:f>IF(A303&lt;=Dashboard!$F$8,"Holiday",IF(A303&lt;=Dashboard!$F$8+Dashboard!$F$7,"Repayment","Closed"))</x:f>
        <x:v>Closed</x:v>
      </x:c>
      <x:c r="C303" s="32">
        <x:f>IF(A303=1,Dashboard!$B$6,IF(B303="Holiday",J302,L302))</x:f>
      </x:c>
      <x:c r="D303" s="32">
        <x:f>IF(A303=1,0,IF(B303="Holiday",K302,0))</x:f>
      </x:c>
      <x:c r="E303" s="32">
        <x:f>C303+D303</x:f>
      </x:c>
      <x:c r="F303" s="32">
        <x:f>IF(B303="Holiday",IF(Dashboard!$B$14="Principal Only",MIN(Dashboard!$B$15,C303),0),0)</x:f>
      </x:c>
      <x:c r="G303" s="32" t="n">
        <x:f>IF(B303="Closed",0,IF(B303="Holiday",IF(Dashboard!$B$14="Interest Only",C303*Dashboard!$F$6,MAX(0,(C303-F303)*Dashboard!$F$6)),E303*Dashboard!$F$6))</x:f>
        <x:v>0</x:v>
      </x:c>
      <x:c r="H303" s="32" t="n">
        <x:f>IF(B303="Holiday",IF(Dashboard!$B$14="Interest Only",G303,F303),IF(B303="Closed",0,MIN(Dashboard!$F$10,E303+G303)))</x:f>
        <x:v>0</x:v>
      </x:c>
      <x:c r="I303" s="32" t="n">
        <x:f>IF(B303="Holiday",F303,IF(B303="Closed",0,MAX(0,H303-G303)))</x:f>
        <x:v>0</x:v>
      </x:c>
      <x:c r="J303" s="32" t="n">
        <x:f>IF(B303="Holiday",MAX(0,C303-F303),IF(B303="Closed",0,MAX(0,E303-I303)))</x:f>
        <x:v>0</x:v>
      </x:c>
      <x:c r="K303" s="32" t="n">
        <x:f>IF(B303="Holiday",IF(Dashboard!$B$14="Interest Only",D303,D303+G303),0)</x:f>
        <x:v>0</x:v>
      </x:c>
      <x:c r="L303" s="32" t="n">
        <x:f>J303+K303</x:f>
        <x:v>0</x:v>
      </x:c>
      <x:c r="M303" s="32" t="n">
        <x:f>IF(A303=1,H303,M302+H303)</x:f>
        <x:v>0</x:v>
      </x:c>
      <x:c r="N303" s="32" t="n">
        <x:f>IF(A303=1,I303,N302+I303)</x:f>
        <x:v>0</x:v>
      </x:c>
      <x:c r="O303" s="32" t="n">
        <x:f>IF(A303=1,G303,O302+G303)</x:f>
        <x:v>3671325</x:v>
      </x:c>
      <x:c r="P303" s="37" t="n">
        <x:f>EDATE(Dashboard!$B$10,A303)</x:f>
        <x:v>54210</x:v>
      </x:c>
    </x:row>
    <x:row r="304">
      <x:c r="A304" s="33" t="n">
        <x:v>303</x:v>
      </x:c>
      <x:c r="B304" s="33" t="str">
        <x:f>IF(A304&lt;=Dashboard!$F$8,"Holiday",IF(A304&lt;=Dashboard!$F$8+Dashboard!$F$7,"Repayment","Closed"))</x:f>
        <x:v>Closed</x:v>
      </x:c>
      <x:c r="C304" s="32">
        <x:f>IF(A304=1,Dashboard!$B$6,IF(B304="Holiday",J303,L303))</x:f>
      </x:c>
      <x:c r="D304" s="32">
        <x:f>IF(A304=1,0,IF(B304="Holiday",K303,0))</x:f>
      </x:c>
      <x:c r="E304" s="32">
        <x:f>C304+D304</x:f>
      </x:c>
      <x:c r="F304" s="32">
        <x:f>IF(B304="Holiday",IF(Dashboard!$B$14="Principal Only",MIN(Dashboard!$B$15,C304),0),0)</x:f>
      </x:c>
      <x:c r="G304" s="32" t="n">
        <x:f>IF(B304="Closed",0,IF(B304="Holiday",IF(Dashboard!$B$14="Interest Only",C304*Dashboard!$F$6,MAX(0,(C304-F304)*Dashboard!$F$6)),E304*Dashboard!$F$6))</x:f>
        <x:v>0</x:v>
      </x:c>
      <x:c r="H304" s="32" t="n">
        <x:f>IF(B304="Holiday",IF(Dashboard!$B$14="Interest Only",G304,F304),IF(B304="Closed",0,MIN(Dashboard!$F$10,E304+G304)))</x:f>
        <x:v>0</x:v>
      </x:c>
      <x:c r="I304" s="32" t="n">
        <x:f>IF(B304="Holiday",F304,IF(B304="Closed",0,MAX(0,H304-G304)))</x:f>
        <x:v>0</x:v>
      </x:c>
      <x:c r="J304" s="32" t="n">
        <x:f>IF(B304="Holiday",MAX(0,C304-F304),IF(B304="Closed",0,MAX(0,E304-I304)))</x:f>
        <x:v>0</x:v>
      </x:c>
      <x:c r="K304" s="32" t="n">
        <x:f>IF(B304="Holiday",IF(Dashboard!$B$14="Interest Only",D304,D304+G304),0)</x:f>
        <x:v>0</x:v>
      </x:c>
      <x:c r="L304" s="32" t="n">
        <x:f>J304+K304</x:f>
        <x:v>0</x:v>
      </x:c>
      <x:c r="M304" s="32" t="n">
        <x:f>IF(A304=1,H304,M303+H304)</x:f>
        <x:v>0</x:v>
      </x:c>
      <x:c r="N304" s="32" t="n">
        <x:f>IF(A304=1,I304,N303+I304)</x:f>
        <x:v>0</x:v>
      </x:c>
      <x:c r="O304" s="32" t="n">
        <x:f>IF(A304=1,G304,O303+G304)</x:f>
        <x:v>3671325</x:v>
      </x:c>
      <x:c r="P304" s="37" t="n">
        <x:f>EDATE(Dashboard!$B$10,A304)</x:f>
        <x:v>54240</x:v>
      </x:c>
    </x:row>
    <x:row r="305">
      <x:c r="A305" s="33" t="n">
        <x:v>304</x:v>
      </x:c>
      <x:c r="B305" s="33" t="str">
        <x:f>IF(A305&lt;=Dashboard!$F$8,"Holiday",IF(A305&lt;=Dashboard!$F$8+Dashboard!$F$7,"Repayment","Closed"))</x:f>
        <x:v>Closed</x:v>
      </x:c>
      <x:c r="C305" s="32">
        <x:f>IF(A305=1,Dashboard!$B$6,IF(B305="Holiday",J304,L304))</x:f>
      </x:c>
      <x:c r="D305" s="32">
        <x:f>IF(A305=1,0,IF(B305="Holiday",K304,0))</x:f>
      </x:c>
      <x:c r="E305" s="32">
        <x:f>C305+D305</x:f>
      </x:c>
      <x:c r="F305" s="32">
        <x:f>IF(B305="Holiday",IF(Dashboard!$B$14="Principal Only",MIN(Dashboard!$B$15,C305),0),0)</x:f>
      </x:c>
      <x:c r="G305" s="32" t="n">
        <x:f>IF(B305="Closed",0,IF(B305="Holiday",IF(Dashboard!$B$14="Interest Only",C305*Dashboard!$F$6,MAX(0,(C305-F305)*Dashboard!$F$6)),E305*Dashboard!$F$6))</x:f>
        <x:v>0</x:v>
      </x:c>
      <x:c r="H305" s="32" t="n">
        <x:f>IF(B305="Holiday",IF(Dashboard!$B$14="Interest Only",G305,F305),IF(B305="Closed",0,MIN(Dashboard!$F$10,E305+G305)))</x:f>
        <x:v>0</x:v>
      </x:c>
      <x:c r="I305" s="32" t="n">
        <x:f>IF(B305="Holiday",F305,IF(B305="Closed",0,MAX(0,H305-G305)))</x:f>
        <x:v>0</x:v>
      </x:c>
      <x:c r="J305" s="32" t="n">
        <x:f>IF(B305="Holiday",MAX(0,C305-F305),IF(B305="Closed",0,MAX(0,E305-I305)))</x:f>
        <x:v>0</x:v>
      </x:c>
      <x:c r="K305" s="32" t="n">
        <x:f>IF(B305="Holiday",IF(Dashboard!$B$14="Interest Only",D305,D305+G305),0)</x:f>
        <x:v>0</x:v>
      </x:c>
      <x:c r="L305" s="32" t="n">
        <x:f>J305+K305</x:f>
        <x:v>0</x:v>
      </x:c>
      <x:c r="M305" s="32" t="n">
        <x:f>IF(A305=1,H305,M304+H305)</x:f>
        <x:v>0</x:v>
      </x:c>
      <x:c r="N305" s="32" t="n">
        <x:f>IF(A305=1,I305,N304+I305)</x:f>
        <x:v>0</x:v>
      </x:c>
      <x:c r="O305" s="32" t="n">
        <x:f>IF(A305=1,G305,O304+G305)</x:f>
        <x:v>3671325</x:v>
      </x:c>
      <x:c r="P305" s="37" t="n">
        <x:f>EDATE(Dashboard!$B$10,A305)</x:f>
        <x:v>54271</x:v>
      </x:c>
    </x:row>
    <x:row r="306">
      <x:c r="A306" s="33" t="n">
        <x:v>305</x:v>
      </x:c>
      <x:c r="B306" s="33" t="str">
        <x:f>IF(A306&lt;=Dashboard!$F$8,"Holiday",IF(A306&lt;=Dashboard!$F$8+Dashboard!$F$7,"Repayment","Closed"))</x:f>
        <x:v>Closed</x:v>
      </x:c>
      <x:c r="C306" s="32">
        <x:f>IF(A306=1,Dashboard!$B$6,IF(B306="Holiday",J305,L305))</x:f>
      </x:c>
      <x:c r="D306" s="32">
        <x:f>IF(A306=1,0,IF(B306="Holiday",K305,0))</x:f>
      </x:c>
      <x:c r="E306" s="32">
        <x:f>C306+D306</x:f>
      </x:c>
      <x:c r="F306" s="32">
        <x:f>IF(B306="Holiday",IF(Dashboard!$B$14="Principal Only",MIN(Dashboard!$B$15,C306),0),0)</x:f>
      </x:c>
      <x:c r="G306" s="32" t="n">
        <x:f>IF(B306="Closed",0,IF(B306="Holiday",IF(Dashboard!$B$14="Interest Only",C306*Dashboard!$F$6,MAX(0,(C306-F306)*Dashboard!$F$6)),E306*Dashboard!$F$6))</x:f>
        <x:v>0</x:v>
      </x:c>
      <x:c r="H306" s="32" t="n">
        <x:f>IF(B306="Holiday",IF(Dashboard!$B$14="Interest Only",G306,F306),IF(B306="Closed",0,MIN(Dashboard!$F$10,E306+G306)))</x:f>
        <x:v>0</x:v>
      </x:c>
      <x:c r="I306" s="32" t="n">
        <x:f>IF(B306="Holiday",F306,IF(B306="Closed",0,MAX(0,H306-G306)))</x:f>
        <x:v>0</x:v>
      </x:c>
      <x:c r="J306" s="32" t="n">
        <x:f>IF(B306="Holiday",MAX(0,C306-F306),IF(B306="Closed",0,MAX(0,E306-I306)))</x:f>
        <x:v>0</x:v>
      </x:c>
      <x:c r="K306" s="32" t="n">
        <x:f>IF(B306="Holiday",IF(Dashboard!$B$14="Interest Only",D306,D306+G306),0)</x:f>
        <x:v>0</x:v>
      </x:c>
      <x:c r="L306" s="32" t="n">
        <x:f>J306+K306</x:f>
        <x:v>0</x:v>
      </x:c>
      <x:c r="M306" s="32" t="n">
        <x:f>IF(A306=1,H306,M305+H306)</x:f>
        <x:v>0</x:v>
      </x:c>
      <x:c r="N306" s="32" t="n">
        <x:f>IF(A306=1,I306,N305+I306)</x:f>
        <x:v>0</x:v>
      </x:c>
      <x:c r="O306" s="32" t="n">
        <x:f>IF(A306=1,G306,O305+G306)</x:f>
        <x:v>3671325</x:v>
      </x:c>
      <x:c r="P306" s="37" t="n">
        <x:f>EDATE(Dashboard!$B$10,A306)</x:f>
        <x:v>54302</x:v>
      </x:c>
    </x:row>
    <x:row r="307">
      <x:c r="A307" s="33" t="n">
        <x:v>306</x:v>
      </x:c>
      <x:c r="B307" s="33" t="str">
        <x:f>IF(A307&lt;=Dashboard!$F$8,"Holiday",IF(A307&lt;=Dashboard!$F$8+Dashboard!$F$7,"Repayment","Closed"))</x:f>
        <x:v>Closed</x:v>
      </x:c>
      <x:c r="C307" s="32">
        <x:f>IF(A307=1,Dashboard!$B$6,IF(B307="Holiday",J306,L306))</x:f>
      </x:c>
      <x:c r="D307" s="32">
        <x:f>IF(A307=1,0,IF(B307="Holiday",K306,0))</x:f>
      </x:c>
      <x:c r="E307" s="32">
        <x:f>C307+D307</x:f>
      </x:c>
      <x:c r="F307" s="32">
        <x:f>IF(B307="Holiday",IF(Dashboard!$B$14="Principal Only",MIN(Dashboard!$B$15,C307),0),0)</x:f>
      </x:c>
      <x:c r="G307" s="32" t="n">
        <x:f>IF(B307="Closed",0,IF(B307="Holiday",IF(Dashboard!$B$14="Interest Only",C307*Dashboard!$F$6,MAX(0,(C307-F307)*Dashboard!$F$6)),E307*Dashboard!$F$6))</x:f>
        <x:v>0</x:v>
      </x:c>
      <x:c r="H307" s="32" t="n">
        <x:f>IF(B307="Holiday",IF(Dashboard!$B$14="Interest Only",G307,F307),IF(B307="Closed",0,MIN(Dashboard!$F$10,E307+G307)))</x:f>
        <x:v>0</x:v>
      </x:c>
      <x:c r="I307" s="32" t="n">
        <x:f>IF(B307="Holiday",F307,IF(B307="Closed",0,MAX(0,H307-G307)))</x:f>
        <x:v>0</x:v>
      </x:c>
      <x:c r="J307" s="32" t="n">
        <x:f>IF(B307="Holiday",MAX(0,C307-F307),IF(B307="Closed",0,MAX(0,E307-I307)))</x:f>
        <x:v>0</x:v>
      </x:c>
      <x:c r="K307" s="32" t="n">
        <x:f>IF(B307="Holiday",IF(Dashboard!$B$14="Interest Only",D307,D307+G307),0)</x:f>
        <x:v>0</x:v>
      </x:c>
      <x:c r="L307" s="32" t="n">
        <x:f>J307+K307</x:f>
        <x:v>0</x:v>
      </x:c>
      <x:c r="M307" s="32" t="n">
        <x:f>IF(A307=1,H307,M306+H307)</x:f>
        <x:v>0</x:v>
      </x:c>
      <x:c r="N307" s="32" t="n">
        <x:f>IF(A307=1,I307,N306+I307)</x:f>
        <x:v>0</x:v>
      </x:c>
      <x:c r="O307" s="32" t="n">
        <x:f>IF(A307=1,G307,O306+G307)</x:f>
        <x:v>3671325</x:v>
      </x:c>
      <x:c r="P307" s="37" t="n">
        <x:f>EDATE(Dashboard!$B$10,A307)</x:f>
        <x:v>54332</x:v>
      </x:c>
    </x:row>
    <x:row r="308">
      <x:c r="A308" s="33" t="n">
        <x:v>307</x:v>
      </x:c>
      <x:c r="B308" s="33" t="str">
        <x:f>IF(A308&lt;=Dashboard!$F$8,"Holiday",IF(A308&lt;=Dashboard!$F$8+Dashboard!$F$7,"Repayment","Closed"))</x:f>
        <x:v>Closed</x:v>
      </x:c>
      <x:c r="C308" s="32">
        <x:f>IF(A308=1,Dashboard!$B$6,IF(B308="Holiday",J307,L307))</x:f>
      </x:c>
      <x:c r="D308" s="32">
        <x:f>IF(A308=1,0,IF(B308="Holiday",K307,0))</x:f>
      </x:c>
      <x:c r="E308" s="32">
        <x:f>C308+D308</x:f>
      </x:c>
      <x:c r="F308" s="32">
        <x:f>IF(B308="Holiday",IF(Dashboard!$B$14="Principal Only",MIN(Dashboard!$B$15,C308),0),0)</x:f>
      </x:c>
      <x:c r="G308" s="32" t="n">
        <x:f>IF(B308="Closed",0,IF(B308="Holiday",IF(Dashboard!$B$14="Interest Only",C308*Dashboard!$F$6,MAX(0,(C308-F308)*Dashboard!$F$6)),E308*Dashboard!$F$6))</x:f>
        <x:v>0</x:v>
      </x:c>
      <x:c r="H308" s="32" t="n">
        <x:f>IF(B308="Holiday",IF(Dashboard!$B$14="Interest Only",G308,F308),IF(B308="Closed",0,MIN(Dashboard!$F$10,E308+G308)))</x:f>
        <x:v>0</x:v>
      </x:c>
      <x:c r="I308" s="32" t="n">
        <x:f>IF(B308="Holiday",F308,IF(B308="Closed",0,MAX(0,H308-G308)))</x:f>
        <x:v>0</x:v>
      </x:c>
      <x:c r="J308" s="32" t="n">
        <x:f>IF(B308="Holiday",MAX(0,C308-F308),IF(B308="Closed",0,MAX(0,E308-I308)))</x:f>
        <x:v>0</x:v>
      </x:c>
      <x:c r="K308" s="32" t="n">
        <x:f>IF(B308="Holiday",IF(Dashboard!$B$14="Interest Only",D308,D308+G308),0)</x:f>
        <x:v>0</x:v>
      </x:c>
      <x:c r="L308" s="32" t="n">
        <x:f>J308+K308</x:f>
        <x:v>0</x:v>
      </x:c>
      <x:c r="M308" s="32" t="n">
        <x:f>IF(A308=1,H308,M307+H308)</x:f>
        <x:v>0</x:v>
      </x:c>
      <x:c r="N308" s="32" t="n">
        <x:f>IF(A308=1,I308,N307+I308)</x:f>
        <x:v>0</x:v>
      </x:c>
      <x:c r="O308" s="32" t="n">
        <x:f>IF(A308=1,G308,O307+G308)</x:f>
        <x:v>3671325</x:v>
      </x:c>
      <x:c r="P308" s="37" t="n">
        <x:f>EDATE(Dashboard!$B$10,A308)</x:f>
        <x:v>54363</x:v>
      </x:c>
    </x:row>
    <x:row r="309">
      <x:c r="A309" s="33" t="n">
        <x:v>308</x:v>
      </x:c>
      <x:c r="B309" s="33" t="str">
        <x:f>IF(A309&lt;=Dashboard!$F$8,"Holiday",IF(A309&lt;=Dashboard!$F$8+Dashboard!$F$7,"Repayment","Closed"))</x:f>
        <x:v>Closed</x:v>
      </x:c>
      <x:c r="C309" s="32">
        <x:f>IF(A309=1,Dashboard!$B$6,IF(B309="Holiday",J308,L308))</x:f>
      </x:c>
      <x:c r="D309" s="32">
        <x:f>IF(A309=1,0,IF(B309="Holiday",K308,0))</x:f>
      </x:c>
      <x:c r="E309" s="32">
        <x:f>C309+D309</x:f>
      </x:c>
      <x:c r="F309" s="32">
        <x:f>IF(B309="Holiday",IF(Dashboard!$B$14="Principal Only",MIN(Dashboard!$B$15,C309),0),0)</x:f>
      </x:c>
      <x:c r="G309" s="32" t="n">
        <x:f>IF(B309="Closed",0,IF(B309="Holiday",IF(Dashboard!$B$14="Interest Only",C309*Dashboard!$F$6,MAX(0,(C309-F309)*Dashboard!$F$6)),E309*Dashboard!$F$6))</x:f>
        <x:v>0</x:v>
      </x:c>
      <x:c r="H309" s="32" t="n">
        <x:f>IF(B309="Holiday",IF(Dashboard!$B$14="Interest Only",G309,F309),IF(B309="Closed",0,MIN(Dashboard!$F$10,E309+G309)))</x:f>
        <x:v>0</x:v>
      </x:c>
      <x:c r="I309" s="32" t="n">
        <x:f>IF(B309="Holiday",F309,IF(B309="Closed",0,MAX(0,H309-G309)))</x:f>
        <x:v>0</x:v>
      </x:c>
      <x:c r="J309" s="32" t="n">
        <x:f>IF(B309="Holiday",MAX(0,C309-F309),IF(B309="Closed",0,MAX(0,E309-I309)))</x:f>
        <x:v>0</x:v>
      </x:c>
      <x:c r="K309" s="32" t="n">
        <x:f>IF(B309="Holiday",IF(Dashboard!$B$14="Interest Only",D309,D309+G309),0)</x:f>
        <x:v>0</x:v>
      </x:c>
      <x:c r="L309" s="32" t="n">
        <x:f>J309+K309</x:f>
        <x:v>0</x:v>
      </x:c>
      <x:c r="M309" s="32" t="n">
        <x:f>IF(A309=1,H309,M308+H309)</x:f>
        <x:v>0</x:v>
      </x:c>
      <x:c r="N309" s="32" t="n">
        <x:f>IF(A309=1,I309,N308+I309)</x:f>
        <x:v>0</x:v>
      </x:c>
      <x:c r="O309" s="32" t="n">
        <x:f>IF(A309=1,G309,O308+G309)</x:f>
        <x:v>3671325</x:v>
      </x:c>
      <x:c r="P309" s="37" t="n">
        <x:f>EDATE(Dashboard!$B$10,A309)</x:f>
        <x:v>54393</x:v>
      </x:c>
    </x:row>
    <x:row r="310">
      <x:c r="A310" s="33" t="n">
        <x:v>309</x:v>
      </x:c>
      <x:c r="B310" s="33" t="str">
        <x:f>IF(A310&lt;=Dashboard!$F$8,"Holiday",IF(A310&lt;=Dashboard!$F$8+Dashboard!$F$7,"Repayment","Closed"))</x:f>
        <x:v>Closed</x:v>
      </x:c>
      <x:c r="C310" s="32">
        <x:f>IF(A310=1,Dashboard!$B$6,IF(B310="Holiday",J309,L309))</x:f>
      </x:c>
      <x:c r="D310" s="32">
        <x:f>IF(A310=1,0,IF(B310="Holiday",K309,0))</x:f>
      </x:c>
      <x:c r="E310" s="32">
        <x:f>C310+D310</x:f>
      </x:c>
      <x:c r="F310" s="32">
        <x:f>IF(B310="Holiday",IF(Dashboard!$B$14="Principal Only",MIN(Dashboard!$B$15,C310),0),0)</x:f>
      </x:c>
      <x:c r="G310" s="32" t="n">
        <x:f>IF(B310="Closed",0,IF(B310="Holiday",IF(Dashboard!$B$14="Interest Only",C310*Dashboard!$F$6,MAX(0,(C310-F310)*Dashboard!$F$6)),E310*Dashboard!$F$6))</x:f>
        <x:v>0</x:v>
      </x:c>
      <x:c r="H310" s="32" t="n">
        <x:f>IF(B310="Holiday",IF(Dashboard!$B$14="Interest Only",G310,F310),IF(B310="Closed",0,MIN(Dashboard!$F$10,E310+G310)))</x:f>
        <x:v>0</x:v>
      </x:c>
      <x:c r="I310" s="32" t="n">
        <x:f>IF(B310="Holiday",F310,IF(B310="Closed",0,MAX(0,H310-G310)))</x:f>
        <x:v>0</x:v>
      </x:c>
      <x:c r="J310" s="32" t="n">
        <x:f>IF(B310="Holiday",MAX(0,C310-F310),IF(B310="Closed",0,MAX(0,E310-I310)))</x:f>
        <x:v>0</x:v>
      </x:c>
      <x:c r="K310" s="32" t="n">
        <x:f>IF(B310="Holiday",IF(Dashboard!$B$14="Interest Only",D310,D310+G310),0)</x:f>
        <x:v>0</x:v>
      </x:c>
      <x:c r="L310" s="32" t="n">
        <x:f>J310+K310</x:f>
        <x:v>0</x:v>
      </x:c>
      <x:c r="M310" s="32" t="n">
        <x:f>IF(A310=1,H310,M309+H310)</x:f>
        <x:v>0</x:v>
      </x:c>
      <x:c r="N310" s="32" t="n">
        <x:f>IF(A310=1,I310,N309+I310)</x:f>
        <x:v>0</x:v>
      </x:c>
      <x:c r="O310" s="32" t="n">
        <x:f>IF(A310=1,G310,O309+G310)</x:f>
        <x:v>3671325</x:v>
      </x:c>
      <x:c r="P310" s="37" t="n">
        <x:f>EDATE(Dashboard!$B$10,A310)</x:f>
        <x:v>54424</x:v>
      </x:c>
    </x:row>
    <x:row r="311">
      <x:c r="A311" s="33" t="n">
        <x:v>310</x:v>
      </x:c>
      <x:c r="B311" s="33" t="str">
        <x:f>IF(A311&lt;=Dashboard!$F$8,"Holiday",IF(A311&lt;=Dashboard!$F$8+Dashboard!$F$7,"Repayment","Closed"))</x:f>
        <x:v>Closed</x:v>
      </x:c>
      <x:c r="C311" s="32">
        <x:f>IF(A311=1,Dashboard!$B$6,IF(B311="Holiday",J310,L310))</x:f>
      </x:c>
      <x:c r="D311" s="32">
        <x:f>IF(A311=1,0,IF(B311="Holiday",K310,0))</x:f>
      </x:c>
      <x:c r="E311" s="32">
        <x:f>C311+D311</x:f>
      </x:c>
      <x:c r="F311" s="32">
        <x:f>IF(B311="Holiday",IF(Dashboard!$B$14="Principal Only",MIN(Dashboard!$B$15,C311),0),0)</x:f>
      </x:c>
      <x:c r="G311" s="32" t="n">
        <x:f>IF(B311="Closed",0,IF(B311="Holiday",IF(Dashboard!$B$14="Interest Only",C311*Dashboard!$F$6,MAX(0,(C311-F311)*Dashboard!$F$6)),E311*Dashboard!$F$6))</x:f>
        <x:v>0</x:v>
      </x:c>
      <x:c r="H311" s="32" t="n">
        <x:f>IF(B311="Holiday",IF(Dashboard!$B$14="Interest Only",G311,F311),IF(B311="Closed",0,MIN(Dashboard!$F$10,E311+G311)))</x:f>
        <x:v>0</x:v>
      </x:c>
      <x:c r="I311" s="32" t="n">
        <x:f>IF(B311="Holiday",F311,IF(B311="Closed",0,MAX(0,H311-G311)))</x:f>
        <x:v>0</x:v>
      </x:c>
      <x:c r="J311" s="32" t="n">
        <x:f>IF(B311="Holiday",MAX(0,C311-F311),IF(B311="Closed",0,MAX(0,E311-I311)))</x:f>
        <x:v>0</x:v>
      </x:c>
      <x:c r="K311" s="32" t="n">
        <x:f>IF(B311="Holiday",IF(Dashboard!$B$14="Interest Only",D311,D311+G311),0)</x:f>
        <x:v>0</x:v>
      </x:c>
      <x:c r="L311" s="32" t="n">
        <x:f>J311+K311</x:f>
        <x:v>0</x:v>
      </x:c>
      <x:c r="M311" s="32" t="n">
        <x:f>IF(A311=1,H311,M310+H311)</x:f>
        <x:v>0</x:v>
      </x:c>
      <x:c r="N311" s="32" t="n">
        <x:f>IF(A311=1,I311,N310+I311)</x:f>
        <x:v>0</x:v>
      </x:c>
      <x:c r="O311" s="32" t="n">
        <x:f>IF(A311=1,G311,O310+G311)</x:f>
        <x:v>3671325</x:v>
      </x:c>
      <x:c r="P311" s="37" t="n">
        <x:f>EDATE(Dashboard!$B$10,A311)</x:f>
        <x:v>54455</x:v>
      </x:c>
    </x:row>
    <x:row r="312">
      <x:c r="A312" s="33" t="n">
        <x:v>311</x:v>
      </x:c>
      <x:c r="B312" s="33" t="str">
        <x:f>IF(A312&lt;=Dashboard!$F$8,"Holiday",IF(A312&lt;=Dashboard!$F$8+Dashboard!$F$7,"Repayment","Closed"))</x:f>
        <x:v>Closed</x:v>
      </x:c>
      <x:c r="C312" s="32">
        <x:f>IF(A312=1,Dashboard!$B$6,IF(B312="Holiday",J311,L311))</x:f>
      </x:c>
      <x:c r="D312" s="32">
        <x:f>IF(A312=1,0,IF(B312="Holiday",K311,0))</x:f>
      </x:c>
      <x:c r="E312" s="32">
        <x:f>C312+D312</x:f>
      </x:c>
      <x:c r="F312" s="32">
        <x:f>IF(B312="Holiday",IF(Dashboard!$B$14="Principal Only",MIN(Dashboard!$B$15,C312),0),0)</x:f>
      </x:c>
      <x:c r="G312" s="32" t="n">
        <x:f>IF(B312="Closed",0,IF(B312="Holiday",IF(Dashboard!$B$14="Interest Only",C312*Dashboard!$F$6,MAX(0,(C312-F312)*Dashboard!$F$6)),E312*Dashboard!$F$6))</x:f>
        <x:v>0</x:v>
      </x:c>
      <x:c r="H312" s="32" t="n">
        <x:f>IF(B312="Holiday",IF(Dashboard!$B$14="Interest Only",G312,F312),IF(B312="Closed",0,MIN(Dashboard!$F$10,E312+G312)))</x:f>
        <x:v>0</x:v>
      </x:c>
      <x:c r="I312" s="32" t="n">
        <x:f>IF(B312="Holiday",F312,IF(B312="Closed",0,MAX(0,H312-G312)))</x:f>
        <x:v>0</x:v>
      </x:c>
      <x:c r="J312" s="32" t="n">
        <x:f>IF(B312="Holiday",MAX(0,C312-F312),IF(B312="Closed",0,MAX(0,E312-I312)))</x:f>
        <x:v>0</x:v>
      </x:c>
      <x:c r="K312" s="32" t="n">
        <x:f>IF(B312="Holiday",IF(Dashboard!$B$14="Interest Only",D312,D312+G312),0)</x:f>
        <x:v>0</x:v>
      </x:c>
      <x:c r="L312" s="32" t="n">
        <x:f>J312+K312</x:f>
        <x:v>0</x:v>
      </x:c>
      <x:c r="M312" s="32" t="n">
        <x:f>IF(A312=1,H312,M311+H312)</x:f>
        <x:v>0</x:v>
      </x:c>
      <x:c r="N312" s="32" t="n">
        <x:f>IF(A312=1,I312,N311+I312)</x:f>
        <x:v>0</x:v>
      </x:c>
      <x:c r="O312" s="32" t="n">
        <x:f>IF(A312=1,G312,O311+G312)</x:f>
        <x:v>3671325</x:v>
      </x:c>
      <x:c r="P312" s="37" t="n">
        <x:f>EDATE(Dashboard!$B$10,A312)</x:f>
        <x:v>54483</x:v>
      </x:c>
    </x:row>
    <x:row r="313">
      <x:c r="A313" s="33" t="n">
        <x:v>312</x:v>
      </x:c>
      <x:c r="B313" s="33" t="str">
        <x:f>IF(A313&lt;=Dashboard!$F$8,"Holiday",IF(A313&lt;=Dashboard!$F$8+Dashboard!$F$7,"Repayment","Closed"))</x:f>
        <x:v>Closed</x:v>
      </x:c>
      <x:c r="C313" s="32">
        <x:f>IF(A313=1,Dashboard!$B$6,IF(B313="Holiday",J312,L312))</x:f>
      </x:c>
      <x:c r="D313" s="32">
        <x:f>IF(A313=1,0,IF(B313="Holiday",K312,0))</x:f>
      </x:c>
      <x:c r="E313" s="32">
        <x:f>C313+D313</x:f>
      </x:c>
      <x:c r="F313" s="32">
        <x:f>IF(B313="Holiday",IF(Dashboard!$B$14="Principal Only",MIN(Dashboard!$B$15,C313),0),0)</x:f>
      </x:c>
      <x:c r="G313" s="32" t="n">
        <x:f>IF(B313="Closed",0,IF(B313="Holiday",IF(Dashboard!$B$14="Interest Only",C313*Dashboard!$F$6,MAX(0,(C313-F313)*Dashboard!$F$6)),E313*Dashboard!$F$6))</x:f>
        <x:v>0</x:v>
      </x:c>
      <x:c r="H313" s="32" t="n">
        <x:f>IF(B313="Holiday",IF(Dashboard!$B$14="Interest Only",G313,F313),IF(B313="Closed",0,MIN(Dashboard!$F$10,E313+G313)))</x:f>
        <x:v>0</x:v>
      </x:c>
      <x:c r="I313" s="32" t="n">
        <x:f>IF(B313="Holiday",F313,IF(B313="Closed",0,MAX(0,H313-G313)))</x:f>
        <x:v>0</x:v>
      </x:c>
      <x:c r="J313" s="32" t="n">
        <x:f>IF(B313="Holiday",MAX(0,C313-F313),IF(B313="Closed",0,MAX(0,E313-I313)))</x:f>
        <x:v>0</x:v>
      </x:c>
      <x:c r="K313" s="32" t="n">
        <x:f>IF(B313="Holiday",IF(Dashboard!$B$14="Interest Only",D313,D313+G313),0)</x:f>
        <x:v>0</x:v>
      </x:c>
      <x:c r="L313" s="32" t="n">
        <x:f>J313+K313</x:f>
        <x:v>0</x:v>
      </x:c>
      <x:c r="M313" s="32" t="n">
        <x:f>IF(A313=1,H313,M312+H313)</x:f>
        <x:v>0</x:v>
      </x:c>
      <x:c r="N313" s="32" t="n">
        <x:f>IF(A313=1,I313,N312+I313)</x:f>
        <x:v>0</x:v>
      </x:c>
      <x:c r="O313" s="32" t="n">
        <x:f>IF(A313=1,G313,O312+G313)</x:f>
        <x:v>3671325</x:v>
      </x:c>
      <x:c r="P313" s="37" t="n">
        <x:f>EDATE(Dashboard!$B$10,A313)</x:f>
        <x:v>54514</x:v>
      </x:c>
    </x:row>
    <x:row r="314">
      <x:c r="A314" s="33" t="n">
        <x:v>313</x:v>
      </x:c>
      <x:c r="B314" s="33" t="str">
        <x:f>IF(A314&lt;=Dashboard!$F$8,"Holiday",IF(A314&lt;=Dashboard!$F$8+Dashboard!$F$7,"Repayment","Closed"))</x:f>
        <x:v>Closed</x:v>
      </x:c>
      <x:c r="C314" s="32">
        <x:f>IF(A314=1,Dashboard!$B$6,IF(B314="Holiday",J313,L313))</x:f>
      </x:c>
      <x:c r="D314" s="32">
        <x:f>IF(A314=1,0,IF(B314="Holiday",K313,0))</x:f>
      </x:c>
      <x:c r="E314" s="32">
        <x:f>C314+D314</x:f>
      </x:c>
      <x:c r="F314" s="32">
        <x:f>IF(B314="Holiday",IF(Dashboard!$B$14="Principal Only",MIN(Dashboard!$B$15,C314),0),0)</x:f>
      </x:c>
      <x:c r="G314" s="32" t="n">
        <x:f>IF(B314="Closed",0,IF(B314="Holiday",IF(Dashboard!$B$14="Interest Only",C314*Dashboard!$F$6,MAX(0,(C314-F314)*Dashboard!$F$6)),E314*Dashboard!$F$6))</x:f>
        <x:v>0</x:v>
      </x:c>
      <x:c r="H314" s="32" t="n">
        <x:f>IF(B314="Holiday",IF(Dashboard!$B$14="Interest Only",G314,F314),IF(B314="Closed",0,MIN(Dashboard!$F$10,E314+G314)))</x:f>
        <x:v>0</x:v>
      </x:c>
      <x:c r="I314" s="32" t="n">
        <x:f>IF(B314="Holiday",F314,IF(B314="Closed",0,MAX(0,H314-G314)))</x:f>
        <x:v>0</x:v>
      </x:c>
      <x:c r="J314" s="32" t="n">
        <x:f>IF(B314="Holiday",MAX(0,C314-F314),IF(B314="Closed",0,MAX(0,E314-I314)))</x:f>
        <x:v>0</x:v>
      </x:c>
      <x:c r="K314" s="32" t="n">
        <x:f>IF(B314="Holiday",IF(Dashboard!$B$14="Interest Only",D314,D314+G314),0)</x:f>
        <x:v>0</x:v>
      </x:c>
      <x:c r="L314" s="32" t="n">
        <x:f>J314+K314</x:f>
        <x:v>0</x:v>
      </x:c>
      <x:c r="M314" s="32" t="n">
        <x:f>IF(A314=1,H314,M313+H314)</x:f>
        <x:v>0</x:v>
      </x:c>
      <x:c r="N314" s="32" t="n">
        <x:f>IF(A314=1,I314,N313+I314)</x:f>
        <x:v>0</x:v>
      </x:c>
      <x:c r="O314" s="32" t="n">
        <x:f>IF(A314=1,G314,O313+G314)</x:f>
        <x:v>3671325</x:v>
      </x:c>
      <x:c r="P314" s="37" t="n">
        <x:f>EDATE(Dashboard!$B$10,A314)</x:f>
        <x:v>54544</x:v>
      </x:c>
    </x:row>
    <x:row r="315">
      <x:c r="A315" s="33" t="n">
        <x:v>314</x:v>
      </x:c>
      <x:c r="B315" s="33" t="str">
        <x:f>IF(A315&lt;=Dashboard!$F$8,"Holiday",IF(A315&lt;=Dashboard!$F$8+Dashboard!$F$7,"Repayment","Closed"))</x:f>
        <x:v>Closed</x:v>
      </x:c>
      <x:c r="C315" s="32">
        <x:f>IF(A315=1,Dashboard!$B$6,IF(B315="Holiday",J314,L314))</x:f>
      </x:c>
      <x:c r="D315" s="32">
        <x:f>IF(A315=1,0,IF(B315="Holiday",K314,0))</x:f>
      </x:c>
      <x:c r="E315" s="32">
        <x:f>C315+D315</x:f>
      </x:c>
      <x:c r="F315" s="32">
        <x:f>IF(B315="Holiday",IF(Dashboard!$B$14="Principal Only",MIN(Dashboard!$B$15,C315),0),0)</x:f>
      </x:c>
      <x:c r="G315" s="32" t="n">
        <x:f>IF(B315="Closed",0,IF(B315="Holiday",IF(Dashboard!$B$14="Interest Only",C315*Dashboard!$F$6,MAX(0,(C315-F315)*Dashboard!$F$6)),E315*Dashboard!$F$6))</x:f>
        <x:v>0</x:v>
      </x:c>
      <x:c r="H315" s="32" t="n">
        <x:f>IF(B315="Holiday",IF(Dashboard!$B$14="Interest Only",G315,F315),IF(B315="Closed",0,MIN(Dashboard!$F$10,E315+G315)))</x:f>
        <x:v>0</x:v>
      </x:c>
      <x:c r="I315" s="32" t="n">
        <x:f>IF(B315="Holiday",F315,IF(B315="Closed",0,MAX(0,H315-G315)))</x:f>
        <x:v>0</x:v>
      </x:c>
      <x:c r="J315" s="32" t="n">
        <x:f>IF(B315="Holiday",MAX(0,C315-F315),IF(B315="Closed",0,MAX(0,E315-I315)))</x:f>
        <x:v>0</x:v>
      </x:c>
      <x:c r="K315" s="32" t="n">
        <x:f>IF(B315="Holiday",IF(Dashboard!$B$14="Interest Only",D315,D315+G315),0)</x:f>
        <x:v>0</x:v>
      </x:c>
      <x:c r="L315" s="32" t="n">
        <x:f>J315+K315</x:f>
        <x:v>0</x:v>
      </x:c>
      <x:c r="M315" s="32" t="n">
        <x:f>IF(A315=1,H315,M314+H315)</x:f>
        <x:v>0</x:v>
      </x:c>
      <x:c r="N315" s="32" t="n">
        <x:f>IF(A315=1,I315,N314+I315)</x:f>
        <x:v>0</x:v>
      </x:c>
      <x:c r="O315" s="32" t="n">
        <x:f>IF(A315=1,G315,O314+G315)</x:f>
        <x:v>3671325</x:v>
      </x:c>
      <x:c r="P315" s="37" t="n">
        <x:f>EDATE(Dashboard!$B$10,A315)</x:f>
        <x:v>54575</x:v>
      </x:c>
    </x:row>
    <x:row r="316">
      <x:c r="A316" s="33" t="n">
        <x:v>315</x:v>
      </x:c>
      <x:c r="B316" s="33" t="str">
        <x:f>IF(A316&lt;=Dashboard!$F$8,"Holiday",IF(A316&lt;=Dashboard!$F$8+Dashboard!$F$7,"Repayment","Closed"))</x:f>
        <x:v>Closed</x:v>
      </x:c>
      <x:c r="C316" s="32">
        <x:f>IF(A316=1,Dashboard!$B$6,IF(B316="Holiday",J315,L315))</x:f>
      </x:c>
      <x:c r="D316" s="32">
        <x:f>IF(A316=1,0,IF(B316="Holiday",K315,0))</x:f>
      </x:c>
      <x:c r="E316" s="32">
        <x:f>C316+D316</x:f>
      </x:c>
      <x:c r="F316" s="32">
        <x:f>IF(B316="Holiday",IF(Dashboard!$B$14="Principal Only",MIN(Dashboard!$B$15,C316),0),0)</x:f>
      </x:c>
      <x:c r="G316" s="32" t="n">
        <x:f>IF(B316="Closed",0,IF(B316="Holiday",IF(Dashboard!$B$14="Interest Only",C316*Dashboard!$F$6,MAX(0,(C316-F316)*Dashboard!$F$6)),E316*Dashboard!$F$6))</x:f>
        <x:v>0</x:v>
      </x:c>
      <x:c r="H316" s="32" t="n">
        <x:f>IF(B316="Holiday",IF(Dashboard!$B$14="Interest Only",G316,F316),IF(B316="Closed",0,MIN(Dashboard!$F$10,E316+G316)))</x:f>
        <x:v>0</x:v>
      </x:c>
      <x:c r="I316" s="32" t="n">
        <x:f>IF(B316="Holiday",F316,IF(B316="Closed",0,MAX(0,H316-G316)))</x:f>
        <x:v>0</x:v>
      </x:c>
      <x:c r="J316" s="32" t="n">
        <x:f>IF(B316="Holiday",MAX(0,C316-F316),IF(B316="Closed",0,MAX(0,E316-I316)))</x:f>
        <x:v>0</x:v>
      </x:c>
      <x:c r="K316" s="32" t="n">
        <x:f>IF(B316="Holiday",IF(Dashboard!$B$14="Interest Only",D316,D316+G316),0)</x:f>
        <x:v>0</x:v>
      </x:c>
      <x:c r="L316" s="32" t="n">
        <x:f>J316+K316</x:f>
        <x:v>0</x:v>
      </x:c>
      <x:c r="M316" s="32" t="n">
        <x:f>IF(A316=1,H316,M315+H316)</x:f>
        <x:v>0</x:v>
      </x:c>
      <x:c r="N316" s="32" t="n">
        <x:f>IF(A316=1,I316,N315+I316)</x:f>
        <x:v>0</x:v>
      </x:c>
      <x:c r="O316" s="32" t="n">
        <x:f>IF(A316=1,G316,O315+G316)</x:f>
        <x:v>3671325</x:v>
      </x:c>
      <x:c r="P316" s="37" t="n">
        <x:f>EDATE(Dashboard!$B$10,A316)</x:f>
        <x:v>54605</x:v>
      </x:c>
    </x:row>
    <x:row r="317">
      <x:c r="A317" s="33" t="n">
        <x:v>316</x:v>
      </x:c>
      <x:c r="B317" s="33" t="str">
        <x:f>IF(A317&lt;=Dashboard!$F$8,"Holiday",IF(A317&lt;=Dashboard!$F$8+Dashboard!$F$7,"Repayment","Closed"))</x:f>
        <x:v>Closed</x:v>
      </x:c>
      <x:c r="C317" s="32">
        <x:f>IF(A317=1,Dashboard!$B$6,IF(B317="Holiday",J316,L316))</x:f>
      </x:c>
      <x:c r="D317" s="32">
        <x:f>IF(A317=1,0,IF(B317="Holiday",K316,0))</x:f>
      </x:c>
      <x:c r="E317" s="32">
        <x:f>C317+D317</x:f>
      </x:c>
      <x:c r="F317" s="32">
        <x:f>IF(B317="Holiday",IF(Dashboard!$B$14="Principal Only",MIN(Dashboard!$B$15,C317),0),0)</x:f>
      </x:c>
      <x:c r="G317" s="32" t="n">
        <x:f>IF(B317="Closed",0,IF(B317="Holiday",IF(Dashboard!$B$14="Interest Only",C317*Dashboard!$F$6,MAX(0,(C317-F317)*Dashboard!$F$6)),E317*Dashboard!$F$6))</x:f>
        <x:v>0</x:v>
      </x:c>
      <x:c r="H317" s="32" t="n">
        <x:f>IF(B317="Holiday",IF(Dashboard!$B$14="Interest Only",G317,F317),IF(B317="Closed",0,MIN(Dashboard!$F$10,E317+G317)))</x:f>
        <x:v>0</x:v>
      </x:c>
      <x:c r="I317" s="32" t="n">
        <x:f>IF(B317="Holiday",F317,IF(B317="Closed",0,MAX(0,H317-G317)))</x:f>
        <x:v>0</x:v>
      </x:c>
      <x:c r="J317" s="32" t="n">
        <x:f>IF(B317="Holiday",MAX(0,C317-F317),IF(B317="Closed",0,MAX(0,E317-I317)))</x:f>
        <x:v>0</x:v>
      </x:c>
      <x:c r="K317" s="32" t="n">
        <x:f>IF(B317="Holiday",IF(Dashboard!$B$14="Interest Only",D317,D317+G317),0)</x:f>
        <x:v>0</x:v>
      </x:c>
      <x:c r="L317" s="32" t="n">
        <x:f>J317+K317</x:f>
        <x:v>0</x:v>
      </x:c>
      <x:c r="M317" s="32" t="n">
        <x:f>IF(A317=1,H317,M316+H317)</x:f>
        <x:v>0</x:v>
      </x:c>
      <x:c r="N317" s="32" t="n">
        <x:f>IF(A317=1,I317,N316+I317)</x:f>
        <x:v>0</x:v>
      </x:c>
      <x:c r="O317" s="32" t="n">
        <x:f>IF(A317=1,G317,O316+G317)</x:f>
        <x:v>3671325</x:v>
      </x:c>
      <x:c r="P317" s="37" t="n">
        <x:f>EDATE(Dashboard!$B$10,A317)</x:f>
        <x:v>54636</x:v>
      </x:c>
    </x:row>
    <x:row r="318">
      <x:c r="A318" s="33" t="n">
        <x:v>317</x:v>
      </x:c>
      <x:c r="B318" s="33" t="str">
        <x:f>IF(A318&lt;=Dashboard!$F$8,"Holiday",IF(A318&lt;=Dashboard!$F$8+Dashboard!$F$7,"Repayment","Closed"))</x:f>
        <x:v>Closed</x:v>
      </x:c>
      <x:c r="C318" s="32">
        <x:f>IF(A318=1,Dashboard!$B$6,IF(B318="Holiday",J317,L317))</x:f>
      </x:c>
      <x:c r="D318" s="32">
        <x:f>IF(A318=1,0,IF(B318="Holiday",K317,0))</x:f>
      </x:c>
      <x:c r="E318" s="32">
        <x:f>C318+D318</x:f>
      </x:c>
      <x:c r="F318" s="32">
        <x:f>IF(B318="Holiday",IF(Dashboard!$B$14="Principal Only",MIN(Dashboard!$B$15,C318),0),0)</x:f>
      </x:c>
      <x:c r="G318" s="32" t="n">
        <x:f>IF(B318="Closed",0,IF(B318="Holiday",IF(Dashboard!$B$14="Interest Only",C318*Dashboard!$F$6,MAX(0,(C318-F318)*Dashboard!$F$6)),E318*Dashboard!$F$6))</x:f>
        <x:v>0</x:v>
      </x:c>
      <x:c r="H318" s="32" t="n">
        <x:f>IF(B318="Holiday",IF(Dashboard!$B$14="Interest Only",G318,F318),IF(B318="Closed",0,MIN(Dashboard!$F$10,E318+G318)))</x:f>
        <x:v>0</x:v>
      </x:c>
      <x:c r="I318" s="32" t="n">
        <x:f>IF(B318="Holiday",F318,IF(B318="Closed",0,MAX(0,H318-G318)))</x:f>
        <x:v>0</x:v>
      </x:c>
      <x:c r="J318" s="32" t="n">
        <x:f>IF(B318="Holiday",MAX(0,C318-F318),IF(B318="Closed",0,MAX(0,E318-I318)))</x:f>
        <x:v>0</x:v>
      </x:c>
      <x:c r="K318" s="32" t="n">
        <x:f>IF(B318="Holiday",IF(Dashboard!$B$14="Interest Only",D318,D318+G318),0)</x:f>
        <x:v>0</x:v>
      </x:c>
      <x:c r="L318" s="32" t="n">
        <x:f>J318+K318</x:f>
        <x:v>0</x:v>
      </x:c>
      <x:c r="M318" s="32" t="n">
        <x:f>IF(A318=1,H318,M317+H318)</x:f>
        <x:v>0</x:v>
      </x:c>
      <x:c r="N318" s="32" t="n">
        <x:f>IF(A318=1,I318,N317+I318)</x:f>
        <x:v>0</x:v>
      </x:c>
      <x:c r="O318" s="32" t="n">
        <x:f>IF(A318=1,G318,O317+G318)</x:f>
        <x:v>3671325</x:v>
      </x:c>
      <x:c r="P318" s="37" t="n">
        <x:f>EDATE(Dashboard!$B$10,A318)</x:f>
        <x:v>54667</x:v>
      </x:c>
    </x:row>
    <x:row r="319">
      <x:c r="A319" s="33" t="n">
        <x:v>318</x:v>
      </x:c>
      <x:c r="B319" s="33" t="str">
        <x:f>IF(A319&lt;=Dashboard!$F$8,"Holiday",IF(A319&lt;=Dashboard!$F$8+Dashboard!$F$7,"Repayment","Closed"))</x:f>
        <x:v>Closed</x:v>
      </x:c>
      <x:c r="C319" s="32">
        <x:f>IF(A319=1,Dashboard!$B$6,IF(B319="Holiday",J318,L318))</x:f>
      </x:c>
      <x:c r="D319" s="32">
        <x:f>IF(A319=1,0,IF(B319="Holiday",K318,0))</x:f>
      </x:c>
      <x:c r="E319" s="32">
        <x:f>C319+D319</x:f>
      </x:c>
      <x:c r="F319" s="32">
        <x:f>IF(B319="Holiday",IF(Dashboard!$B$14="Principal Only",MIN(Dashboard!$B$15,C319),0),0)</x:f>
      </x:c>
      <x:c r="G319" s="32" t="n">
        <x:f>IF(B319="Closed",0,IF(B319="Holiday",IF(Dashboard!$B$14="Interest Only",C319*Dashboard!$F$6,MAX(0,(C319-F319)*Dashboard!$F$6)),E319*Dashboard!$F$6))</x:f>
        <x:v>0</x:v>
      </x:c>
      <x:c r="H319" s="32" t="n">
        <x:f>IF(B319="Holiday",IF(Dashboard!$B$14="Interest Only",G319,F319),IF(B319="Closed",0,MIN(Dashboard!$F$10,E319+G319)))</x:f>
        <x:v>0</x:v>
      </x:c>
      <x:c r="I319" s="32" t="n">
        <x:f>IF(B319="Holiday",F319,IF(B319="Closed",0,MAX(0,H319-G319)))</x:f>
        <x:v>0</x:v>
      </x:c>
      <x:c r="J319" s="32" t="n">
        <x:f>IF(B319="Holiday",MAX(0,C319-F319),IF(B319="Closed",0,MAX(0,E319-I319)))</x:f>
        <x:v>0</x:v>
      </x:c>
      <x:c r="K319" s="32" t="n">
        <x:f>IF(B319="Holiday",IF(Dashboard!$B$14="Interest Only",D319,D319+G319),0)</x:f>
        <x:v>0</x:v>
      </x:c>
      <x:c r="L319" s="32" t="n">
        <x:f>J319+K319</x:f>
        <x:v>0</x:v>
      </x:c>
      <x:c r="M319" s="32" t="n">
        <x:f>IF(A319=1,H319,M318+H319)</x:f>
        <x:v>0</x:v>
      </x:c>
      <x:c r="N319" s="32" t="n">
        <x:f>IF(A319=1,I319,N318+I319)</x:f>
        <x:v>0</x:v>
      </x:c>
      <x:c r="O319" s="32" t="n">
        <x:f>IF(A319=1,G319,O318+G319)</x:f>
        <x:v>3671325</x:v>
      </x:c>
      <x:c r="P319" s="37" t="n">
        <x:f>EDATE(Dashboard!$B$10,A319)</x:f>
        <x:v>54697</x:v>
      </x:c>
    </x:row>
    <x:row r="320">
      <x:c r="A320" s="33" t="n">
        <x:v>319</x:v>
      </x:c>
      <x:c r="B320" s="33" t="str">
        <x:f>IF(A320&lt;=Dashboard!$F$8,"Holiday",IF(A320&lt;=Dashboard!$F$8+Dashboard!$F$7,"Repayment","Closed"))</x:f>
        <x:v>Closed</x:v>
      </x:c>
      <x:c r="C320" s="32">
        <x:f>IF(A320=1,Dashboard!$B$6,IF(B320="Holiday",J319,L319))</x:f>
      </x:c>
      <x:c r="D320" s="32">
        <x:f>IF(A320=1,0,IF(B320="Holiday",K319,0))</x:f>
      </x:c>
      <x:c r="E320" s="32">
        <x:f>C320+D320</x:f>
      </x:c>
      <x:c r="F320" s="32">
        <x:f>IF(B320="Holiday",IF(Dashboard!$B$14="Principal Only",MIN(Dashboard!$B$15,C320),0),0)</x:f>
      </x:c>
      <x:c r="G320" s="32" t="n">
        <x:f>IF(B320="Closed",0,IF(B320="Holiday",IF(Dashboard!$B$14="Interest Only",C320*Dashboard!$F$6,MAX(0,(C320-F320)*Dashboard!$F$6)),E320*Dashboard!$F$6))</x:f>
        <x:v>0</x:v>
      </x:c>
      <x:c r="H320" s="32" t="n">
        <x:f>IF(B320="Holiday",IF(Dashboard!$B$14="Interest Only",G320,F320),IF(B320="Closed",0,MIN(Dashboard!$F$10,E320+G320)))</x:f>
        <x:v>0</x:v>
      </x:c>
      <x:c r="I320" s="32" t="n">
        <x:f>IF(B320="Holiday",F320,IF(B320="Closed",0,MAX(0,H320-G320)))</x:f>
        <x:v>0</x:v>
      </x:c>
      <x:c r="J320" s="32" t="n">
        <x:f>IF(B320="Holiday",MAX(0,C320-F320),IF(B320="Closed",0,MAX(0,E320-I320)))</x:f>
        <x:v>0</x:v>
      </x:c>
      <x:c r="K320" s="32" t="n">
        <x:f>IF(B320="Holiday",IF(Dashboard!$B$14="Interest Only",D320,D320+G320),0)</x:f>
        <x:v>0</x:v>
      </x:c>
      <x:c r="L320" s="32" t="n">
        <x:f>J320+K320</x:f>
        <x:v>0</x:v>
      </x:c>
      <x:c r="M320" s="32" t="n">
        <x:f>IF(A320=1,H320,M319+H320)</x:f>
        <x:v>0</x:v>
      </x:c>
      <x:c r="N320" s="32" t="n">
        <x:f>IF(A320=1,I320,N319+I320)</x:f>
        <x:v>0</x:v>
      </x:c>
      <x:c r="O320" s="32" t="n">
        <x:f>IF(A320=1,G320,O319+G320)</x:f>
        <x:v>3671325</x:v>
      </x:c>
      <x:c r="P320" s="37" t="n">
        <x:f>EDATE(Dashboard!$B$10,A320)</x:f>
        <x:v>54728</x:v>
      </x:c>
    </x:row>
    <x:row r="321">
      <x:c r="A321" s="33" t="n">
        <x:v>320</x:v>
      </x:c>
      <x:c r="B321" s="33" t="str">
        <x:f>IF(A321&lt;=Dashboard!$F$8,"Holiday",IF(A321&lt;=Dashboard!$F$8+Dashboard!$F$7,"Repayment","Closed"))</x:f>
        <x:v>Closed</x:v>
      </x:c>
      <x:c r="C321" s="32">
        <x:f>IF(A321=1,Dashboard!$B$6,IF(B321="Holiday",J320,L320))</x:f>
      </x:c>
      <x:c r="D321" s="32">
        <x:f>IF(A321=1,0,IF(B321="Holiday",K320,0))</x:f>
      </x:c>
      <x:c r="E321" s="32">
        <x:f>C321+D321</x:f>
      </x:c>
      <x:c r="F321" s="32">
        <x:f>IF(B321="Holiday",IF(Dashboard!$B$14="Principal Only",MIN(Dashboard!$B$15,C321),0),0)</x:f>
      </x:c>
      <x:c r="G321" s="32" t="n">
        <x:f>IF(B321="Closed",0,IF(B321="Holiday",IF(Dashboard!$B$14="Interest Only",C321*Dashboard!$F$6,MAX(0,(C321-F321)*Dashboard!$F$6)),E321*Dashboard!$F$6))</x:f>
        <x:v>0</x:v>
      </x:c>
      <x:c r="H321" s="32" t="n">
        <x:f>IF(B321="Holiday",IF(Dashboard!$B$14="Interest Only",G321,F321),IF(B321="Closed",0,MIN(Dashboard!$F$10,E321+G321)))</x:f>
        <x:v>0</x:v>
      </x:c>
      <x:c r="I321" s="32" t="n">
        <x:f>IF(B321="Holiday",F321,IF(B321="Closed",0,MAX(0,H321-G321)))</x:f>
        <x:v>0</x:v>
      </x:c>
      <x:c r="J321" s="32" t="n">
        <x:f>IF(B321="Holiday",MAX(0,C321-F321),IF(B321="Closed",0,MAX(0,E321-I321)))</x:f>
        <x:v>0</x:v>
      </x:c>
      <x:c r="K321" s="32" t="n">
        <x:f>IF(B321="Holiday",IF(Dashboard!$B$14="Interest Only",D321,D321+G321),0)</x:f>
        <x:v>0</x:v>
      </x:c>
      <x:c r="L321" s="32" t="n">
        <x:f>J321+K321</x:f>
        <x:v>0</x:v>
      </x:c>
      <x:c r="M321" s="32" t="n">
        <x:f>IF(A321=1,H321,M320+H321)</x:f>
        <x:v>0</x:v>
      </x:c>
      <x:c r="N321" s="32" t="n">
        <x:f>IF(A321=1,I321,N320+I321)</x:f>
        <x:v>0</x:v>
      </x:c>
      <x:c r="O321" s="32" t="n">
        <x:f>IF(A321=1,G321,O320+G321)</x:f>
        <x:v>3671325</x:v>
      </x:c>
      <x:c r="P321" s="37" t="n">
        <x:f>EDATE(Dashboard!$B$10,A321)</x:f>
        <x:v>54758</x:v>
      </x:c>
    </x:row>
    <x:row r="322">
      <x:c r="A322" s="33" t="n">
        <x:v>321</x:v>
      </x:c>
      <x:c r="B322" s="33" t="str">
        <x:f>IF(A322&lt;=Dashboard!$F$8,"Holiday",IF(A322&lt;=Dashboard!$F$8+Dashboard!$F$7,"Repayment","Closed"))</x:f>
        <x:v>Closed</x:v>
      </x:c>
      <x:c r="C322" s="32">
        <x:f>IF(A322=1,Dashboard!$B$6,IF(B322="Holiday",J321,L321))</x:f>
      </x:c>
      <x:c r="D322" s="32">
        <x:f>IF(A322=1,0,IF(B322="Holiday",K321,0))</x:f>
      </x:c>
      <x:c r="E322" s="32">
        <x:f>C322+D322</x:f>
      </x:c>
      <x:c r="F322" s="32">
        <x:f>IF(B322="Holiday",IF(Dashboard!$B$14="Principal Only",MIN(Dashboard!$B$15,C322),0),0)</x:f>
      </x:c>
      <x:c r="G322" s="32" t="n">
        <x:f>IF(B322="Closed",0,IF(B322="Holiday",IF(Dashboard!$B$14="Interest Only",C322*Dashboard!$F$6,MAX(0,(C322-F322)*Dashboard!$F$6)),E322*Dashboard!$F$6))</x:f>
        <x:v>0</x:v>
      </x:c>
      <x:c r="H322" s="32" t="n">
        <x:f>IF(B322="Holiday",IF(Dashboard!$B$14="Interest Only",G322,F322),IF(B322="Closed",0,MIN(Dashboard!$F$10,E322+G322)))</x:f>
        <x:v>0</x:v>
      </x:c>
      <x:c r="I322" s="32" t="n">
        <x:f>IF(B322="Holiday",F322,IF(B322="Closed",0,MAX(0,H322-G322)))</x:f>
        <x:v>0</x:v>
      </x:c>
      <x:c r="J322" s="32" t="n">
        <x:f>IF(B322="Holiday",MAX(0,C322-F322),IF(B322="Closed",0,MAX(0,E322-I322)))</x:f>
        <x:v>0</x:v>
      </x:c>
      <x:c r="K322" s="32" t="n">
        <x:f>IF(B322="Holiday",IF(Dashboard!$B$14="Interest Only",D322,D322+G322),0)</x:f>
        <x:v>0</x:v>
      </x:c>
      <x:c r="L322" s="32" t="n">
        <x:f>J322+K322</x:f>
        <x:v>0</x:v>
      </x:c>
      <x:c r="M322" s="32" t="n">
        <x:f>IF(A322=1,H322,M321+H322)</x:f>
        <x:v>0</x:v>
      </x:c>
      <x:c r="N322" s="32" t="n">
        <x:f>IF(A322=1,I322,N321+I322)</x:f>
        <x:v>0</x:v>
      </x:c>
      <x:c r="O322" s="32" t="n">
        <x:f>IF(A322=1,G322,O321+G322)</x:f>
        <x:v>3671325</x:v>
      </x:c>
      <x:c r="P322" s="37" t="n">
        <x:f>EDATE(Dashboard!$B$10,A322)</x:f>
        <x:v>54789</x:v>
      </x:c>
    </x:row>
    <x:row r="323">
      <x:c r="A323" s="33" t="n">
        <x:v>322</x:v>
      </x:c>
      <x:c r="B323" s="33" t="str">
        <x:f>IF(A323&lt;=Dashboard!$F$8,"Holiday",IF(A323&lt;=Dashboard!$F$8+Dashboard!$F$7,"Repayment","Closed"))</x:f>
        <x:v>Closed</x:v>
      </x:c>
      <x:c r="C323" s="32">
        <x:f>IF(A323=1,Dashboard!$B$6,IF(B323="Holiday",J322,L322))</x:f>
      </x:c>
      <x:c r="D323" s="32">
        <x:f>IF(A323=1,0,IF(B323="Holiday",K322,0))</x:f>
      </x:c>
      <x:c r="E323" s="32">
        <x:f>C323+D323</x:f>
      </x:c>
      <x:c r="F323" s="32">
        <x:f>IF(B323="Holiday",IF(Dashboard!$B$14="Principal Only",MIN(Dashboard!$B$15,C323),0),0)</x:f>
      </x:c>
      <x:c r="G323" s="32" t="n">
        <x:f>IF(B323="Closed",0,IF(B323="Holiday",IF(Dashboard!$B$14="Interest Only",C323*Dashboard!$F$6,MAX(0,(C323-F323)*Dashboard!$F$6)),E323*Dashboard!$F$6))</x:f>
        <x:v>0</x:v>
      </x:c>
      <x:c r="H323" s="32" t="n">
        <x:f>IF(B323="Holiday",IF(Dashboard!$B$14="Interest Only",G323,F323),IF(B323="Closed",0,MIN(Dashboard!$F$10,E323+G323)))</x:f>
        <x:v>0</x:v>
      </x:c>
      <x:c r="I323" s="32" t="n">
        <x:f>IF(B323="Holiday",F323,IF(B323="Closed",0,MAX(0,H323-G323)))</x:f>
        <x:v>0</x:v>
      </x:c>
      <x:c r="J323" s="32" t="n">
        <x:f>IF(B323="Holiday",MAX(0,C323-F323),IF(B323="Closed",0,MAX(0,E323-I323)))</x:f>
        <x:v>0</x:v>
      </x:c>
      <x:c r="K323" s="32" t="n">
        <x:f>IF(B323="Holiday",IF(Dashboard!$B$14="Interest Only",D323,D323+G323),0)</x:f>
        <x:v>0</x:v>
      </x:c>
      <x:c r="L323" s="32" t="n">
        <x:f>J323+K323</x:f>
        <x:v>0</x:v>
      </x:c>
      <x:c r="M323" s="32" t="n">
        <x:f>IF(A323=1,H323,M322+H323)</x:f>
        <x:v>0</x:v>
      </x:c>
      <x:c r="N323" s="32" t="n">
        <x:f>IF(A323=1,I323,N322+I323)</x:f>
        <x:v>0</x:v>
      </x:c>
      <x:c r="O323" s="32" t="n">
        <x:f>IF(A323=1,G323,O322+G323)</x:f>
        <x:v>3671325</x:v>
      </x:c>
      <x:c r="P323" s="37" t="n">
        <x:f>EDATE(Dashboard!$B$10,A323)</x:f>
        <x:v>54820</x:v>
      </x:c>
    </x:row>
    <x:row r="324">
      <x:c r="A324" s="33" t="n">
        <x:v>323</x:v>
      </x:c>
      <x:c r="B324" s="33" t="str">
        <x:f>IF(A324&lt;=Dashboard!$F$8,"Holiday",IF(A324&lt;=Dashboard!$F$8+Dashboard!$F$7,"Repayment","Closed"))</x:f>
        <x:v>Closed</x:v>
      </x:c>
      <x:c r="C324" s="32">
        <x:f>IF(A324=1,Dashboard!$B$6,IF(B324="Holiday",J323,L323))</x:f>
      </x:c>
      <x:c r="D324" s="32">
        <x:f>IF(A324=1,0,IF(B324="Holiday",K323,0))</x:f>
      </x:c>
      <x:c r="E324" s="32">
        <x:f>C324+D324</x:f>
      </x:c>
      <x:c r="F324" s="32">
        <x:f>IF(B324="Holiday",IF(Dashboard!$B$14="Principal Only",MIN(Dashboard!$B$15,C324),0),0)</x:f>
      </x:c>
      <x:c r="G324" s="32" t="n">
        <x:f>IF(B324="Closed",0,IF(B324="Holiday",IF(Dashboard!$B$14="Interest Only",C324*Dashboard!$F$6,MAX(0,(C324-F324)*Dashboard!$F$6)),E324*Dashboard!$F$6))</x:f>
        <x:v>0</x:v>
      </x:c>
      <x:c r="H324" s="32" t="n">
        <x:f>IF(B324="Holiday",IF(Dashboard!$B$14="Interest Only",G324,F324),IF(B324="Closed",0,MIN(Dashboard!$F$10,E324+G324)))</x:f>
        <x:v>0</x:v>
      </x:c>
      <x:c r="I324" s="32" t="n">
        <x:f>IF(B324="Holiday",F324,IF(B324="Closed",0,MAX(0,H324-G324)))</x:f>
        <x:v>0</x:v>
      </x:c>
      <x:c r="J324" s="32" t="n">
        <x:f>IF(B324="Holiday",MAX(0,C324-F324),IF(B324="Closed",0,MAX(0,E324-I324)))</x:f>
        <x:v>0</x:v>
      </x:c>
      <x:c r="K324" s="32" t="n">
        <x:f>IF(B324="Holiday",IF(Dashboard!$B$14="Interest Only",D324,D324+G324),0)</x:f>
        <x:v>0</x:v>
      </x:c>
      <x:c r="L324" s="32" t="n">
        <x:f>J324+K324</x:f>
        <x:v>0</x:v>
      </x:c>
      <x:c r="M324" s="32" t="n">
        <x:f>IF(A324=1,H324,M323+H324)</x:f>
        <x:v>0</x:v>
      </x:c>
      <x:c r="N324" s="32" t="n">
        <x:f>IF(A324=1,I324,N323+I324)</x:f>
        <x:v>0</x:v>
      </x:c>
      <x:c r="O324" s="32" t="n">
        <x:f>IF(A324=1,G324,O323+G324)</x:f>
        <x:v>3671325</x:v>
      </x:c>
      <x:c r="P324" s="37" t="n">
        <x:f>EDATE(Dashboard!$B$10,A324)</x:f>
        <x:v>54848</x:v>
      </x:c>
    </x:row>
    <x:row r="325">
      <x:c r="A325" s="33" t="n">
        <x:v>324</x:v>
      </x:c>
      <x:c r="B325" s="33" t="str">
        <x:f>IF(A325&lt;=Dashboard!$F$8,"Holiday",IF(A325&lt;=Dashboard!$F$8+Dashboard!$F$7,"Repayment","Closed"))</x:f>
        <x:v>Closed</x:v>
      </x:c>
      <x:c r="C325" s="32">
        <x:f>IF(A325=1,Dashboard!$B$6,IF(B325="Holiday",J324,L324))</x:f>
      </x:c>
      <x:c r="D325" s="32">
        <x:f>IF(A325=1,0,IF(B325="Holiday",K324,0))</x:f>
      </x:c>
      <x:c r="E325" s="32">
        <x:f>C325+D325</x:f>
      </x:c>
      <x:c r="F325" s="32">
        <x:f>IF(B325="Holiday",IF(Dashboard!$B$14="Principal Only",MIN(Dashboard!$B$15,C325),0),0)</x:f>
      </x:c>
      <x:c r="G325" s="32" t="n">
        <x:f>IF(B325="Closed",0,IF(B325="Holiday",IF(Dashboard!$B$14="Interest Only",C325*Dashboard!$F$6,MAX(0,(C325-F325)*Dashboard!$F$6)),E325*Dashboard!$F$6))</x:f>
        <x:v>0</x:v>
      </x:c>
      <x:c r="H325" s="32" t="n">
        <x:f>IF(B325="Holiday",IF(Dashboard!$B$14="Interest Only",G325,F325),IF(B325="Closed",0,MIN(Dashboard!$F$10,E325+G325)))</x:f>
        <x:v>0</x:v>
      </x:c>
      <x:c r="I325" s="32" t="n">
        <x:f>IF(B325="Holiday",F325,IF(B325="Closed",0,MAX(0,H325-G325)))</x:f>
        <x:v>0</x:v>
      </x:c>
      <x:c r="J325" s="32" t="n">
        <x:f>IF(B325="Holiday",MAX(0,C325-F325),IF(B325="Closed",0,MAX(0,E325-I325)))</x:f>
        <x:v>0</x:v>
      </x:c>
      <x:c r="K325" s="32" t="n">
        <x:f>IF(B325="Holiday",IF(Dashboard!$B$14="Interest Only",D325,D325+G325),0)</x:f>
        <x:v>0</x:v>
      </x:c>
      <x:c r="L325" s="32" t="n">
        <x:f>J325+K325</x:f>
        <x:v>0</x:v>
      </x:c>
      <x:c r="M325" s="32" t="n">
        <x:f>IF(A325=1,H325,M324+H325)</x:f>
        <x:v>0</x:v>
      </x:c>
      <x:c r="N325" s="32" t="n">
        <x:f>IF(A325=1,I325,N324+I325)</x:f>
        <x:v>0</x:v>
      </x:c>
      <x:c r="O325" s="32" t="n">
        <x:f>IF(A325=1,G325,O324+G325)</x:f>
        <x:v>3671325</x:v>
      </x:c>
      <x:c r="P325" s="37" t="n">
        <x:f>EDATE(Dashboard!$B$10,A325)</x:f>
        <x:v>54879</x:v>
      </x:c>
    </x:row>
    <x:row r="326">
      <x:c r="A326" s="33" t="n">
        <x:v>325</x:v>
      </x:c>
      <x:c r="B326" s="33" t="str">
        <x:f>IF(A326&lt;=Dashboard!$F$8,"Holiday",IF(A326&lt;=Dashboard!$F$8+Dashboard!$F$7,"Repayment","Closed"))</x:f>
        <x:v>Closed</x:v>
      </x:c>
      <x:c r="C326" s="32">
        <x:f>IF(A326=1,Dashboard!$B$6,IF(B326="Holiday",J325,L325))</x:f>
      </x:c>
      <x:c r="D326" s="32">
        <x:f>IF(A326=1,0,IF(B326="Holiday",K325,0))</x:f>
      </x:c>
      <x:c r="E326" s="32">
        <x:f>C326+D326</x:f>
      </x:c>
      <x:c r="F326" s="32">
        <x:f>IF(B326="Holiday",IF(Dashboard!$B$14="Principal Only",MIN(Dashboard!$B$15,C326),0),0)</x:f>
      </x:c>
      <x:c r="G326" s="32" t="n">
        <x:f>IF(B326="Closed",0,IF(B326="Holiday",IF(Dashboard!$B$14="Interest Only",C326*Dashboard!$F$6,MAX(0,(C326-F326)*Dashboard!$F$6)),E326*Dashboard!$F$6))</x:f>
        <x:v>0</x:v>
      </x:c>
      <x:c r="H326" s="32" t="n">
        <x:f>IF(B326="Holiday",IF(Dashboard!$B$14="Interest Only",G326,F326),IF(B326="Closed",0,MIN(Dashboard!$F$10,E326+G326)))</x:f>
        <x:v>0</x:v>
      </x:c>
      <x:c r="I326" s="32" t="n">
        <x:f>IF(B326="Holiday",F326,IF(B326="Closed",0,MAX(0,H326-G326)))</x:f>
        <x:v>0</x:v>
      </x:c>
      <x:c r="J326" s="32" t="n">
        <x:f>IF(B326="Holiday",MAX(0,C326-F326),IF(B326="Closed",0,MAX(0,E326-I326)))</x:f>
        <x:v>0</x:v>
      </x:c>
      <x:c r="K326" s="32" t="n">
        <x:f>IF(B326="Holiday",IF(Dashboard!$B$14="Interest Only",D326,D326+G326),0)</x:f>
        <x:v>0</x:v>
      </x:c>
      <x:c r="L326" s="32" t="n">
        <x:f>J326+K326</x:f>
        <x:v>0</x:v>
      </x:c>
      <x:c r="M326" s="32" t="n">
        <x:f>IF(A326=1,H326,M325+H326)</x:f>
        <x:v>0</x:v>
      </x:c>
      <x:c r="N326" s="32" t="n">
        <x:f>IF(A326=1,I326,N325+I326)</x:f>
        <x:v>0</x:v>
      </x:c>
      <x:c r="O326" s="32" t="n">
        <x:f>IF(A326=1,G326,O325+G326)</x:f>
        <x:v>3671325</x:v>
      </x:c>
      <x:c r="P326" s="37" t="n">
        <x:f>EDATE(Dashboard!$B$10,A326)</x:f>
        <x:v>54909</x:v>
      </x:c>
    </x:row>
    <x:row r="327">
      <x:c r="A327" s="33" t="n">
        <x:v>326</x:v>
      </x:c>
      <x:c r="B327" s="33" t="str">
        <x:f>IF(A327&lt;=Dashboard!$F$8,"Holiday",IF(A327&lt;=Dashboard!$F$8+Dashboard!$F$7,"Repayment","Closed"))</x:f>
        <x:v>Closed</x:v>
      </x:c>
      <x:c r="C327" s="32">
        <x:f>IF(A327=1,Dashboard!$B$6,IF(B327="Holiday",J326,L326))</x:f>
      </x:c>
      <x:c r="D327" s="32">
        <x:f>IF(A327=1,0,IF(B327="Holiday",K326,0))</x:f>
      </x:c>
      <x:c r="E327" s="32">
        <x:f>C327+D327</x:f>
      </x:c>
      <x:c r="F327" s="32">
        <x:f>IF(B327="Holiday",IF(Dashboard!$B$14="Principal Only",MIN(Dashboard!$B$15,C327),0),0)</x:f>
      </x:c>
      <x:c r="G327" s="32" t="n">
        <x:f>IF(B327="Closed",0,IF(B327="Holiday",IF(Dashboard!$B$14="Interest Only",C327*Dashboard!$F$6,MAX(0,(C327-F327)*Dashboard!$F$6)),E327*Dashboard!$F$6))</x:f>
        <x:v>0</x:v>
      </x:c>
      <x:c r="H327" s="32" t="n">
        <x:f>IF(B327="Holiday",IF(Dashboard!$B$14="Interest Only",G327,F327),IF(B327="Closed",0,MIN(Dashboard!$F$10,E327+G327)))</x:f>
        <x:v>0</x:v>
      </x:c>
      <x:c r="I327" s="32" t="n">
        <x:f>IF(B327="Holiday",F327,IF(B327="Closed",0,MAX(0,H327-G327)))</x:f>
        <x:v>0</x:v>
      </x:c>
      <x:c r="J327" s="32" t="n">
        <x:f>IF(B327="Holiday",MAX(0,C327-F327),IF(B327="Closed",0,MAX(0,E327-I327)))</x:f>
        <x:v>0</x:v>
      </x:c>
      <x:c r="K327" s="32" t="n">
        <x:f>IF(B327="Holiday",IF(Dashboard!$B$14="Interest Only",D327,D327+G327),0)</x:f>
        <x:v>0</x:v>
      </x:c>
      <x:c r="L327" s="32" t="n">
        <x:f>J327+K327</x:f>
        <x:v>0</x:v>
      </x:c>
      <x:c r="M327" s="32" t="n">
        <x:f>IF(A327=1,H327,M326+H327)</x:f>
        <x:v>0</x:v>
      </x:c>
      <x:c r="N327" s="32" t="n">
        <x:f>IF(A327=1,I327,N326+I327)</x:f>
        <x:v>0</x:v>
      </x:c>
      <x:c r="O327" s="32" t="n">
        <x:f>IF(A327=1,G327,O326+G327)</x:f>
        <x:v>3671325</x:v>
      </x:c>
      <x:c r="P327" s="37" t="n">
        <x:f>EDATE(Dashboard!$B$10,A327)</x:f>
        <x:v>54940</x:v>
      </x:c>
    </x:row>
    <x:row r="328">
      <x:c r="A328" s="33" t="n">
        <x:v>327</x:v>
      </x:c>
      <x:c r="B328" s="33" t="str">
        <x:f>IF(A328&lt;=Dashboard!$F$8,"Holiday",IF(A328&lt;=Dashboard!$F$8+Dashboard!$F$7,"Repayment","Closed"))</x:f>
        <x:v>Closed</x:v>
      </x:c>
      <x:c r="C328" s="32">
        <x:f>IF(A328=1,Dashboard!$B$6,IF(B328="Holiday",J327,L327))</x:f>
      </x:c>
      <x:c r="D328" s="32">
        <x:f>IF(A328=1,0,IF(B328="Holiday",K327,0))</x:f>
      </x:c>
      <x:c r="E328" s="32">
        <x:f>C328+D328</x:f>
      </x:c>
      <x:c r="F328" s="32">
        <x:f>IF(B328="Holiday",IF(Dashboard!$B$14="Principal Only",MIN(Dashboard!$B$15,C328),0),0)</x:f>
      </x:c>
      <x:c r="G328" s="32" t="n">
        <x:f>IF(B328="Closed",0,IF(B328="Holiday",IF(Dashboard!$B$14="Interest Only",C328*Dashboard!$F$6,MAX(0,(C328-F328)*Dashboard!$F$6)),E328*Dashboard!$F$6))</x:f>
        <x:v>0</x:v>
      </x:c>
      <x:c r="H328" s="32" t="n">
        <x:f>IF(B328="Holiday",IF(Dashboard!$B$14="Interest Only",G328,F328),IF(B328="Closed",0,MIN(Dashboard!$F$10,E328+G328)))</x:f>
        <x:v>0</x:v>
      </x:c>
      <x:c r="I328" s="32" t="n">
        <x:f>IF(B328="Holiday",F328,IF(B328="Closed",0,MAX(0,H328-G328)))</x:f>
        <x:v>0</x:v>
      </x:c>
      <x:c r="J328" s="32" t="n">
        <x:f>IF(B328="Holiday",MAX(0,C328-F328),IF(B328="Closed",0,MAX(0,E328-I328)))</x:f>
        <x:v>0</x:v>
      </x:c>
      <x:c r="K328" s="32" t="n">
        <x:f>IF(B328="Holiday",IF(Dashboard!$B$14="Interest Only",D328,D328+G328),0)</x:f>
        <x:v>0</x:v>
      </x:c>
      <x:c r="L328" s="32" t="n">
        <x:f>J328+K328</x:f>
        <x:v>0</x:v>
      </x:c>
      <x:c r="M328" s="32" t="n">
        <x:f>IF(A328=1,H328,M327+H328)</x:f>
        <x:v>0</x:v>
      </x:c>
      <x:c r="N328" s="32" t="n">
        <x:f>IF(A328=1,I328,N327+I328)</x:f>
        <x:v>0</x:v>
      </x:c>
      <x:c r="O328" s="32" t="n">
        <x:f>IF(A328=1,G328,O327+G328)</x:f>
        <x:v>3671325</x:v>
      </x:c>
      <x:c r="P328" s="37" t="n">
        <x:f>EDATE(Dashboard!$B$10,A328)</x:f>
        <x:v>54970</x:v>
      </x:c>
    </x:row>
    <x:row r="329">
      <x:c r="A329" s="33" t="n">
        <x:v>328</x:v>
      </x:c>
      <x:c r="B329" s="33" t="str">
        <x:f>IF(A329&lt;=Dashboard!$F$8,"Holiday",IF(A329&lt;=Dashboard!$F$8+Dashboard!$F$7,"Repayment","Closed"))</x:f>
        <x:v>Closed</x:v>
      </x:c>
      <x:c r="C329" s="32">
        <x:f>IF(A329=1,Dashboard!$B$6,IF(B329="Holiday",J328,L328))</x:f>
      </x:c>
      <x:c r="D329" s="32">
        <x:f>IF(A329=1,0,IF(B329="Holiday",K328,0))</x:f>
      </x:c>
      <x:c r="E329" s="32">
        <x:f>C329+D329</x:f>
      </x:c>
      <x:c r="F329" s="32">
        <x:f>IF(B329="Holiday",IF(Dashboard!$B$14="Principal Only",MIN(Dashboard!$B$15,C329),0),0)</x:f>
      </x:c>
      <x:c r="G329" s="32" t="n">
        <x:f>IF(B329="Closed",0,IF(B329="Holiday",IF(Dashboard!$B$14="Interest Only",C329*Dashboard!$F$6,MAX(0,(C329-F329)*Dashboard!$F$6)),E329*Dashboard!$F$6))</x:f>
        <x:v>0</x:v>
      </x:c>
      <x:c r="H329" s="32" t="n">
        <x:f>IF(B329="Holiday",IF(Dashboard!$B$14="Interest Only",G329,F329),IF(B329="Closed",0,MIN(Dashboard!$F$10,E329+G329)))</x:f>
        <x:v>0</x:v>
      </x:c>
      <x:c r="I329" s="32" t="n">
        <x:f>IF(B329="Holiday",F329,IF(B329="Closed",0,MAX(0,H329-G329)))</x:f>
        <x:v>0</x:v>
      </x:c>
      <x:c r="J329" s="32" t="n">
        <x:f>IF(B329="Holiday",MAX(0,C329-F329),IF(B329="Closed",0,MAX(0,E329-I329)))</x:f>
        <x:v>0</x:v>
      </x:c>
      <x:c r="K329" s="32" t="n">
        <x:f>IF(B329="Holiday",IF(Dashboard!$B$14="Interest Only",D329,D329+G329),0)</x:f>
        <x:v>0</x:v>
      </x:c>
      <x:c r="L329" s="32" t="n">
        <x:f>J329+K329</x:f>
        <x:v>0</x:v>
      </x:c>
      <x:c r="M329" s="32" t="n">
        <x:f>IF(A329=1,H329,M328+H329)</x:f>
        <x:v>0</x:v>
      </x:c>
      <x:c r="N329" s="32" t="n">
        <x:f>IF(A329=1,I329,N328+I329)</x:f>
        <x:v>0</x:v>
      </x:c>
      <x:c r="O329" s="32" t="n">
        <x:f>IF(A329=1,G329,O328+G329)</x:f>
        <x:v>3671325</x:v>
      </x:c>
      <x:c r="P329" s="37" t="n">
        <x:f>EDATE(Dashboard!$B$10,A329)</x:f>
        <x:v>55001</x:v>
      </x:c>
    </x:row>
    <x:row r="330">
      <x:c r="A330" s="33" t="n">
        <x:v>329</x:v>
      </x:c>
      <x:c r="B330" s="33" t="str">
        <x:f>IF(A330&lt;=Dashboard!$F$8,"Holiday",IF(A330&lt;=Dashboard!$F$8+Dashboard!$F$7,"Repayment","Closed"))</x:f>
        <x:v>Closed</x:v>
      </x:c>
      <x:c r="C330" s="32">
        <x:f>IF(A330=1,Dashboard!$B$6,IF(B330="Holiday",J329,L329))</x:f>
      </x:c>
      <x:c r="D330" s="32">
        <x:f>IF(A330=1,0,IF(B330="Holiday",K329,0))</x:f>
      </x:c>
      <x:c r="E330" s="32">
        <x:f>C330+D330</x:f>
      </x:c>
      <x:c r="F330" s="32">
        <x:f>IF(B330="Holiday",IF(Dashboard!$B$14="Principal Only",MIN(Dashboard!$B$15,C330),0),0)</x:f>
      </x:c>
      <x:c r="G330" s="32" t="n">
        <x:f>IF(B330="Closed",0,IF(B330="Holiday",IF(Dashboard!$B$14="Interest Only",C330*Dashboard!$F$6,MAX(0,(C330-F330)*Dashboard!$F$6)),E330*Dashboard!$F$6))</x:f>
        <x:v>0</x:v>
      </x:c>
      <x:c r="H330" s="32" t="n">
        <x:f>IF(B330="Holiday",IF(Dashboard!$B$14="Interest Only",G330,F330),IF(B330="Closed",0,MIN(Dashboard!$F$10,E330+G330)))</x:f>
        <x:v>0</x:v>
      </x:c>
      <x:c r="I330" s="32" t="n">
        <x:f>IF(B330="Holiday",F330,IF(B330="Closed",0,MAX(0,H330-G330)))</x:f>
        <x:v>0</x:v>
      </x:c>
      <x:c r="J330" s="32" t="n">
        <x:f>IF(B330="Holiday",MAX(0,C330-F330),IF(B330="Closed",0,MAX(0,E330-I330)))</x:f>
        <x:v>0</x:v>
      </x:c>
      <x:c r="K330" s="32" t="n">
        <x:f>IF(B330="Holiday",IF(Dashboard!$B$14="Interest Only",D330,D330+G330),0)</x:f>
        <x:v>0</x:v>
      </x:c>
      <x:c r="L330" s="32" t="n">
        <x:f>J330+K330</x:f>
        <x:v>0</x:v>
      </x:c>
      <x:c r="M330" s="32" t="n">
        <x:f>IF(A330=1,H330,M329+H330)</x:f>
        <x:v>0</x:v>
      </x:c>
      <x:c r="N330" s="32" t="n">
        <x:f>IF(A330=1,I330,N329+I330)</x:f>
        <x:v>0</x:v>
      </x:c>
      <x:c r="O330" s="32" t="n">
        <x:f>IF(A330=1,G330,O329+G330)</x:f>
        <x:v>3671325</x:v>
      </x:c>
      <x:c r="P330" s="37" t="n">
        <x:f>EDATE(Dashboard!$B$10,A330)</x:f>
        <x:v>55032</x:v>
      </x:c>
    </x:row>
    <x:row r="331">
      <x:c r="A331" s="33" t="n">
        <x:v>330</x:v>
      </x:c>
      <x:c r="B331" s="33" t="str">
        <x:f>IF(A331&lt;=Dashboard!$F$8,"Holiday",IF(A331&lt;=Dashboard!$F$8+Dashboard!$F$7,"Repayment","Closed"))</x:f>
        <x:v>Closed</x:v>
      </x:c>
      <x:c r="C331" s="32">
        <x:f>IF(A331=1,Dashboard!$B$6,IF(B331="Holiday",J330,L330))</x:f>
      </x:c>
      <x:c r="D331" s="32">
        <x:f>IF(A331=1,0,IF(B331="Holiday",K330,0))</x:f>
      </x:c>
      <x:c r="E331" s="32">
        <x:f>C331+D331</x:f>
      </x:c>
      <x:c r="F331" s="32">
        <x:f>IF(B331="Holiday",IF(Dashboard!$B$14="Principal Only",MIN(Dashboard!$B$15,C331),0),0)</x:f>
      </x:c>
      <x:c r="G331" s="32" t="n">
        <x:f>IF(B331="Closed",0,IF(B331="Holiday",IF(Dashboard!$B$14="Interest Only",C331*Dashboard!$F$6,MAX(0,(C331-F331)*Dashboard!$F$6)),E331*Dashboard!$F$6))</x:f>
        <x:v>0</x:v>
      </x:c>
      <x:c r="H331" s="32" t="n">
        <x:f>IF(B331="Holiday",IF(Dashboard!$B$14="Interest Only",G331,F331),IF(B331="Closed",0,MIN(Dashboard!$F$10,E331+G331)))</x:f>
        <x:v>0</x:v>
      </x:c>
      <x:c r="I331" s="32" t="n">
        <x:f>IF(B331="Holiday",F331,IF(B331="Closed",0,MAX(0,H331-G331)))</x:f>
        <x:v>0</x:v>
      </x:c>
      <x:c r="J331" s="32" t="n">
        <x:f>IF(B331="Holiday",MAX(0,C331-F331),IF(B331="Closed",0,MAX(0,E331-I331)))</x:f>
        <x:v>0</x:v>
      </x:c>
      <x:c r="K331" s="32" t="n">
        <x:f>IF(B331="Holiday",IF(Dashboard!$B$14="Interest Only",D331,D331+G331),0)</x:f>
        <x:v>0</x:v>
      </x:c>
      <x:c r="L331" s="32" t="n">
        <x:f>J331+K331</x:f>
        <x:v>0</x:v>
      </x:c>
      <x:c r="M331" s="32" t="n">
        <x:f>IF(A331=1,H331,M330+H331)</x:f>
        <x:v>0</x:v>
      </x:c>
      <x:c r="N331" s="32" t="n">
        <x:f>IF(A331=1,I331,N330+I331)</x:f>
        <x:v>0</x:v>
      </x:c>
      <x:c r="O331" s="32" t="n">
        <x:f>IF(A331=1,G331,O330+G331)</x:f>
        <x:v>3671325</x:v>
      </x:c>
      <x:c r="P331" s="37" t="n">
        <x:f>EDATE(Dashboard!$B$10,A331)</x:f>
        <x:v>55062</x:v>
      </x:c>
    </x:row>
    <x:row r="332">
      <x:c r="A332" s="33" t="n">
        <x:v>331</x:v>
      </x:c>
      <x:c r="B332" s="33" t="str">
        <x:f>IF(A332&lt;=Dashboard!$F$8,"Holiday",IF(A332&lt;=Dashboard!$F$8+Dashboard!$F$7,"Repayment","Closed"))</x:f>
        <x:v>Closed</x:v>
      </x:c>
      <x:c r="C332" s="32">
        <x:f>IF(A332=1,Dashboard!$B$6,IF(B332="Holiday",J331,L331))</x:f>
      </x:c>
      <x:c r="D332" s="32">
        <x:f>IF(A332=1,0,IF(B332="Holiday",K331,0))</x:f>
      </x:c>
      <x:c r="E332" s="32">
        <x:f>C332+D332</x:f>
      </x:c>
      <x:c r="F332" s="32">
        <x:f>IF(B332="Holiday",IF(Dashboard!$B$14="Principal Only",MIN(Dashboard!$B$15,C332),0),0)</x:f>
      </x:c>
      <x:c r="G332" s="32" t="n">
        <x:f>IF(B332="Closed",0,IF(B332="Holiday",IF(Dashboard!$B$14="Interest Only",C332*Dashboard!$F$6,MAX(0,(C332-F332)*Dashboard!$F$6)),E332*Dashboard!$F$6))</x:f>
        <x:v>0</x:v>
      </x:c>
      <x:c r="H332" s="32" t="n">
        <x:f>IF(B332="Holiday",IF(Dashboard!$B$14="Interest Only",G332,F332),IF(B332="Closed",0,MIN(Dashboard!$F$10,E332+G332)))</x:f>
        <x:v>0</x:v>
      </x:c>
      <x:c r="I332" s="32" t="n">
        <x:f>IF(B332="Holiday",F332,IF(B332="Closed",0,MAX(0,H332-G332)))</x:f>
        <x:v>0</x:v>
      </x:c>
      <x:c r="J332" s="32" t="n">
        <x:f>IF(B332="Holiday",MAX(0,C332-F332),IF(B332="Closed",0,MAX(0,E332-I332)))</x:f>
        <x:v>0</x:v>
      </x:c>
      <x:c r="K332" s="32" t="n">
        <x:f>IF(B332="Holiday",IF(Dashboard!$B$14="Interest Only",D332,D332+G332),0)</x:f>
        <x:v>0</x:v>
      </x:c>
      <x:c r="L332" s="32" t="n">
        <x:f>J332+K332</x:f>
        <x:v>0</x:v>
      </x:c>
      <x:c r="M332" s="32" t="n">
        <x:f>IF(A332=1,H332,M331+H332)</x:f>
        <x:v>0</x:v>
      </x:c>
      <x:c r="N332" s="32" t="n">
        <x:f>IF(A332=1,I332,N331+I332)</x:f>
        <x:v>0</x:v>
      </x:c>
      <x:c r="O332" s="32" t="n">
        <x:f>IF(A332=1,G332,O331+G332)</x:f>
        <x:v>3671325</x:v>
      </x:c>
      <x:c r="P332" s="37" t="n">
        <x:f>EDATE(Dashboard!$B$10,A332)</x:f>
        <x:v>55093</x:v>
      </x:c>
    </x:row>
    <x:row r="333">
      <x:c r="A333" s="33" t="n">
        <x:v>332</x:v>
      </x:c>
      <x:c r="B333" s="33" t="str">
        <x:f>IF(A333&lt;=Dashboard!$F$8,"Holiday",IF(A333&lt;=Dashboard!$F$8+Dashboard!$F$7,"Repayment","Closed"))</x:f>
        <x:v>Closed</x:v>
      </x:c>
      <x:c r="C333" s="32">
        <x:f>IF(A333=1,Dashboard!$B$6,IF(B333="Holiday",J332,L332))</x:f>
      </x:c>
      <x:c r="D333" s="32">
        <x:f>IF(A333=1,0,IF(B333="Holiday",K332,0))</x:f>
      </x:c>
      <x:c r="E333" s="32">
        <x:f>C333+D333</x:f>
      </x:c>
      <x:c r="F333" s="32">
        <x:f>IF(B333="Holiday",IF(Dashboard!$B$14="Principal Only",MIN(Dashboard!$B$15,C333),0),0)</x:f>
      </x:c>
      <x:c r="G333" s="32" t="n">
        <x:f>IF(B333="Closed",0,IF(B333="Holiday",IF(Dashboard!$B$14="Interest Only",C333*Dashboard!$F$6,MAX(0,(C333-F333)*Dashboard!$F$6)),E333*Dashboard!$F$6))</x:f>
        <x:v>0</x:v>
      </x:c>
      <x:c r="H333" s="32" t="n">
        <x:f>IF(B333="Holiday",IF(Dashboard!$B$14="Interest Only",G333,F333),IF(B333="Closed",0,MIN(Dashboard!$F$10,E333+G333)))</x:f>
        <x:v>0</x:v>
      </x:c>
      <x:c r="I333" s="32" t="n">
        <x:f>IF(B333="Holiday",F333,IF(B333="Closed",0,MAX(0,H333-G333)))</x:f>
        <x:v>0</x:v>
      </x:c>
      <x:c r="J333" s="32" t="n">
        <x:f>IF(B333="Holiday",MAX(0,C333-F333),IF(B333="Closed",0,MAX(0,E333-I333)))</x:f>
        <x:v>0</x:v>
      </x:c>
      <x:c r="K333" s="32" t="n">
        <x:f>IF(B333="Holiday",IF(Dashboard!$B$14="Interest Only",D333,D333+G333),0)</x:f>
        <x:v>0</x:v>
      </x:c>
      <x:c r="L333" s="32" t="n">
        <x:f>J333+K333</x:f>
        <x:v>0</x:v>
      </x:c>
      <x:c r="M333" s="32" t="n">
        <x:f>IF(A333=1,H333,M332+H333)</x:f>
        <x:v>0</x:v>
      </x:c>
      <x:c r="N333" s="32" t="n">
        <x:f>IF(A333=1,I333,N332+I333)</x:f>
        <x:v>0</x:v>
      </x:c>
      <x:c r="O333" s="32" t="n">
        <x:f>IF(A333=1,G333,O332+G333)</x:f>
        <x:v>3671325</x:v>
      </x:c>
      <x:c r="P333" s="37" t="n">
        <x:f>EDATE(Dashboard!$B$10,A333)</x:f>
        <x:v>55123</x:v>
      </x:c>
    </x:row>
    <x:row r="334">
      <x:c r="A334" s="33" t="n">
        <x:v>333</x:v>
      </x:c>
      <x:c r="B334" s="33" t="str">
        <x:f>IF(A334&lt;=Dashboard!$F$8,"Holiday",IF(A334&lt;=Dashboard!$F$8+Dashboard!$F$7,"Repayment","Closed"))</x:f>
        <x:v>Closed</x:v>
      </x:c>
      <x:c r="C334" s="32">
        <x:f>IF(A334=1,Dashboard!$B$6,IF(B334="Holiday",J333,L333))</x:f>
      </x:c>
      <x:c r="D334" s="32">
        <x:f>IF(A334=1,0,IF(B334="Holiday",K333,0))</x:f>
      </x:c>
      <x:c r="E334" s="32">
        <x:f>C334+D334</x:f>
      </x:c>
      <x:c r="F334" s="32">
        <x:f>IF(B334="Holiday",IF(Dashboard!$B$14="Principal Only",MIN(Dashboard!$B$15,C334),0),0)</x:f>
      </x:c>
      <x:c r="G334" s="32" t="n">
        <x:f>IF(B334="Closed",0,IF(B334="Holiday",IF(Dashboard!$B$14="Interest Only",C334*Dashboard!$F$6,MAX(0,(C334-F334)*Dashboard!$F$6)),E334*Dashboard!$F$6))</x:f>
        <x:v>0</x:v>
      </x:c>
      <x:c r="H334" s="32" t="n">
        <x:f>IF(B334="Holiday",IF(Dashboard!$B$14="Interest Only",G334,F334),IF(B334="Closed",0,MIN(Dashboard!$F$10,E334+G334)))</x:f>
        <x:v>0</x:v>
      </x:c>
      <x:c r="I334" s="32" t="n">
        <x:f>IF(B334="Holiday",F334,IF(B334="Closed",0,MAX(0,H334-G334)))</x:f>
        <x:v>0</x:v>
      </x:c>
      <x:c r="J334" s="32" t="n">
        <x:f>IF(B334="Holiday",MAX(0,C334-F334),IF(B334="Closed",0,MAX(0,E334-I334)))</x:f>
        <x:v>0</x:v>
      </x:c>
      <x:c r="K334" s="32" t="n">
        <x:f>IF(B334="Holiday",IF(Dashboard!$B$14="Interest Only",D334,D334+G334),0)</x:f>
        <x:v>0</x:v>
      </x:c>
      <x:c r="L334" s="32" t="n">
        <x:f>J334+K334</x:f>
        <x:v>0</x:v>
      </x:c>
      <x:c r="M334" s="32" t="n">
        <x:f>IF(A334=1,H334,M333+H334)</x:f>
        <x:v>0</x:v>
      </x:c>
      <x:c r="N334" s="32" t="n">
        <x:f>IF(A334=1,I334,N333+I334)</x:f>
        <x:v>0</x:v>
      </x:c>
      <x:c r="O334" s="32" t="n">
        <x:f>IF(A334=1,G334,O333+G334)</x:f>
        <x:v>3671325</x:v>
      </x:c>
      <x:c r="P334" s="37" t="n">
        <x:f>EDATE(Dashboard!$B$10,A334)</x:f>
        <x:v>55154</x:v>
      </x:c>
    </x:row>
    <x:row r="335">
      <x:c r="A335" s="33" t="n">
        <x:v>334</x:v>
      </x:c>
      <x:c r="B335" s="33" t="str">
        <x:f>IF(A335&lt;=Dashboard!$F$8,"Holiday",IF(A335&lt;=Dashboard!$F$8+Dashboard!$F$7,"Repayment","Closed"))</x:f>
        <x:v>Closed</x:v>
      </x:c>
      <x:c r="C335" s="32">
        <x:f>IF(A335=1,Dashboard!$B$6,IF(B335="Holiday",J334,L334))</x:f>
      </x:c>
      <x:c r="D335" s="32">
        <x:f>IF(A335=1,0,IF(B335="Holiday",K334,0))</x:f>
      </x:c>
      <x:c r="E335" s="32">
        <x:f>C335+D335</x:f>
      </x:c>
      <x:c r="F335" s="32">
        <x:f>IF(B335="Holiday",IF(Dashboard!$B$14="Principal Only",MIN(Dashboard!$B$15,C335),0),0)</x:f>
      </x:c>
      <x:c r="G335" s="32" t="n">
        <x:f>IF(B335="Closed",0,IF(B335="Holiday",IF(Dashboard!$B$14="Interest Only",C335*Dashboard!$F$6,MAX(0,(C335-F335)*Dashboard!$F$6)),E335*Dashboard!$F$6))</x:f>
        <x:v>0</x:v>
      </x:c>
      <x:c r="H335" s="32" t="n">
        <x:f>IF(B335="Holiday",IF(Dashboard!$B$14="Interest Only",G335,F335),IF(B335="Closed",0,MIN(Dashboard!$F$10,E335+G335)))</x:f>
        <x:v>0</x:v>
      </x:c>
      <x:c r="I335" s="32" t="n">
        <x:f>IF(B335="Holiday",F335,IF(B335="Closed",0,MAX(0,H335-G335)))</x:f>
        <x:v>0</x:v>
      </x:c>
      <x:c r="J335" s="32" t="n">
        <x:f>IF(B335="Holiday",MAX(0,C335-F335),IF(B335="Closed",0,MAX(0,E335-I335)))</x:f>
        <x:v>0</x:v>
      </x:c>
      <x:c r="K335" s="32" t="n">
        <x:f>IF(B335="Holiday",IF(Dashboard!$B$14="Interest Only",D335,D335+G335),0)</x:f>
        <x:v>0</x:v>
      </x:c>
      <x:c r="L335" s="32" t="n">
        <x:f>J335+K335</x:f>
        <x:v>0</x:v>
      </x:c>
      <x:c r="M335" s="32" t="n">
        <x:f>IF(A335=1,H335,M334+H335)</x:f>
        <x:v>0</x:v>
      </x:c>
      <x:c r="N335" s="32" t="n">
        <x:f>IF(A335=1,I335,N334+I335)</x:f>
        <x:v>0</x:v>
      </x:c>
      <x:c r="O335" s="32" t="n">
        <x:f>IF(A335=1,G335,O334+G335)</x:f>
        <x:v>3671325</x:v>
      </x:c>
      <x:c r="P335" s="37" t="n">
        <x:f>EDATE(Dashboard!$B$10,A335)</x:f>
        <x:v>55185</x:v>
      </x:c>
    </x:row>
    <x:row r="336">
      <x:c r="A336" s="33" t="n">
        <x:v>335</x:v>
      </x:c>
      <x:c r="B336" s="33" t="str">
        <x:f>IF(A336&lt;=Dashboard!$F$8,"Holiday",IF(A336&lt;=Dashboard!$F$8+Dashboard!$F$7,"Repayment","Closed"))</x:f>
        <x:v>Closed</x:v>
      </x:c>
      <x:c r="C336" s="32">
        <x:f>IF(A336=1,Dashboard!$B$6,IF(B336="Holiday",J335,L335))</x:f>
      </x:c>
      <x:c r="D336" s="32">
        <x:f>IF(A336=1,0,IF(B336="Holiday",K335,0))</x:f>
      </x:c>
      <x:c r="E336" s="32">
        <x:f>C336+D336</x:f>
      </x:c>
      <x:c r="F336" s="32">
        <x:f>IF(B336="Holiday",IF(Dashboard!$B$14="Principal Only",MIN(Dashboard!$B$15,C336),0),0)</x:f>
      </x:c>
      <x:c r="G336" s="32" t="n">
        <x:f>IF(B336="Closed",0,IF(B336="Holiday",IF(Dashboard!$B$14="Interest Only",C336*Dashboard!$F$6,MAX(0,(C336-F336)*Dashboard!$F$6)),E336*Dashboard!$F$6))</x:f>
        <x:v>0</x:v>
      </x:c>
      <x:c r="H336" s="32" t="n">
        <x:f>IF(B336="Holiday",IF(Dashboard!$B$14="Interest Only",G336,F336),IF(B336="Closed",0,MIN(Dashboard!$F$10,E336+G336)))</x:f>
        <x:v>0</x:v>
      </x:c>
      <x:c r="I336" s="32" t="n">
        <x:f>IF(B336="Holiday",F336,IF(B336="Closed",0,MAX(0,H336-G336)))</x:f>
        <x:v>0</x:v>
      </x:c>
      <x:c r="J336" s="32" t="n">
        <x:f>IF(B336="Holiday",MAX(0,C336-F336),IF(B336="Closed",0,MAX(0,E336-I336)))</x:f>
        <x:v>0</x:v>
      </x:c>
      <x:c r="K336" s="32" t="n">
        <x:f>IF(B336="Holiday",IF(Dashboard!$B$14="Interest Only",D336,D336+G336),0)</x:f>
        <x:v>0</x:v>
      </x:c>
      <x:c r="L336" s="32" t="n">
        <x:f>J336+K336</x:f>
        <x:v>0</x:v>
      </x:c>
      <x:c r="M336" s="32" t="n">
        <x:f>IF(A336=1,H336,M335+H336)</x:f>
        <x:v>0</x:v>
      </x:c>
      <x:c r="N336" s="32" t="n">
        <x:f>IF(A336=1,I336,N335+I336)</x:f>
        <x:v>0</x:v>
      </x:c>
      <x:c r="O336" s="32" t="n">
        <x:f>IF(A336=1,G336,O335+G336)</x:f>
        <x:v>3671325</x:v>
      </x:c>
      <x:c r="P336" s="37" t="n">
        <x:f>EDATE(Dashboard!$B$10,A336)</x:f>
        <x:v>55213</x:v>
      </x:c>
    </x:row>
    <x:row r="337">
      <x:c r="A337" s="33" t="n">
        <x:v>336</x:v>
      </x:c>
      <x:c r="B337" s="33" t="str">
        <x:f>IF(A337&lt;=Dashboard!$F$8,"Holiday",IF(A337&lt;=Dashboard!$F$8+Dashboard!$F$7,"Repayment","Closed"))</x:f>
        <x:v>Closed</x:v>
      </x:c>
      <x:c r="C337" s="32">
        <x:f>IF(A337=1,Dashboard!$B$6,IF(B337="Holiday",J336,L336))</x:f>
      </x:c>
      <x:c r="D337" s="32">
        <x:f>IF(A337=1,0,IF(B337="Holiday",K336,0))</x:f>
      </x:c>
      <x:c r="E337" s="32">
        <x:f>C337+D337</x:f>
      </x:c>
      <x:c r="F337" s="32">
        <x:f>IF(B337="Holiday",IF(Dashboard!$B$14="Principal Only",MIN(Dashboard!$B$15,C337),0),0)</x:f>
      </x:c>
      <x:c r="G337" s="32" t="n">
        <x:f>IF(B337="Closed",0,IF(B337="Holiday",IF(Dashboard!$B$14="Interest Only",C337*Dashboard!$F$6,MAX(0,(C337-F337)*Dashboard!$F$6)),E337*Dashboard!$F$6))</x:f>
        <x:v>0</x:v>
      </x:c>
      <x:c r="H337" s="32" t="n">
        <x:f>IF(B337="Holiday",IF(Dashboard!$B$14="Interest Only",G337,F337),IF(B337="Closed",0,MIN(Dashboard!$F$10,E337+G337)))</x:f>
        <x:v>0</x:v>
      </x:c>
      <x:c r="I337" s="32" t="n">
        <x:f>IF(B337="Holiday",F337,IF(B337="Closed",0,MAX(0,H337-G337)))</x:f>
        <x:v>0</x:v>
      </x:c>
      <x:c r="J337" s="32" t="n">
        <x:f>IF(B337="Holiday",MAX(0,C337-F337),IF(B337="Closed",0,MAX(0,E337-I337)))</x:f>
        <x:v>0</x:v>
      </x:c>
      <x:c r="K337" s="32" t="n">
        <x:f>IF(B337="Holiday",IF(Dashboard!$B$14="Interest Only",D337,D337+G337),0)</x:f>
        <x:v>0</x:v>
      </x:c>
      <x:c r="L337" s="32" t="n">
        <x:f>J337+K337</x:f>
        <x:v>0</x:v>
      </x:c>
      <x:c r="M337" s="32" t="n">
        <x:f>IF(A337=1,H337,M336+H337)</x:f>
        <x:v>0</x:v>
      </x:c>
      <x:c r="N337" s="32" t="n">
        <x:f>IF(A337=1,I337,N336+I337)</x:f>
        <x:v>0</x:v>
      </x:c>
      <x:c r="O337" s="32" t="n">
        <x:f>IF(A337=1,G337,O336+G337)</x:f>
        <x:v>3671325</x:v>
      </x:c>
      <x:c r="P337" s="37" t="n">
        <x:f>EDATE(Dashboard!$B$10,A337)</x:f>
        <x:v>55244</x:v>
      </x:c>
    </x:row>
    <x:row r="338">
      <x:c r="A338" s="33" t="n">
        <x:v>337</x:v>
      </x:c>
      <x:c r="B338" s="33" t="str">
        <x:f>IF(A338&lt;=Dashboard!$F$8,"Holiday",IF(A338&lt;=Dashboard!$F$8+Dashboard!$F$7,"Repayment","Closed"))</x:f>
        <x:v>Closed</x:v>
      </x:c>
      <x:c r="C338" s="32">
        <x:f>IF(A338=1,Dashboard!$B$6,IF(B338="Holiday",J337,L337))</x:f>
      </x:c>
      <x:c r="D338" s="32">
        <x:f>IF(A338=1,0,IF(B338="Holiday",K337,0))</x:f>
      </x:c>
      <x:c r="E338" s="32">
        <x:f>C338+D338</x:f>
      </x:c>
      <x:c r="F338" s="32">
        <x:f>IF(B338="Holiday",IF(Dashboard!$B$14="Principal Only",MIN(Dashboard!$B$15,C338),0),0)</x:f>
      </x:c>
      <x:c r="G338" s="32" t="n">
        <x:f>IF(B338="Closed",0,IF(B338="Holiday",IF(Dashboard!$B$14="Interest Only",C338*Dashboard!$F$6,MAX(0,(C338-F338)*Dashboard!$F$6)),E338*Dashboard!$F$6))</x:f>
        <x:v>0</x:v>
      </x:c>
      <x:c r="H338" s="32" t="n">
        <x:f>IF(B338="Holiday",IF(Dashboard!$B$14="Interest Only",G338,F338),IF(B338="Closed",0,MIN(Dashboard!$F$10,E338+G338)))</x:f>
        <x:v>0</x:v>
      </x:c>
      <x:c r="I338" s="32" t="n">
        <x:f>IF(B338="Holiday",F338,IF(B338="Closed",0,MAX(0,H338-G338)))</x:f>
        <x:v>0</x:v>
      </x:c>
      <x:c r="J338" s="32" t="n">
        <x:f>IF(B338="Holiday",MAX(0,C338-F338),IF(B338="Closed",0,MAX(0,E338-I338)))</x:f>
        <x:v>0</x:v>
      </x:c>
      <x:c r="K338" s="32" t="n">
        <x:f>IF(B338="Holiday",IF(Dashboard!$B$14="Interest Only",D338,D338+G338),0)</x:f>
        <x:v>0</x:v>
      </x:c>
      <x:c r="L338" s="32" t="n">
        <x:f>J338+K338</x:f>
        <x:v>0</x:v>
      </x:c>
      <x:c r="M338" s="32" t="n">
        <x:f>IF(A338=1,H338,M337+H338)</x:f>
        <x:v>0</x:v>
      </x:c>
      <x:c r="N338" s="32" t="n">
        <x:f>IF(A338=1,I338,N337+I338)</x:f>
        <x:v>0</x:v>
      </x:c>
      <x:c r="O338" s="32" t="n">
        <x:f>IF(A338=1,G338,O337+G338)</x:f>
        <x:v>3671325</x:v>
      </x:c>
      <x:c r="P338" s="37" t="n">
        <x:f>EDATE(Dashboard!$B$10,A338)</x:f>
        <x:v>55274</x:v>
      </x:c>
    </x:row>
    <x:row r="339">
      <x:c r="A339" s="33" t="n">
        <x:v>338</x:v>
      </x:c>
      <x:c r="B339" s="33" t="str">
        <x:f>IF(A339&lt;=Dashboard!$F$8,"Holiday",IF(A339&lt;=Dashboard!$F$8+Dashboard!$F$7,"Repayment","Closed"))</x:f>
        <x:v>Closed</x:v>
      </x:c>
      <x:c r="C339" s="32">
        <x:f>IF(A339=1,Dashboard!$B$6,IF(B339="Holiday",J338,L338))</x:f>
      </x:c>
      <x:c r="D339" s="32">
        <x:f>IF(A339=1,0,IF(B339="Holiday",K338,0))</x:f>
      </x:c>
      <x:c r="E339" s="32">
        <x:f>C339+D339</x:f>
      </x:c>
      <x:c r="F339" s="32">
        <x:f>IF(B339="Holiday",IF(Dashboard!$B$14="Principal Only",MIN(Dashboard!$B$15,C339),0),0)</x:f>
      </x:c>
      <x:c r="G339" s="32" t="n">
        <x:f>IF(B339="Closed",0,IF(B339="Holiday",IF(Dashboard!$B$14="Interest Only",C339*Dashboard!$F$6,MAX(0,(C339-F339)*Dashboard!$F$6)),E339*Dashboard!$F$6))</x:f>
        <x:v>0</x:v>
      </x:c>
      <x:c r="H339" s="32" t="n">
        <x:f>IF(B339="Holiday",IF(Dashboard!$B$14="Interest Only",G339,F339),IF(B339="Closed",0,MIN(Dashboard!$F$10,E339+G339)))</x:f>
        <x:v>0</x:v>
      </x:c>
      <x:c r="I339" s="32" t="n">
        <x:f>IF(B339="Holiday",F339,IF(B339="Closed",0,MAX(0,H339-G339)))</x:f>
        <x:v>0</x:v>
      </x:c>
      <x:c r="J339" s="32" t="n">
        <x:f>IF(B339="Holiday",MAX(0,C339-F339),IF(B339="Closed",0,MAX(0,E339-I339)))</x:f>
        <x:v>0</x:v>
      </x:c>
      <x:c r="K339" s="32" t="n">
        <x:f>IF(B339="Holiday",IF(Dashboard!$B$14="Interest Only",D339,D339+G339),0)</x:f>
        <x:v>0</x:v>
      </x:c>
      <x:c r="L339" s="32" t="n">
        <x:f>J339+K339</x:f>
        <x:v>0</x:v>
      </x:c>
      <x:c r="M339" s="32" t="n">
        <x:f>IF(A339=1,H339,M338+H339)</x:f>
        <x:v>0</x:v>
      </x:c>
      <x:c r="N339" s="32" t="n">
        <x:f>IF(A339=1,I339,N338+I339)</x:f>
        <x:v>0</x:v>
      </x:c>
      <x:c r="O339" s="32" t="n">
        <x:f>IF(A339=1,G339,O338+G339)</x:f>
        <x:v>3671325</x:v>
      </x:c>
      <x:c r="P339" s="37" t="n">
        <x:f>EDATE(Dashboard!$B$10,A339)</x:f>
        <x:v>55305</x:v>
      </x:c>
    </x:row>
    <x:row r="340">
      <x:c r="A340" s="33" t="n">
        <x:v>339</x:v>
      </x:c>
      <x:c r="B340" s="33" t="str">
        <x:f>IF(A340&lt;=Dashboard!$F$8,"Holiday",IF(A340&lt;=Dashboard!$F$8+Dashboard!$F$7,"Repayment","Closed"))</x:f>
        <x:v>Closed</x:v>
      </x:c>
      <x:c r="C340" s="32">
        <x:f>IF(A340=1,Dashboard!$B$6,IF(B340="Holiday",J339,L339))</x:f>
      </x:c>
      <x:c r="D340" s="32">
        <x:f>IF(A340=1,0,IF(B340="Holiday",K339,0))</x:f>
      </x:c>
      <x:c r="E340" s="32">
        <x:f>C340+D340</x:f>
      </x:c>
      <x:c r="F340" s="32">
        <x:f>IF(B340="Holiday",IF(Dashboard!$B$14="Principal Only",MIN(Dashboard!$B$15,C340),0),0)</x:f>
      </x:c>
      <x:c r="G340" s="32" t="n">
        <x:f>IF(B340="Closed",0,IF(B340="Holiday",IF(Dashboard!$B$14="Interest Only",C340*Dashboard!$F$6,MAX(0,(C340-F340)*Dashboard!$F$6)),E340*Dashboard!$F$6))</x:f>
        <x:v>0</x:v>
      </x:c>
      <x:c r="H340" s="32" t="n">
        <x:f>IF(B340="Holiday",IF(Dashboard!$B$14="Interest Only",G340,F340),IF(B340="Closed",0,MIN(Dashboard!$F$10,E340+G340)))</x:f>
        <x:v>0</x:v>
      </x:c>
      <x:c r="I340" s="32" t="n">
        <x:f>IF(B340="Holiday",F340,IF(B340="Closed",0,MAX(0,H340-G340)))</x:f>
        <x:v>0</x:v>
      </x:c>
      <x:c r="J340" s="32" t="n">
        <x:f>IF(B340="Holiday",MAX(0,C340-F340),IF(B340="Closed",0,MAX(0,E340-I340)))</x:f>
        <x:v>0</x:v>
      </x:c>
      <x:c r="K340" s="32" t="n">
        <x:f>IF(B340="Holiday",IF(Dashboard!$B$14="Interest Only",D340,D340+G340),0)</x:f>
        <x:v>0</x:v>
      </x:c>
      <x:c r="L340" s="32" t="n">
        <x:f>J340+K340</x:f>
        <x:v>0</x:v>
      </x:c>
      <x:c r="M340" s="32" t="n">
        <x:f>IF(A340=1,H340,M339+H340)</x:f>
        <x:v>0</x:v>
      </x:c>
      <x:c r="N340" s="32" t="n">
        <x:f>IF(A340=1,I340,N339+I340)</x:f>
        <x:v>0</x:v>
      </x:c>
      <x:c r="O340" s="32" t="n">
        <x:f>IF(A340=1,G340,O339+G340)</x:f>
        <x:v>3671325</x:v>
      </x:c>
      <x:c r="P340" s="37" t="n">
        <x:f>EDATE(Dashboard!$B$10,A340)</x:f>
        <x:v>55335</x:v>
      </x:c>
    </x:row>
    <x:row r="341">
      <x:c r="A341" s="33" t="n">
        <x:v>340</x:v>
      </x:c>
      <x:c r="B341" s="33" t="str">
        <x:f>IF(A341&lt;=Dashboard!$F$8,"Holiday",IF(A341&lt;=Dashboard!$F$8+Dashboard!$F$7,"Repayment","Closed"))</x:f>
        <x:v>Closed</x:v>
      </x:c>
      <x:c r="C341" s="32">
        <x:f>IF(A341=1,Dashboard!$B$6,IF(B341="Holiday",J340,L340))</x:f>
      </x:c>
      <x:c r="D341" s="32">
        <x:f>IF(A341=1,0,IF(B341="Holiday",K340,0))</x:f>
      </x:c>
      <x:c r="E341" s="32">
        <x:f>C341+D341</x:f>
      </x:c>
      <x:c r="F341" s="32">
        <x:f>IF(B341="Holiday",IF(Dashboard!$B$14="Principal Only",MIN(Dashboard!$B$15,C341),0),0)</x:f>
      </x:c>
      <x:c r="G341" s="32" t="n">
        <x:f>IF(B341="Closed",0,IF(B341="Holiday",IF(Dashboard!$B$14="Interest Only",C341*Dashboard!$F$6,MAX(0,(C341-F341)*Dashboard!$F$6)),E341*Dashboard!$F$6))</x:f>
        <x:v>0</x:v>
      </x:c>
      <x:c r="H341" s="32" t="n">
        <x:f>IF(B341="Holiday",IF(Dashboard!$B$14="Interest Only",G341,F341),IF(B341="Closed",0,MIN(Dashboard!$F$10,E341+G341)))</x:f>
        <x:v>0</x:v>
      </x:c>
      <x:c r="I341" s="32" t="n">
        <x:f>IF(B341="Holiday",F341,IF(B341="Closed",0,MAX(0,H341-G341)))</x:f>
        <x:v>0</x:v>
      </x:c>
      <x:c r="J341" s="32" t="n">
        <x:f>IF(B341="Holiday",MAX(0,C341-F341),IF(B341="Closed",0,MAX(0,E341-I341)))</x:f>
        <x:v>0</x:v>
      </x:c>
      <x:c r="K341" s="32" t="n">
        <x:f>IF(B341="Holiday",IF(Dashboard!$B$14="Interest Only",D341,D341+G341),0)</x:f>
        <x:v>0</x:v>
      </x:c>
      <x:c r="L341" s="32" t="n">
        <x:f>J341+K341</x:f>
        <x:v>0</x:v>
      </x:c>
      <x:c r="M341" s="32" t="n">
        <x:f>IF(A341=1,H341,M340+H341)</x:f>
        <x:v>0</x:v>
      </x:c>
      <x:c r="N341" s="32" t="n">
        <x:f>IF(A341=1,I341,N340+I341)</x:f>
        <x:v>0</x:v>
      </x:c>
      <x:c r="O341" s="32" t="n">
        <x:f>IF(A341=1,G341,O340+G341)</x:f>
        <x:v>3671325</x:v>
      </x:c>
      <x:c r="P341" s="37" t="n">
        <x:f>EDATE(Dashboard!$B$10,A341)</x:f>
        <x:v>55366</x:v>
      </x:c>
    </x:row>
    <x:row r="342">
      <x:c r="A342" s="33" t="n">
        <x:v>341</x:v>
      </x:c>
      <x:c r="B342" s="33" t="str">
        <x:f>IF(A342&lt;=Dashboard!$F$8,"Holiday",IF(A342&lt;=Dashboard!$F$8+Dashboard!$F$7,"Repayment","Closed"))</x:f>
        <x:v>Closed</x:v>
      </x:c>
      <x:c r="C342" s="32">
        <x:f>IF(A342=1,Dashboard!$B$6,IF(B342="Holiday",J341,L341))</x:f>
      </x:c>
      <x:c r="D342" s="32">
        <x:f>IF(A342=1,0,IF(B342="Holiday",K341,0))</x:f>
      </x:c>
      <x:c r="E342" s="32">
        <x:f>C342+D342</x:f>
      </x:c>
      <x:c r="F342" s="32">
        <x:f>IF(B342="Holiday",IF(Dashboard!$B$14="Principal Only",MIN(Dashboard!$B$15,C342),0),0)</x:f>
      </x:c>
      <x:c r="G342" s="32" t="n">
        <x:f>IF(B342="Closed",0,IF(B342="Holiday",IF(Dashboard!$B$14="Interest Only",C342*Dashboard!$F$6,MAX(0,(C342-F342)*Dashboard!$F$6)),E342*Dashboard!$F$6))</x:f>
        <x:v>0</x:v>
      </x:c>
      <x:c r="H342" s="32" t="n">
        <x:f>IF(B342="Holiday",IF(Dashboard!$B$14="Interest Only",G342,F342),IF(B342="Closed",0,MIN(Dashboard!$F$10,E342+G342)))</x:f>
        <x:v>0</x:v>
      </x:c>
      <x:c r="I342" s="32" t="n">
        <x:f>IF(B342="Holiday",F342,IF(B342="Closed",0,MAX(0,H342-G342)))</x:f>
        <x:v>0</x:v>
      </x:c>
      <x:c r="J342" s="32" t="n">
        <x:f>IF(B342="Holiday",MAX(0,C342-F342),IF(B342="Closed",0,MAX(0,E342-I342)))</x:f>
        <x:v>0</x:v>
      </x:c>
      <x:c r="K342" s="32" t="n">
        <x:f>IF(B342="Holiday",IF(Dashboard!$B$14="Interest Only",D342,D342+G342),0)</x:f>
        <x:v>0</x:v>
      </x:c>
      <x:c r="L342" s="32" t="n">
        <x:f>J342+K342</x:f>
        <x:v>0</x:v>
      </x:c>
      <x:c r="M342" s="32" t="n">
        <x:f>IF(A342=1,H342,M341+H342)</x:f>
        <x:v>0</x:v>
      </x:c>
      <x:c r="N342" s="32" t="n">
        <x:f>IF(A342=1,I342,N341+I342)</x:f>
        <x:v>0</x:v>
      </x:c>
      <x:c r="O342" s="32" t="n">
        <x:f>IF(A342=1,G342,O341+G342)</x:f>
        <x:v>3671325</x:v>
      </x:c>
      <x:c r="P342" s="37" t="n">
        <x:f>EDATE(Dashboard!$B$10,A342)</x:f>
        <x:v>55397</x:v>
      </x:c>
    </x:row>
    <x:row r="343">
      <x:c r="A343" s="33" t="n">
        <x:v>342</x:v>
      </x:c>
      <x:c r="B343" s="33" t="str">
        <x:f>IF(A343&lt;=Dashboard!$F$8,"Holiday",IF(A343&lt;=Dashboard!$F$8+Dashboard!$F$7,"Repayment","Closed"))</x:f>
        <x:v>Closed</x:v>
      </x:c>
      <x:c r="C343" s="32">
        <x:f>IF(A343=1,Dashboard!$B$6,IF(B343="Holiday",J342,L342))</x:f>
      </x:c>
      <x:c r="D343" s="32">
        <x:f>IF(A343=1,0,IF(B343="Holiday",K342,0))</x:f>
      </x:c>
      <x:c r="E343" s="32">
        <x:f>C343+D343</x:f>
      </x:c>
      <x:c r="F343" s="32">
        <x:f>IF(B343="Holiday",IF(Dashboard!$B$14="Principal Only",MIN(Dashboard!$B$15,C343),0),0)</x:f>
      </x:c>
      <x:c r="G343" s="32" t="n">
        <x:f>IF(B343="Closed",0,IF(B343="Holiday",IF(Dashboard!$B$14="Interest Only",C343*Dashboard!$F$6,MAX(0,(C343-F343)*Dashboard!$F$6)),E343*Dashboard!$F$6))</x:f>
        <x:v>0</x:v>
      </x:c>
      <x:c r="H343" s="32" t="n">
        <x:f>IF(B343="Holiday",IF(Dashboard!$B$14="Interest Only",G343,F343),IF(B343="Closed",0,MIN(Dashboard!$F$10,E343+G343)))</x:f>
        <x:v>0</x:v>
      </x:c>
      <x:c r="I343" s="32" t="n">
        <x:f>IF(B343="Holiday",F343,IF(B343="Closed",0,MAX(0,H343-G343)))</x:f>
        <x:v>0</x:v>
      </x:c>
      <x:c r="J343" s="32" t="n">
        <x:f>IF(B343="Holiday",MAX(0,C343-F343),IF(B343="Closed",0,MAX(0,E343-I343)))</x:f>
        <x:v>0</x:v>
      </x:c>
      <x:c r="K343" s="32" t="n">
        <x:f>IF(B343="Holiday",IF(Dashboard!$B$14="Interest Only",D343,D343+G343),0)</x:f>
        <x:v>0</x:v>
      </x:c>
      <x:c r="L343" s="32" t="n">
        <x:f>J343+K343</x:f>
        <x:v>0</x:v>
      </x:c>
      <x:c r="M343" s="32" t="n">
        <x:f>IF(A343=1,H343,M342+H343)</x:f>
        <x:v>0</x:v>
      </x:c>
      <x:c r="N343" s="32" t="n">
        <x:f>IF(A343=1,I343,N342+I343)</x:f>
        <x:v>0</x:v>
      </x:c>
      <x:c r="O343" s="32" t="n">
        <x:f>IF(A343=1,G343,O342+G343)</x:f>
        <x:v>3671325</x:v>
      </x:c>
      <x:c r="P343" s="37" t="n">
        <x:f>EDATE(Dashboard!$B$10,A343)</x:f>
        <x:v>55427</x:v>
      </x:c>
    </x:row>
    <x:row r="344">
      <x:c r="A344" s="33" t="n">
        <x:v>343</x:v>
      </x:c>
      <x:c r="B344" s="33" t="str">
        <x:f>IF(A344&lt;=Dashboard!$F$8,"Holiday",IF(A344&lt;=Dashboard!$F$8+Dashboard!$F$7,"Repayment","Closed"))</x:f>
        <x:v>Closed</x:v>
      </x:c>
      <x:c r="C344" s="32">
        <x:f>IF(A344=1,Dashboard!$B$6,IF(B344="Holiday",J343,L343))</x:f>
      </x:c>
      <x:c r="D344" s="32">
        <x:f>IF(A344=1,0,IF(B344="Holiday",K343,0))</x:f>
      </x:c>
      <x:c r="E344" s="32">
        <x:f>C344+D344</x:f>
      </x:c>
      <x:c r="F344" s="32">
        <x:f>IF(B344="Holiday",IF(Dashboard!$B$14="Principal Only",MIN(Dashboard!$B$15,C344),0),0)</x:f>
      </x:c>
      <x:c r="G344" s="32" t="n">
        <x:f>IF(B344="Closed",0,IF(B344="Holiday",IF(Dashboard!$B$14="Interest Only",C344*Dashboard!$F$6,MAX(0,(C344-F344)*Dashboard!$F$6)),E344*Dashboard!$F$6))</x:f>
        <x:v>0</x:v>
      </x:c>
      <x:c r="H344" s="32" t="n">
        <x:f>IF(B344="Holiday",IF(Dashboard!$B$14="Interest Only",G344,F344),IF(B344="Closed",0,MIN(Dashboard!$F$10,E344+G344)))</x:f>
        <x:v>0</x:v>
      </x:c>
      <x:c r="I344" s="32" t="n">
        <x:f>IF(B344="Holiday",F344,IF(B344="Closed",0,MAX(0,H344-G344)))</x:f>
        <x:v>0</x:v>
      </x:c>
      <x:c r="J344" s="32" t="n">
        <x:f>IF(B344="Holiday",MAX(0,C344-F344),IF(B344="Closed",0,MAX(0,E344-I344)))</x:f>
        <x:v>0</x:v>
      </x:c>
      <x:c r="K344" s="32" t="n">
        <x:f>IF(B344="Holiday",IF(Dashboard!$B$14="Interest Only",D344,D344+G344),0)</x:f>
        <x:v>0</x:v>
      </x:c>
      <x:c r="L344" s="32" t="n">
        <x:f>J344+K344</x:f>
        <x:v>0</x:v>
      </x:c>
      <x:c r="M344" s="32" t="n">
        <x:f>IF(A344=1,H344,M343+H344)</x:f>
        <x:v>0</x:v>
      </x:c>
      <x:c r="N344" s="32" t="n">
        <x:f>IF(A344=1,I344,N343+I344)</x:f>
        <x:v>0</x:v>
      </x:c>
      <x:c r="O344" s="32" t="n">
        <x:f>IF(A344=1,G344,O343+G344)</x:f>
        <x:v>3671325</x:v>
      </x:c>
      <x:c r="P344" s="37" t="n">
        <x:f>EDATE(Dashboard!$B$10,A344)</x:f>
        <x:v>55458</x:v>
      </x:c>
    </x:row>
    <x:row r="345">
      <x:c r="A345" s="33" t="n">
        <x:v>344</x:v>
      </x:c>
      <x:c r="B345" s="33" t="str">
        <x:f>IF(A345&lt;=Dashboard!$F$8,"Holiday",IF(A345&lt;=Dashboard!$F$8+Dashboard!$F$7,"Repayment","Closed"))</x:f>
        <x:v>Closed</x:v>
      </x:c>
      <x:c r="C345" s="32">
        <x:f>IF(A345=1,Dashboard!$B$6,IF(B345="Holiday",J344,L344))</x:f>
      </x:c>
      <x:c r="D345" s="32">
        <x:f>IF(A345=1,0,IF(B345="Holiday",K344,0))</x:f>
      </x:c>
      <x:c r="E345" s="32">
        <x:f>C345+D345</x:f>
      </x:c>
      <x:c r="F345" s="32">
        <x:f>IF(B345="Holiday",IF(Dashboard!$B$14="Principal Only",MIN(Dashboard!$B$15,C345),0),0)</x:f>
      </x:c>
      <x:c r="G345" s="32" t="n">
        <x:f>IF(B345="Closed",0,IF(B345="Holiday",IF(Dashboard!$B$14="Interest Only",C345*Dashboard!$F$6,MAX(0,(C345-F345)*Dashboard!$F$6)),E345*Dashboard!$F$6))</x:f>
        <x:v>0</x:v>
      </x:c>
      <x:c r="H345" s="32" t="n">
        <x:f>IF(B345="Holiday",IF(Dashboard!$B$14="Interest Only",G345,F345),IF(B345="Closed",0,MIN(Dashboard!$F$10,E345+G345)))</x:f>
        <x:v>0</x:v>
      </x:c>
      <x:c r="I345" s="32" t="n">
        <x:f>IF(B345="Holiday",F345,IF(B345="Closed",0,MAX(0,H345-G345)))</x:f>
        <x:v>0</x:v>
      </x:c>
      <x:c r="J345" s="32" t="n">
        <x:f>IF(B345="Holiday",MAX(0,C345-F345),IF(B345="Closed",0,MAX(0,E345-I345)))</x:f>
        <x:v>0</x:v>
      </x:c>
      <x:c r="K345" s="32" t="n">
        <x:f>IF(B345="Holiday",IF(Dashboard!$B$14="Interest Only",D345,D345+G345),0)</x:f>
        <x:v>0</x:v>
      </x:c>
      <x:c r="L345" s="32" t="n">
        <x:f>J345+K345</x:f>
        <x:v>0</x:v>
      </x:c>
      <x:c r="M345" s="32" t="n">
        <x:f>IF(A345=1,H345,M344+H345)</x:f>
        <x:v>0</x:v>
      </x:c>
      <x:c r="N345" s="32" t="n">
        <x:f>IF(A345=1,I345,N344+I345)</x:f>
        <x:v>0</x:v>
      </x:c>
      <x:c r="O345" s="32" t="n">
        <x:f>IF(A345=1,G345,O344+G345)</x:f>
        <x:v>3671325</x:v>
      </x:c>
      <x:c r="P345" s="37" t="n">
        <x:f>EDATE(Dashboard!$B$10,A345)</x:f>
        <x:v>55488</x:v>
      </x:c>
    </x:row>
    <x:row r="346">
      <x:c r="A346" s="33" t="n">
        <x:v>345</x:v>
      </x:c>
      <x:c r="B346" s="33" t="str">
        <x:f>IF(A346&lt;=Dashboard!$F$8,"Holiday",IF(A346&lt;=Dashboard!$F$8+Dashboard!$F$7,"Repayment","Closed"))</x:f>
        <x:v>Closed</x:v>
      </x:c>
      <x:c r="C346" s="32">
        <x:f>IF(A346=1,Dashboard!$B$6,IF(B346="Holiday",J345,L345))</x:f>
      </x:c>
      <x:c r="D346" s="32">
        <x:f>IF(A346=1,0,IF(B346="Holiday",K345,0))</x:f>
      </x:c>
      <x:c r="E346" s="32">
        <x:f>C346+D346</x:f>
      </x:c>
      <x:c r="F346" s="32">
        <x:f>IF(B346="Holiday",IF(Dashboard!$B$14="Principal Only",MIN(Dashboard!$B$15,C346),0),0)</x:f>
      </x:c>
      <x:c r="G346" s="32" t="n">
        <x:f>IF(B346="Closed",0,IF(B346="Holiday",IF(Dashboard!$B$14="Interest Only",C346*Dashboard!$F$6,MAX(0,(C346-F346)*Dashboard!$F$6)),E346*Dashboard!$F$6))</x:f>
        <x:v>0</x:v>
      </x:c>
      <x:c r="H346" s="32" t="n">
        <x:f>IF(B346="Holiday",IF(Dashboard!$B$14="Interest Only",G346,F346),IF(B346="Closed",0,MIN(Dashboard!$F$10,E346+G346)))</x:f>
        <x:v>0</x:v>
      </x:c>
      <x:c r="I346" s="32" t="n">
        <x:f>IF(B346="Holiday",F346,IF(B346="Closed",0,MAX(0,H346-G346)))</x:f>
        <x:v>0</x:v>
      </x:c>
      <x:c r="J346" s="32" t="n">
        <x:f>IF(B346="Holiday",MAX(0,C346-F346),IF(B346="Closed",0,MAX(0,E346-I346)))</x:f>
        <x:v>0</x:v>
      </x:c>
      <x:c r="K346" s="32" t="n">
        <x:f>IF(B346="Holiday",IF(Dashboard!$B$14="Interest Only",D346,D346+G346),0)</x:f>
        <x:v>0</x:v>
      </x:c>
      <x:c r="L346" s="32" t="n">
        <x:f>J346+K346</x:f>
        <x:v>0</x:v>
      </x:c>
      <x:c r="M346" s="32" t="n">
        <x:f>IF(A346=1,H346,M345+H346)</x:f>
        <x:v>0</x:v>
      </x:c>
      <x:c r="N346" s="32" t="n">
        <x:f>IF(A346=1,I346,N345+I346)</x:f>
        <x:v>0</x:v>
      </x:c>
      <x:c r="O346" s="32" t="n">
        <x:f>IF(A346=1,G346,O345+G346)</x:f>
        <x:v>3671325</x:v>
      </x:c>
      <x:c r="P346" s="37" t="n">
        <x:f>EDATE(Dashboard!$B$10,A346)</x:f>
        <x:v>55519</x:v>
      </x:c>
    </x:row>
    <x:row r="347">
      <x:c r="A347" s="33" t="n">
        <x:v>346</x:v>
      </x:c>
      <x:c r="B347" s="33" t="str">
        <x:f>IF(A347&lt;=Dashboard!$F$8,"Holiday",IF(A347&lt;=Dashboard!$F$8+Dashboard!$F$7,"Repayment","Closed"))</x:f>
        <x:v>Closed</x:v>
      </x:c>
      <x:c r="C347" s="32">
        <x:f>IF(A347=1,Dashboard!$B$6,IF(B347="Holiday",J346,L346))</x:f>
      </x:c>
      <x:c r="D347" s="32">
        <x:f>IF(A347=1,0,IF(B347="Holiday",K346,0))</x:f>
      </x:c>
      <x:c r="E347" s="32">
        <x:f>C347+D347</x:f>
      </x:c>
      <x:c r="F347" s="32">
        <x:f>IF(B347="Holiday",IF(Dashboard!$B$14="Principal Only",MIN(Dashboard!$B$15,C347),0),0)</x:f>
      </x:c>
      <x:c r="G347" s="32" t="n">
        <x:f>IF(B347="Closed",0,IF(B347="Holiday",IF(Dashboard!$B$14="Interest Only",C347*Dashboard!$F$6,MAX(0,(C347-F347)*Dashboard!$F$6)),E347*Dashboard!$F$6))</x:f>
        <x:v>0</x:v>
      </x:c>
      <x:c r="H347" s="32" t="n">
        <x:f>IF(B347="Holiday",IF(Dashboard!$B$14="Interest Only",G347,F347),IF(B347="Closed",0,MIN(Dashboard!$F$10,E347+G347)))</x:f>
        <x:v>0</x:v>
      </x:c>
      <x:c r="I347" s="32" t="n">
        <x:f>IF(B347="Holiday",F347,IF(B347="Closed",0,MAX(0,H347-G347)))</x:f>
        <x:v>0</x:v>
      </x:c>
      <x:c r="J347" s="32" t="n">
        <x:f>IF(B347="Holiday",MAX(0,C347-F347),IF(B347="Closed",0,MAX(0,E347-I347)))</x:f>
        <x:v>0</x:v>
      </x:c>
      <x:c r="K347" s="32" t="n">
        <x:f>IF(B347="Holiday",IF(Dashboard!$B$14="Interest Only",D347,D347+G347),0)</x:f>
        <x:v>0</x:v>
      </x:c>
      <x:c r="L347" s="32" t="n">
        <x:f>J347+K347</x:f>
        <x:v>0</x:v>
      </x:c>
      <x:c r="M347" s="32" t="n">
        <x:f>IF(A347=1,H347,M346+H347)</x:f>
        <x:v>0</x:v>
      </x:c>
      <x:c r="N347" s="32" t="n">
        <x:f>IF(A347=1,I347,N346+I347)</x:f>
        <x:v>0</x:v>
      </x:c>
      <x:c r="O347" s="32" t="n">
        <x:f>IF(A347=1,G347,O346+G347)</x:f>
        <x:v>3671325</x:v>
      </x:c>
      <x:c r="P347" s="37" t="n">
        <x:f>EDATE(Dashboard!$B$10,A347)</x:f>
        <x:v>55550</x:v>
      </x:c>
    </x:row>
    <x:row r="348">
      <x:c r="A348" s="33" t="n">
        <x:v>347</x:v>
      </x:c>
      <x:c r="B348" s="33" t="str">
        <x:f>IF(A348&lt;=Dashboard!$F$8,"Holiday",IF(A348&lt;=Dashboard!$F$8+Dashboard!$F$7,"Repayment","Closed"))</x:f>
        <x:v>Closed</x:v>
      </x:c>
      <x:c r="C348" s="32">
        <x:f>IF(A348=1,Dashboard!$B$6,IF(B348="Holiday",J347,L347))</x:f>
      </x:c>
      <x:c r="D348" s="32">
        <x:f>IF(A348=1,0,IF(B348="Holiday",K347,0))</x:f>
      </x:c>
      <x:c r="E348" s="32">
        <x:f>C348+D348</x:f>
      </x:c>
      <x:c r="F348" s="32">
        <x:f>IF(B348="Holiday",IF(Dashboard!$B$14="Principal Only",MIN(Dashboard!$B$15,C348),0),0)</x:f>
      </x:c>
      <x:c r="G348" s="32" t="n">
        <x:f>IF(B348="Closed",0,IF(B348="Holiday",IF(Dashboard!$B$14="Interest Only",C348*Dashboard!$F$6,MAX(0,(C348-F348)*Dashboard!$F$6)),E348*Dashboard!$F$6))</x:f>
        <x:v>0</x:v>
      </x:c>
      <x:c r="H348" s="32" t="n">
        <x:f>IF(B348="Holiday",IF(Dashboard!$B$14="Interest Only",G348,F348),IF(B348="Closed",0,MIN(Dashboard!$F$10,E348+G348)))</x:f>
        <x:v>0</x:v>
      </x:c>
      <x:c r="I348" s="32" t="n">
        <x:f>IF(B348="Holiday",F348,IF(B348="Closed",0,MAX(0,H348-G348)))</x:f>
        <x:v>0</x:v>
      </x:c>
      <x:c r="J348" s="32" t="n">
        <x:f>IF(B348="Holiday",MAX(0,C348-F348),IF(B348="Closed",0,MAX(0,E348-I348)))</x:f>
        <x:v>0</x:v>
      </x:c>
      <x:c r="K348" s="32" t="n">
        <x:f>IF(B348="Holiday",IF(Dashboard!$B$14="Interest Only",D348,D348+G348),0)</x:f>
        <x:v>0</x:v>
      </x:c>
      <x:c r="L348" s="32" t="n">
        <x:f>J348+K348</x:f>
        <x:v>0</x:v>
      </x:c>
      <x:c r="M348" s="32" t="n">
        <x:f>IF(A348=1,H348,M347+H348)</x:f>
        <x:v>0</x:v>
      </x:c>
      <x:c r="N348" s="32" t="n">
        <x:f>IF(A348=1,I348,N347+I348)</x:f>
        <x:v>0</x:v>
      </x:c>
      <x:c r="O348" s="32" t="n">
        <x:f>IF(A348=1,G348,O347+G348)</x:f>
        <x:v>3671325</x:v>
      </x:c>
      <x:c r="P348" s="37" t="n">
        <x:f>EDATE(Dashboard!$B$10,A348)</x:f>
        <x:v>55579</x:v>
      </x:c>
    </x:row>
    <x:row r="349">
      <x:c r="A349" s="33" t="n">
        <x:v>348</x:v>
      </x:c>
      <x:c r="B349" s="33" t="str">
        <x:f>IF(A349&lt;=Dashboard!$F$8,"Holiday",IF(A349&lt;=Dashboard!$F$8+Dashboard!$F$7,"Repayment","Closed"))</x:f>
        <x:v>Closed</x:v>
      </x:c>
      <x:c r="C349" s="32">
        <x:f>IF(A349=1,Dashboard!$B$6,IF(B349="Holiday",J348,L348))</x:f>
      </x:c>
      <x:c r="D349" s="32">
        <x:f>IF(A349=1,0,IF(B349="Holiday",K348,0))</x:f>
      </x:c>
      <x:c r="E349" s="32">
        <x:f>C349+D349</x:f>
      </x:c>
      <x:c r="F349" s="32">
        <x:f>IF(B349="Holiday",IF(Dashboard!$B$14="Principal Only",MIN(Dashboard!$B$15,C349),0),0)</x:f>
      </x:c>
      <x:c r="G349" s="32" t="n">
        <x:f>IF(B349="Closed",0,IF(B349="Holiday",IF(Dashboard!$B$14="Interest Only",C349*Dashboard!$F$6,MAX(0,(C349-F349)*Dashboard!$F$6)),E349*Dashboard!$F$6))</x:f>
        <x:v>0</x:v>
      </x:c>
      <x:c r="H349" s="32" t="n">
        <x:f>IF(B349="Holiday",IF(Dashboard!$B$14="Interest Only",G349,F349),IF(B349="Closed",0,MIN(Dashboard!$F$10,E349+G349)))</x:f>
        <x:v>0</x:v>
      </x:c>
      <x:c r="I349" s="32" t="n">
        <x:f>IF(B349="Holiday",F349,IF(B349="Closed",0,MAX(0,H349-G349)))</x:f>
        <x:v>0</x:v>
      </x:c>
      <x:c r="J349" s="32" t="n">
        <x:f>IF(B349="Holiday",MAX(0,C349-F349),IF(B349="Closed",0,MAX(0,E349-I349)))</x:f>
        <x:v>0</x:v>
      </x:c>
      <x:c r="K349" s="32" t="n">
        <x:f>IF(B349="Holiday",IF(Dashboard!$B$14="Interest Only",D349,D349+G349),0)</x:f>
        <x:v>0</x:v>
      </x:c>
      <x:c r="L349" s="32" t="n">
        <x:f>J349+K349</x:f>
        <x:v>0</x:v>
      </x:c>
      <x:c r="M349" s="32" t="n">
        <x:f>IF(A349=1,H349,M348+H349)</x:f>
        <x:v>0</x:v>
      </x:c>
      <x:c r="N349" s="32" t="n">
        <x:f>IF(A349=1,I349,N348+I349)</x:f>
        <x:v>0</x:v>
      </x:c>
      <x:c r="O349" s="32" t="n">
        <x:f>IF(A349=1,G349,O348+G349)</x:f>
        <x:v>3671325</x:v>
      </x:c>
      <x:c r="P349" s="37" t="n">
        <x:f>EDATE(Dashboard!$B$10,A349)</x:f>
        <x:v>55610</x:v>
      </x:c>
    </x:row>
    <x:row r="350">
      <x:c r="A350" s="33" t="n">
        <x:v>349</x:v>
      </x:c>
      <x:c r="B350" s="33" t="str">
        <x:f>IF(A350&lt;=Dashboard!$F$8,"Holiday",IF(A350&lt;=Dashboard!$F$8+Dashboard!$F$7,"Repayment","Closed"))</x:f>
        <x:v>Closed</x:v>
      </x:c>
      <x:c r="C350" s="32">
        <x:f>IF(A350=1,Dashboard!$B$6,IF(B350="Holiday",J349,L349))</x:f>
      </x:c>
      <x:c r="D350" s="32">
        <x:f>IF(A350=1,0,IF(B350="Holiday",K349,0))</x:f>
      </x:c>
      <x:c r="E350" s="32">
        <x:f>C350+D350</x:f>
      </x:c>
      <x:c r="F350" s="32">
        <x:f>IF(B350="Holiday",IF(Dashboard!$B$14="Principal Only",MIN(Dashboard!$B$15,C350),0),0)</x:f>
      </x:c>
      <x:c r="G350" s="32" t="n">
        <x:f>IF(B350="Closed",0,IF(B350="Holiday",IF(Dashboard!$B$14="Interest Only",C350*Dashboard!$F$6,MAX(0,(C350-F350)*Dashboard!$F$6)),E350*Dashboard!$F$6))</x:f>
        <x:v>0</x:v>
      </x:c>
      <x:c r="H350" s="32" t="n">
        <x:f>IF(B350="Holiday",IF(Dashboard!$B$14="Interest Only",G350,F350),IF(B350="Closed",0,MIN(Dashboard!$F$10,E350+G350)))</x:f>
        <x:v>0</x:v>
      </x:c>
      <x:c r="I350" s="32" t="n">
        <x:f>IF(B350="Holiday",F350,IF(B350="Closed",0,MAX(0,H350-G350)))</x:f>
        <x:v>0</x:v>
      </x:c>
      <x:c r="J350" s="32" t="n">
        <x:f>IF(B350="Holiday",MAX(0,C350-F350),IF(B350="Closed",0,MAX(0,E350-I350)))</x:f>
        <x:v>0</x:v>
      </x:c>
      <x:c r="K350" s="32" t="n">
        <x:f>IF(B350="Holiday",IF(Dashboard!$B$14="Interest Only",D350,D350+G350),0)</x:f>
        <x:v>0</x:v>
      </x:c>
      <x:c r="L350" s="32" t="n">
        <x:f>J350+K350</x:f>
        <x:v>0</x:v>
      </x:c>
      <x:c r="M350" s="32" t="n">
        <x:f>IF(A350=1,H350,M349+H350)</x:f>
        <x:v>0</x:v>
      </x:c>
      <x:c r="N350" s="32" t="n">
        <x:f>IF(A350=1,I350,N349+I350)</x:f>
        <x:v>0</x:v>
      </x:c>
      <x:c r="O350" s="32" t="n">
        <x:f>IF(A350=1,G350,O349+G350)</x:f>
        <x:v>3671325</x:v>
      </x:c>
      <x:c r="P350" s="37" t="n">
        <x:f>EDATE(Dashboard!$B$10,A350)</x:f>
        <x:v>55640</x:v>
      </x:c>
    </x:row>
    <x:row r="351">
      <x:c r="A351" s="33" t="n">
        <x:v>350</x:v>
      </x:c>
      <x:c r="B351" s="33" t="str">
        <x:f>IF(A351&lt;=Dashboard!$F$8,"Holiday",IF(A351&lt;=Dashboard!$F$8+Dashboard!$F$7,"Repayment","Closed"))</x:f>
        <x:v>Closed</x:v>
      </x:c>
      <x:c r="C351" s="32">
        <x:f>IF(A351=1,Dashboard!$B$6,IF(B351="Holiday",J350,L350))</x:f>
      </x:c>
      <x:c r="D351" s="32">
        <x:f>IF(A351=1,0,IF(B351="Holiday",K350,0))</x:f>
      </x:c>
      <x:c r="E351" s="32">
        <x:f>C351+D351</x:f>
      </x:c>
      <x:c r="F351" s="32">
        <x:f>IF(B351="Holiday",IF(Dashboard!$B$14="Principal Only",MIN(Dashboard!$B$15,C351),0),0)</x:f>
      </x:c>
      <x:c r="G351" s="32" t="n">
        <x:f>IF(B351="Closed",0,IF(B351="Holiday",IF(Dashboard!$B$14="Interest Only",C351*Dashboard!$F$6,MAX(0,(C351-F351)*Dashboard!$F$6)),E351*Dashboard!$F$6))</x:f>
        <x:v>0</x:v>
      </x:c>
      <x:c r="H351" s="32" t="n">
        <x:f>IF(B351="Holiday",IF(Dashboard!$B$14="Interest Only",G351,F351),IF(B351="Closed",0,MIN(Dashboard!$F$10,E351+G351)))</x:f>
        <x:v>0</x:v>
      </x:c>
      <x:c r="I351" s="32" t="n">
        <x:f>IF(B351="Holiday",F351,IF(B351="Closed",0,MAX(0,H351-G351)))</x:f>
        <x:v>0</x:v>
      </x:c>
      <x:c r="J351" s="32" t="n">
        <x:f>IF(B351="Holiday",MAX(0,C351-F351),IF(B351="Closed",0,MAX(0,E351-I351)))</x:f>
        <x:v>0</x:v>
      </x:c>
      <x:c r="K351" s="32" t="n">
        <x:f>IF(B351="Holiday",IF(Dashboard!$B$14="Interest Only",D351,D351+G351),0)</x:f>
        <x:v>0</x:v>
      </x:c>
      <x:c r="L351" s="32" t="n">
        <x:f>J351+K351</x:f>
        <x:v>0</x:v>
      </x:c>
      <x:c r="M351" s="32" t="n">
        <x:f>IF(A351=1,H351,M350+H351)</x:f>
        <x:v>0</x:v>
      </x:c>
      <x:c r="N351" s="32" t="n">
        <x:f>IF(A351=1,I351,N350+I351)</x:f>
        <x:v>0</x:v>
      </x:c>
      <x:c r="O351" s="32" t="n">
        <x:f>IF(A351=1,G351,O350+G351)</x:f>
        <x:v>3671325</x:v>
      </x:c>
      <x:c r="P351" s="37" t="n">
        <x:f>EDATE(Dashboard!$B$10,A351)</x:f>
        <x:v>55671</x:v>
      </x:c>
    </x:row>
    <x:row r="352">
      <x:c r="A352" s="33" t="n">
        <x:v>351</x:v>
      </x:c>
      <x:c r="B352" s="33" t="str">
        <x:f>IF(A352&lt;=Dashboard!$F$8,"Holiday",IF(A352&lt;=Dashboard!$F$8+Dashboard!$F$7,"Repayment","Closed"))</x:f>
        <x:v>Closed</x:v>
      </x:c>
      <x:c r="C352" s="32">
        <x:f>IF(A352=1,Dashboard!$B$6,IF(B352="Holiday",J351,L351))</x:f>
      </x:c>
      <x:c r="D352" s="32">
        <x:f>IF(A352=1,0,IF(B352="Holiday",K351,0))</x:f>
      </x:c>
      <x:c r="E352" s="32">
        <x:f>C352+D352</x:f>
      </x:c>
      <x:c r="F352" s="32">
        <x:f>IF(B352="Holiday",IF(Dashboard!$B$14="Principal Only",MIN(Dashboard!$B$15,C352),0),0)</x:f>
      </x:c>
      <x:c r="G352" s="32" t="n">
        <x:f>IF(B352="Closed",0,IF(B352="Holiday",IF(Dashboard!$B$14="Interest Only",C352*Dashboard!$F$6,MAX(0,(C352-F352)*Dashboard!$F$6)),E352*Dashboard!$F$6))</x:f>
        <x:v>0</x:v>
      </x:c>
      <x:c r="H352" s="32" t="n">
        <x:f>IF(B352="Holiday",IF(Dashboard!$B$14="Interest Only",G352,F352),IF(B352="Closed",0,MIN(Dashboard!$F$10,E352+G352)))</x:f>
        <x:v>0</x:v>
      </x:c>
      <x:c r="I352" s="32" t="n">
        <x:f>IF(B352="Holiday",F352,IF(B352="Closed",0,MAX(0,H352-G352)))</x:f>
        <x:v>0</x:v>
      </x:c>
      <x:c r="J352" s="32" t="n">
        <x:f>IF(B352="Holiday",MAX(0,C352-F352),IF(B352="Closed",0,MAX(0,E352-I352)))</x:f>
        <x:v>0</x:v>
      </x:c>
      <x:c r="K352" s="32" t="n">
        <x:f>IF(B352="Holiday",IF(Dashboard!$B$14="Interest Only",D352,D352+G352),0)</x:f>
        <x:v>0</x:v>
      </x:c>
      <x:c r="L352" s="32" t="n">
        <x:f>J352+K352</x:f>
        <x:v>0</x:v>
      </x:c>
      <x:c r="M352" s="32" t="n">
        <x:f>IF(A352=1,H352,M351+H352)</x:f>
        <x:v>0</x:v>
      </x:c>
      <x:c r="N352" s="32" t="n">
        <x:f>IF(A352=1,I352,N351+I352)</x:f>
        <x:v>0</x:v>
      </x:c>
      <x:c r="O352" s="32" t="n">
        <x:f>IF(A352=1,G352,O351+G352)</x:f>
        <x:v>3671325</x:v>
      </x:c>
      <x:c r="P352" s="37" t="n">
        <x:f>EDATE(Dashboard!$B$10,A352)</x:f>
        <x:v>55701</x:v>
      </x:c>
    </x:row>
    <x:row r="353">
      <x:c r="A353" s="33" t="n">
        <x:v>352</x:v>
      </x:c>
      <x:c r="B353" s="33" t="str">
        <x:f>IF(A353&lt;=Dashboard!$F$8,"Holiday",IF(A353&lt;=Dashboard!$F$8+Dashboard!$F$7,"Repayment","Closed"))</x:f>
        <x:v>Closed</x:v>
      </x:c>
      <x:c r="C353" s="32">
        <x:f>IF(A353=1,Dashboard!$B$6,IF(B353="Holiday",J352,L352))</x:f>
      </x:c>
      <x:c r="D353" s="32">
        <x:f>IF(A353=1,0,IF(B353="Holiday",K352,0))</x:f>
      </x:c>
      <x:c r="E353" s="32">
        <x:f>C353+D353</x:f>
      </x:c>
      <x:c r="F353" s="32">
        <x:f>IF(B353="Holiday",IF(Dashboard!$B$14="Principal Only",MIN(Dashboard!$B$15,C353),0),0)</x:f>
      </x:c>
      <x:c r="G353" s="32" t="n">
        <x:f>IF(B353="Closed",0,IF(B353="Holiday",IF(Dashboard!$B$14="Interest Only",C353*Dashboard!$F$6,MAX(0,(C353-F353)*Dashboard!$F$6)),E353*Dashboard!$F$6))</x:f>
        <x:v>0</x:v>
      </x:c>
      <x:c r="H353" s="32" t="n">
        <x:f>IF(B353="Holiday",IF(Dashboard!$B$14="Interest Only",G353,F353),IF(B353="Closed",0,MIN(Dashboard!$F$10,E353+G353)))</x:f>
        <x:v>0</x:v>
      </x:c>
      <x:c r="I353" s="32" t="n">
        <x:f>IF(B353="Holiday",F353,IF(B353="Closed",0,MAX(0,H353-G353)))</x:f>
        <x:v>0</x:v>
      </x:c>
      <x:c r="J353" s="32" t="n">
        <x:f>IF(B353="Holiday",MAX(0,C353-F353),IF(B353="Closed",0,MAX(0,E353-I353)))</x:f>
        <x:v>0</x:v>
      </x:c>
      <x:c r="K353" s="32" t="n">
        <x:f>IF(B353="Holiday",IF(Dashboard!$B$14="Interest Only",D353,D353+G353),0)</x:f>
        <x:v>0</x:v>
      </x:c>
      <x:c r="L353" s="32" t="n">
        <x:f>J353+K353</x:f>
        <x:v>0</x:v>
      </x:c>
      <x:c r="M353" s="32" t="n">
        <x:f>IF(A353=1,H353,M352+H353)</x:f>
        <x:v>0</x:v>
      </x:c>
      <x:c r="N353" s="32" t="n">
        <x:f>IF(A353=1,I353,N352+I353)</x:f>
        <x:v>0</x:v>
      </x:c>
      <x:c r="O353" s="32" t="n">
        <x:f>IF(A353=1,G353,O352+G353)</x:f>
        <x:v>3671325</x:v>
      </x:c>
      <x:c r="P353" s="37" t="n">
        <x:f>EDATE(Dashboard!$B$10,A353)</x:f>
        <x:v>55732</x:v>
      </x:c>
    </x:row>
    <x:row r="354">
      <x:c r="A354" s="33" t="n">
        <x:v>353</x:v>
      </x:c>
      <x:c r="B354" s="33" t="str">
        <x:f>IF(A354&lt;=Dashboard!$F$8,"Holiday",IF(A354&lt;=Dashboard!$F$8+Dashboard!$F$7,"Repayment","Closed"))</x:f>
        <x:v>Closed</x:v>
      </x:c>
      <x:c r="C354" s="32">
        <x:f>IF(A354=1,Dashboard!$B$6,IF(B354="Holiday",J353,L353))</x:f>
      </x:c>
      <x:c r="D354" s="32">
        <x:f>IF(A354=1,0,IF(B354="Holiday",K353,0))</x:f>
      </x:c>
      <x:c r="E354" s="32">
        <x:f>C354+D354</x:f>
      </x:c>
      <x:c r="F354" s="32">
        <x:f>IF(B354="Holiday",IF(Dashboard!$B$14="Principal Only",MIN(Dashboard!$B$15,C354),0),0)</x:f>
      </x:c>
      <x:c r="G354" s="32" t="n">
        <x:f>IF(B354="Closed",0,IF(B354="Holiday",IF(Dashboard!$B$14="Interest Only",C354*Dashboard!$F$6,MAX(0,(C354-F354)*Dashboard!$F$6)),E354*Dashboard!$F$6))</x:f>
        <x:v>0</x:v>
      </x:c>
      <x:c r="H354" s="32" t="n">
        <x:f>IF(B354="Holiday",IF(Dashboard!$B$14="Interest Only",G354,F354),IF(B354="Closed",0,MIN(Dashboard!$F$10,E354+G354)))</x:f>
        <x:v>0</x:v>
      </x:c>
      <x:c r="I354" s="32" t="n">
        <x:f>IF(B354="Holiday",F354,IF(B354="Closed",0,MAX(0,H354-G354)))</x:f>
        <x:v>0</x:v>
      </x:c>
      <x:c r="J354" s="32" t="n">
        <x:f>IF(B354="Holiday",MAX(0,C354-F354),IF(B354="Closed",0,MAX(0,E354-I354)))</x:f>
        <x:v>0</x:v>
      </x:c>
      <x:c r="K354" s="32" t="n">
        <x:f>IF(B354="Holiday",IF(Dashboard!$B$14="Interest Only",D354,D354+G354),0)</x:f>
        <x:v>0</x:v>
      </x:c>
      <x:c r="L354" s="32" t="n">
        <x:f>J354+K354</x:f>
        <x:v>0</x:v>
      </x:c>
      <x:c r="M354" s="32" t="n">
        <x:f>IF(A354=1,H354,M353+H354)</x:f>
        <x:v>0</x:v>
      </x:c>
      <x:c r="N354" s="32" t="n">
        <x:f>IF(A354=1,I354,N353+I354)</x:f>
        <x:v>0</x:v>
      </x:c>
      <x:c r="O354" s="32" t="n">
        <x:f>IF(A354=1,G354,O353+G354)</x:f>
        <x:v>3671325</x:v>
      </x:c>
      <x:c r="P354" s="37" t="n">
        <x:f>EDATE(Dashboard!$B$10,A354)</x:f>
        <x:v>55763</x:v>
      </x:c>
    </x:row>
    <x:row r="355">
      <x:c r="A355" s="33" t="n">
        <x:v>354</x:v>
      </x:c>
      <x:c r="B355" s="33" t="str">
        <x:f>IF(A355&lt;=Dashboard!$F$8,"Holiday",IF(A355&lt;=Dashboard!$F$8+Dashboard!$F$7,"Repayment","Closed"))</x:f>
        <x:v>Closed</x:v>
      </x:c>
      <x:c r="C355" s="32">
        <x:f>IF(A355=1,Dashboard!$B$6,IF(B355="Holiday",J354,L354))</x:f>
      </x:c>
      <x:c r="D355" s="32">
        <x:f>IF(A355=1,0,IF(B355="Holiday",K354,0))</x:f>
      </x:c>
      <x:c r="E355" s="32">
        <x:f>C355+D355</x:f>
      </x:c>
      <x:c r="F355" s="32">
        <x:f>IF(B355="Holiday",IF(Dashboard!$B$14="Principal Only",MIN(Dashboard!$B$15,C355),0),0)</x:f>
      </x:c>
      <x:c r="G355" s="32" t="n">
        <x:f>IF(B355="Closed",0,IF(B355="Holiday",IF(Dashboard!$B$14="Interest Only",C355*Dashboard!$F$6,MAX(0,(C355-F355)*Dashboard!$F$6)),E355*Dashboard!$F$6))</x:f>
        <x:v>0</x:v>
      </x:c>
      <x:c r="H355" s="32" t="n">
        <x:f>IF(B355="Holiday",IF(Dashboard!$B$14="Interest Only",G355,F355),IF(B355="Closed",0,MIN(Dashboard!$F$10,E355+G355)))</x:f>
        <x:v>0</x:v>
      </x:c>
      <x:c r="I355" s="32" t="n">
        <x:f>IF(B355="Holiday",F355,IF(B355="Closed",0,MAX(0,H355-G355)))</x:f>
        <x:v>0</x:v>
      </x:c>
      <x:c r="J355" s="32" t="n">
        <x:f>IF(B355="Holiday",MAX(0,C355-F355),IF(B355="Closed",0,MAX(0,E355-I355)))</x:f>
        <x:v>0</x:v>
      </x:c>
      <x:c r="K355" s="32" t="n">
        <x:f>IF(B355="Holiday",IF(Dashboard!$B$14="Interest Only",D355,D355+G355),0)</x:f>
        <x:v>0</x:v>
      </x:c>
      <x:c r="L355" s="32" t="n">
        <x:f>J355+K355</x:f>
        <x:v>0</x:v>
      </x:c>
      <x:c r="M355" s="32" t="n">
        <x:f>IF(A355=1,H355,M354+H355)</x:f>
        <x:v>0</x:v>
      </x:c>
      <x:c r="N355" s="32" t="n">
        <x:f>IF(A355=1,I355,N354+I355)</x:f>
        <x:v>0</x:v>
      </x:c>
      <x:c r="O355" s="32" t="n">
        <x:f>IF(A355=1,G355,O354+G355)</x:f>
        <x:v>3671325</x:v>
      </x:c>
      <x:c r="P355" s="37" t="n">
        <x:f>EDATE(Dashboard!$B$10,A355)</x:f>
        <x:v>55793</x:v>
      </x:c>
    </x:row>
    <x:row r="356">
      <x:c r="A356" s="33" t="n">
        <x:v>355</x:v>
      </x:c>
      <x:c r="B356" s="33" t="str">
        <x:f>IF(A356&lt;=Dashboard!$F$8,"Holiday",IF(A356&lt;=Dashboard!$F$8+Dashboard!$F$7,"Repayment","Closed"))</x:f>
        <x:v>Closed</x:v>
      </x:c>
      <x:c r="C356" s="32">
        <x:f>IF(A356=1,Dashboard!$B$6,IF(B356="Holiday",J355,L355))</x:f>
      </x:c>
      <x:c r="D356" s="32">
        <x:f>IF(A356=1,0,IF(B356="Holiday",K355,0))</x:f>
      </x:c>
      <x:c r="E356" s="32">
        <x:f>C356+D356</x:f>
      </x:c>
      <x:c r="F356" s="32">
        <x:f>IF(B356="Holiday",IF(Dashboard!$B$14="Principal Only",MIN(Dashboard!$B$15,C356),0),0)</x:f>
      </x:c>
      <x:c r="G356" s="32" t="n">
        <x:f>IF(B356="Closed",0,IF(B356="Holiday",IF(Dashboard!$B$14="Interest Only",C356*Dashboard!$F$6,MAX(0,(C356-F356)*Dashboard!$F$6)),E356*Dashboard!$F$6))</x:f>
        <x:v>0</x:v>
      </x:c>
      <x:c r="H356" s="32" t="n">
        <x:f>IF(B356="Holiday",IF(Dashboard!$B$14="Interest Only",G356,F356),IF(B356="Closed",0,MIN(Dashboard!$F$10,E356+G356)))</x:f>
        <x:v>0</x:v>
      </x:c>
      <x:c r="I356" s="32" t="n">
        <x:f>IF(B356="Holiday",F356,IF(B356="Closed",0,MAX(0,H356-G356)))</x:f>
        <x:v>0</x:v>
      </x:c>
      <x:c r="J356" s="32" t="n">
        <x:f>IF(B356="Holiday",MAX(0,C356-F356),IF(B356="Closed",0,MAX(0,E356-I356)))</x:f>
        <x:v>0</x:v>
      </x:c>
      <x:c r="K356" s="32" t="n">
        <x:f>IF(B356="Holiday",IF(Dashboard!$B$14="Interest Only",D356,D356+G356),0)</x:f>
        <x:v>0</x:v>
      </x:c>
      <x:c r="L356" s="32" t="n">
        <x:f>J356+K356</x:f>
        <x:v>0</x:v>
      </x:c>
      <x:c r="M356" s="32" t="n">
        <x:f>IF(A356=1,H356,M355+H356)</x:f>
        <x:v>0</x:v>
      </x:c>
      <x:c r="N356" s="32" t="n">
        <x:f>IF(A356=1,I356,N355+I356)</x:f>
        <x:v>0</x:v>
      </x:c>
      <x:c r="O356" s="32" t="n">
        <x:f>IF(A356=1,G356,O355+G356)</x:f>
        <x:v>3671325</x:v>
      </x:c>
      <x:c r="P356" s="37" t="n">
        <x:f>EDATE(Dashboard!$B$10,A356)</x:f>
        <x:v>55824</x:v>
      </x:c>
    </x:row>
    <x:row r="357">
      <x:c r="A357" s="33" t="n">
        <x:v>356</x:v>
      </x:c>
      <x:c r="B357" s="33" t="str">
        <x:f>IF(A357&lt;=Dashboard!$F$8,"Holiday",IF(A357&lt;=Dashboard!$F$8+Dashboard!$F$7,"Repayment","Closed"))</x:f>
        <x:v>Closed</x:v>
      </x:c>
      <x:c r="C357" s="32">
        <x:f>IF(A357=1,Dashboard!$B$6,IF(B357="Holiday",J356,L356))</x:f>
      </x:c>
      <x:c r="D357" s="32">
        <x:f>IF(A357=1,0,IF(B357="Holiday",K356,0))</x:f>
      </x:c>
      <x:c r="E357" s="32">
        <x:f>C357+D357</x:f>
      </x:c>
      <x:c r="F357" s="32">
        <x:f>IF(B357="Holiday",IF(Dashboard!$B$14="Principal Only",MIN(Dashboard!$B$15,C357),0),0)</x:f>
      </x:c>
      <x:c r="G357" s="32" t="n">
        <x:f>IF(B357="Closed",0,IF(B357="Holiday",IF(Dashboard!$B$14="Interest Only",C357*Dashboard!$F$6,MAX(0,(C357-F357)*Dashboard!$F$6)),E357*Dashboard!$F$6))</x:f>
        <x:v>0</x:v>
      </x:c>
      <x:c r="H357" s="32" t="n">
        <x:f>IF(B357="Holiday",IF(Dashboard!$B$14="Interest Only",G357,F357),IF(B357="Closed",0,MIN(Dashboard!$F$10,E357+G357)))</x:f>
        <x:v>0</x:v>
      </x:c>
      <x:c r="I357" s="32" t="n">
        <x:f>IF(B357="Holiday",F357,IF(B357="Closed",0,MAX(0,H357-G357)))</x:f>
        <x:v>0</x:v>
      </x:c>
      <x:c r="J357" s="32" t="n">
        <x:f>IF(B357="Holiday",MAX(0,C357-F357),IF(B357="Closed",0,MAX(0,E357-I357)))</x:f>
        <x:v>0</x:v>
      </x:c>
      <x:c r="K357" s="32" t="n">
        <x:f>IF(B357="Holiday",IF(Dashboard!$B$14="Interest Only",D357,D357+G357),0)</x:f>
        <x:v>0</x:v>
      </x:c>
      <x:c r="L357" s="32" t="n">
        <x:f>J357+K357</x:f>
        <x:v>0</x:v>
      </x:c>
      <x:c r="M357" s="32" t="n">
        <x:f>IF(A357=1,H357,M356+H357)</x:f>
        <x:v>0</x:v>
      </x:c>
      <x:c r="N357" s="32" t="n">
        <x:f>IF(A357=1,I357,N356+I357)</x:f>
        <x:v>0</x:v>
      </x:c>
      <x:c r="O357" s="32" t="n">
        <x:f>IF(A357=1,G357,O356+G357)</x:f>
        <x:v>3671325</x:v>
      </x:c>
      <x:c r="P357" s="37" t="n">
        <x:f>EDATE(Dashboard!$B$10,A357)</x:f>
        <x:v>55854</x:v>
      </x:c>
    </x:row>
    <x:row r="358">
      <x:c r="A358" s="33" t="n">
        <x:v>357</x:v>
      </x:c>
      <x:c r="B358" s="33" t="str">
        <x:f>IF(A358&lt;=Dashboard!$F$8,"Holiday",IF(A358&lt;=Dashboard!$F$8+Dashboard!$F$7,"Repayment","Closed"))</x:f>
        <x:v>Closed</x:v>
      </x:c>
      <x:c r="C358" s="32">
        <x:f>IF(A358=1,Dashboard!$B$6,IF(B358="Holiday",J357,L357))</x:f>
      </x:c>
      <x:c r="D358" s="32">
        <x:f>IF(A358=1,0,IF(B358="Holiday",K357,0))</x:f>
      </x:c>
      <x:c r="E358" s="32">
        <x:f>C358+D358</x:f>
      </x:c>
      <x:c r="F358" s="32">
        <x:f>IF(B358="Holiday",IF(Dashboard!$B$14="Principal Only",MIN(Dashboard!$B$15,C358),0),0)</x:f>
      </x:c>
      <x:c r="G358" s="32" t="n">
        <x:f>IF(B358="Closed",0,IF(B358="Holiday",IF(Dashboard!$B$14="Interest Only",C358*Dashboard!$F$6,MAX(0,(C358-F358)*Dashboard!$F$6)),E358*Dashboard!$F$6))</x:f>
        <x:v>0</x:v>
      </x:c>
      <x:c r="H358" s="32" t="n">
        <x:f>IF(B358="Holiday",IF(Dashboard!$B$14="Interest Only",G358,F358),IF(B358="Closed",0,MIN(Dashboard!$F$10,E358+G358)))</x:f>
        <x:v>0</x:v>
      </x:c>
      <x:c r="I358" s="32" t="n">
        <x:f>IF(B358="Holiday",F358,IF(B358="Closed",0,MAX(0,H358-G358)))</x:f>
        <x:v>0</x:v>
      </x:c>
      <x:c r="J358" s="32" t="n">
        <x:f>IF(B358="Holiday",MAX(0,C358-F358),IF(B358="Closed",0,MAX(0,E358-I358)))</x:f>
        <x:v>0</x:v>
      </x:c>
      <x:c r="K358" s="32" t="n">
        <x:f>IF(B358="Holiday",IF(Dashboard!$B$14="Interest Only",D358,D358+G358),0)</x:f>
        <x:v>0</x:v>
      </x:c>
      <x:c r="L358" s="32" t="n">
        <x:f>J358+K358</x:f>
        <x:v>0</x:v>
      </x:c>
      <x:c r="M358" s="32" t="n">
        <x:f>IF(A358=1,H358,M357+H358)</x:f>
        <x:v>0</x:v>
      </x:c>
      <x:c r="N358" s="32" t="n">
        <x:f>IF(A358=1,I358,N357+I358)</x:f>
        <x:v>0</x:v>
      </x:c>
      <x:c r="O358" s="32" t="n">
        <x:f>IF(A358=1,G358,O357+G358)</x:f>
        <x:v>3671325</x:v>
      </x:c>
      <x:c r="P358" s="37" t="n">
        <x:f>EDATE(Dashboard!$B$10,A358)</x:f>
        <x:v>55885</x:v>
      </x:c>
    </x:row>
    <x:row r="359">
      <x:c r="A359" s="33" t="n">
        <x:v>358</x:v>
      </x:c>
      <x:c r="B359" s="33" t="str">
        <x:f>IF(A359&lt;=Dashboard!$F$8,"Holiday",IF(A359&lt;=Dashboard!$F$8+Dashboard!$F$7,"Repayment","Closed"))</x:f>
        <x:v>Closed</x:v>
      </x:c>
      <x:c r="C359" s="32">
        <x:f>IF(A359=1,Dashboard!$B$6,IF(B359="Holiday",J358,L358))</x:f>
      </x:c>
      <x:c r="D359" s="32">
        <x:f>IF(A359=1,0,IF(B359="Holiday",K358,0))</x:f>
      </x:c>
      <x:c r="E359" s="32">
        <x:f>C359+D359</x:f>
      </x:c>
      <x:c r="F359" s="32">
        <x:f>IF(B359="Holiday",IF(Dashboard!$B$14="Principal Only",MIN(Dashboard!$B$15,C359),0),0)</x:f>
      </x:c>
      <x:c r="G359" s="32" t="n">
        <x:f>IF(B359="Closed",0,IF(B359="Holiday",IF(Dashboard!$B$14="Interest Only",C359*Dashboard!$F$6,MAX(0,(C359-F359)*Dashboard!$F$6)),E359*Dashboard!$F$6))</x:f>
        <x:v>0</x:v>
      </x:c>
      <x:c r="H359" s="32" t="n">
        <x:f>IF(B359="Holiday",IF(Dashboard!$B$14="Interest Only",G359,F359),IF(B359="Closed",0,MIN(Dashboard!$F$10,E359+G359)))</x:f>
        <x:v>0</x:v>
      </x:c>
      <x:c r="I359" s="32" t="n">
        <x:f>IF(B359="Holiday",F359,IF(B359="Closed",0,MAX(0,H359-G359)))</x:f>
        <x:v>0</x:v>
      </x:c>
      <x:c r="J359" s="32" t="n">
        <x:f>IF(B359="Holiday",MAX(0,C359-F359),IF(B359="Closed",0,MAX(0,E359-I359)))</x:f>
        <x:v>0</x:v>
      </x:c>
      <x:c r="K359" s="32" t="n">
        <x:f>IF(B359="Holiday",IF(Dashboard!$B$14="Interest Only",D359,D359+G359),0)</x:f>
        <x:v>0</x:v>
      </x:c>
      <x:c r="L359" s="32" t="n">
        <x:f>J359+K359</x:f>
        <x:v>0</x:v>
      </x:c>
      <x:c r="M359" s="32" t="n">
        <x:f>IF(A359=1,H359,M358+H359)</x:f>
        <x:v>0</x:v>
      </x:c>
      <x:c r="N359" s="32" t="n">
        <x:f>IF(A359=1,I359,N358+I359)</x:f>
        <x:v>0</x:v>
      </x:c>
      <x:c r="O359" s="32" t="n">
        <x:f>IF(A359=1,G359,O358+G359)</x:f>
        <x:v>3671325</x:v>
      </x:c>
      <x:c r="P359" s="37" t="n">
        <x:f>EDATE(Dashboard!$B$10,A359)</x:f>
        <x:v>55916</x:v>
      </x:c>
    </x:row>
    <x:row r="360">
      <x:c r="A360" s="33" t="n">
        <x:v>359</x:v>
      </x:c>
      <x:c r="B360" s="33" t="str">
        <x:f>IF(A360&lt;=Dashboard!$F$8,"Holiday",IF(A360&lt;=Dashboard!$F$8+Dashboard!$F$7,"Repayment","Closed"))</x:f>
        <x:v>Closed</x:v>
      </x:c>
      <x:c r="C360" s="32">
        <x:f>IF(A360=1,Dashboard!$B$6,IF(B360="Holiday",J359,L359))</x:f>
      </x:c>
      <x:c r="D360" s="32">
        <x:f>IF(A360=1,0,IF(B360="Holiday",K359,0))</x:f>
      </x:c>
      <x:c r="E360" s="32">
        <x:f>C360+D360</x:f>
      </x:c>
      <x:c r="F360" s="32">
        <x:f>IF(B360="Holiday",IF(Dashboard!$B$14="Principal Only",MIN(Dashboard!$B$15,C360),0),0)</x:f>
      </x:c>
      <x:c r="G360" s="32" t="n">
        <x:f>IF(B360="Closed",0,IF(B360="Holiday",IF(Dashboard!$B$14="Interest Only",C360*Dashboard!$F$6,MAX(0,(C360-F360)*Dashboard!$F$6)),E360*Dashboard!$F$6))</x:f>
        <x:v>0</x:v>
      </x:c>
      <x:c r="H360" s="32" t="n">
        <x:f>IF(B360="Holiday",IF(Dashboard!$B$14="Interest Only",G360,F360),IF(B360="Closed",0,MIN(Dashboard!$F$10,E360+G360)))</x:f>
        <x:v>0</x:v>
      </x:c>
      <x:c r="I360" s="32" t="n">
        <x:f>IF(B360="Holiday",F360,IF(B360="Closed",0,MAX(0,H360-G360)))</x:f>
        <x:v>0</x:v>
      </x:c>
      <x:c r="J360" s="32" t="n">
        <x:f>IF(B360="Holiday",MAX(0,C360-F360),IF(B360="Closed",0,MAX(0,E360-I360)))</x:f>
        <x:v>0</x:v>
      </x:c>
      <x:c r="K360" s="32" t="n">
        <x:f>IF(B360="Holiday",IF(Dashboard!$B$14="Interest Only",D360,D360+G360),0)</x:f>
        <x:v>0</x:v>
      </x:c>
      <x:c r="L360" s="32" t="n">
        <x:f>J360+K360</x:f>
        <x:v>0</x:v>
      </x:c>
      <x:c r="M360" s="32" t="n">
        <x:f>IF(A360=1,H360,M359+H360)</x:f>
        <x:v>0</x:v>
      </x:c>
      <x:c r="N360" s="32" t="n">
        <x:f>IF(A360=1,I360,N359+I360)</x:f>
        <x:v>0</x:v>
      </x:c>
      <x:c r="O360" s="32" t="n">
        <x:f>IF(A360=1,G360,O359+G360)</x:f>
        <x:v>3671325</x:v>
      </x:c>
      <x:c r="P360" s="37" t="n">
        <x:f>EDATE(Dashboard!$B$10,A360)</x:f>
        <x:v>55944</x:v>
      </x:c>
    </x:row>
    <x:row r="361">
      <x:c r="A361" s="33" t="n">
        <x:v>360</x:v>
      </x:c>
      <x:c r="B361" s="33" t="str">
        <x:f>IF(A361&lt;=Dashboard!$F$8,"Holiday",IF(A361&lt;=Dashboard!$F$8+Dashboard!$F$7,"Repayment","Closed"))</x:f>
        <x:v>Closed</x:v>
      </x:c>
      <x:c r="C361" s="32">
        <x:f>IF(A361=1,Dashboard!$B$6,IF(B361="Holiday",J360,L360))</x:f>
      </x:c>
      <x:c r="D361" s="32">
        <x:f>IF(A361=1,0,IF(B361="Holiday",K360,0))</x:f>
      </x:c>
      <x:c r="E361" s="32">
        <x:f>C361+D361</x:f>
      </x:c>
      <x:c r="F361" s="32">
        <x:f>IF(B361="Holiday",IF(Dashboard!$B$14="Principal Only",MIN(Dashboard!$B$15,C361),0),0)</x:f>
      </x:c>
      <x:c r="G361" s="32" t="n">
        <x:f>IF(B361="Closed",0,IF(B361="Holiday",IF(Dashboard!$B$14="Interest Only",C361*Dashboard!$F$6,MAX(0,(C361-F361)*Dashboard!$F$6)),E361*Dashboard!$F$6))</x:f>
        <x:v>0</x:v>
      </x:c>
      <x:c r="H361" s="32" t="n">
        <x:f>IF(B361="Holiday",IF(Dashboard!$B$14="Interest Only",G361,F361),IF(B361="Closed",0,MIN(Dashboard!$F$10,E361+G361)))</x:f>
        <x:v>0</x:v>
      </x:c>
      <x:c r="I361" s="32" t="n">
        <x:f>IF(B361="Holiday",F361,IF(B361="Closed",0,MAX(0,H361-G361)))</x:f>
        <x:v>0</x:v>
      </x:c>
      <x:c r="J361" s="32" t="n">
        <x:f>IF(B361="Holiday",MAX(0,C361-F361),IF(B361="Closed",0,MAX(0,E361-I361)))</x:f>
        <x:v>0</x:v>
      </x:c>
      <x:c r="K361" s="32" t="n">
        <x:f>IF(B361="Holiday",IF(Dashboard!$B$14="Interest Only",D361,D361+G361),0)</x:f>
        <x:v>0</x:v>
      </x:c>
      <x:c r="L361" s="32" t="n">
        <x:f>J361+K361</x:f>
        <x:v>0</x:v>
      </x:c>
      <x:c r="M361" s="32" t="n">
        <x:f>IF(A361=1,H361,M360+H361)</x:f>
        <x:v>0</x:v>
      </x:c>
      <x:c r="N361" s="32" t="n">
        <x:f>IF(A361=1,I361,N360+I361)</x:f>
        <x:v>0</x:v>
      </x:c>
      <x:c r="O361" s="32" t="n">
        <x:f>IF(A361=1,G361,O360+G361)</x:f>
        <x:v>3671325</x:v>
      </x:c>
      <x:c r="P361" s="37" t="n">
        <x:f>EDATE(Dashboard!$B$10,A361)</x:f>
        <x:v>55975</x:v>
      </x:c>
    </x:row>
    <x:row r="362">
      <x:c r="A362" s="33" t="n">
        <x:v>361</x:v>
      </x:c>
      <x:c r="B362" s="33" t="str">
        <x:f>IF(A362&lt;=Dashboard!$F$8,"Holiday",IF(A362&lt;=Dashboard!$F$8+Dashboard!$F$7,"Repayment","Closed"))</x:f>
        <x:v>Closed</x:v>
      </x:c>
      <x:c r="C362" s="32">
        <x:f>IF(A362=1,Dashboard!$B$6,IF(B362="Holiday",J361,L361))</x:f>
      </x:c>
      <x:c r="D362" s="32">
        <x:f>IF(A362=1,0,IF(B362="Holiday",K361,0))</x:f>
      </x:c>
      <x:c r="E362" s="32">
        <x:f>C362+D362</x:f>
      </x:c>
      <x:c r="F362" s="32">
        <x:f>IF(B362="Holiday",IF(Dashboard!$B$14="Principal Only",MIN(Dashboard!$B$15,C362),0),0)</x:f>
      </x:c>
      <x:c r="G362" s="32" t="n">
        <x:f>IF(B362="Closed",0,IF(B362="Holiday",IF(Dashboard!$B$14="Interest Only",C362*Dashboard!$F$6,MAX(0,(C362-F362)*Dashboard!$F$6)),E362*Dashboard!$F$6))</x:f>
        <x:v>0</x:v>
      </x:c>
      <x:c r="H362" s="32" t="n">
        <x:f>IF(B362="Holiday",IF(Dashboard!$B$14="Interest Only",G362,F362),IF(B362="Closed",0,MIN(Dashboard!$F$10,E362+G362)))</x:f>
        <x:v>0</x:v>
      </x:c>
      <x:c r="I362" s="32" t="n">
        <x:f>IF(B362="Holiday",F362,IF(B362="Closed",0,MAX(0,H362-G362)))</x:f>
        <x:v>0</x:v>
      </x:c>
      <x:c r="J362" s="32" t="n">
        <x:f>IF(B362="Holiday",MAX(0,C362-F362),IF(B362="Closed",0,MAX(0,E362-I362)))</x:f>
        <x:v>0</x:v>
      </x:c>
      <x:c r="K362" s="32" t="n">
        <x:f>IF(B362="Holiday",IF(Dashboard!$B$14="Interest Only",D362,D362+G362),0)</x:f>
        <x:v>0</x:v>
      </x:c>
      <x:c r="L362" s="32" t="n">
        <x:f>J362+K362</x:f>
        <x:v>0</x:v>
      </x:c>
      <x:c r="M362" s="32" t="n">
        <x:f>IF(A362=1,H362,M361+H362)</x:f>
        <x:v>0</x:v>
      </x:c>
      <x:c r="N362" s="32" t="n">
        <x:f>IF(A362=1,I362,N361+I362)</x:f>
        <x:v>0</x:v>
      </x:c>
      <x:c r="O362" s="32" t="n">
        <x:f>IF(A362=1,G362,O361+G362)</x:f>
        <x:v>3671325</x:v>
      </x:c>
      <x:c r="P362" s="37" t="n">
        <x:f>EDATE(Dashboard!$B$10,A362)</x:f>
        <x:v>56005</x:v>
      </x:c>
    </x:row>
    <x:row r="363">
      <x:c r="A363" s="33" t="n">
        <x:v>362</x:v>
      </x:c>
      <x:c r="B363" s="33" t="str">
        <x:f>IF(A363&lt;=Dashboard!$F$8,"Holiday",IF(A363&lt;=Dashboard!$F$8+Dashboard!$F$7,"Repayment","Closed"))</x:f>
        <x:v>Closed</x:v>
      </x:c>
      <x:c r="C363" s="32">
        <x:f>IF(A363=1,Dashboard!$B$6,IF(B363="Holiday",J362,L362))</x:f>
      </x:c>
      <x:c r="D363" s="32">
        <x:f>IF(A363=1,0,IF(B363="Holiday",K362,0))</x:f>
      </x:c>
      <x:c r="E363" s="32">
        <x:f>C363+D363</x:f>
      </x:c>
      <x:c r="F363" s="32">
        <x:f>IF(B363="Holiday",IF(Dashboard!$B$14="Principal Only",MIN(Dashboard!$B$15,C363),0),0)</x:f>
      </x:c>
      <x:c r="G363" s="32" t="n">
        <x:f>IF(B363="Closed",0,IF(B363="Holiday",IF(Dashboard!$B$14="Interest Only",C363*Dashboard!$F$6,MAX(0,(C363-F363)*Dashboard!$F$6)),E363*Dashboard!$F$6))</x:f>
        <x:v>0</x:v>
      </x:c>
      <x:c r="H363" s="32" t="n">
        <x:f>IF(B363="Holiday",IF(Dashboard!$B$14="Interest Only",G363,F363),IF(B363="Closed",0,MIN(Dashboard!$F$10,E363+G363)))</x:f>
        <x:v>0</x:v>
      </x:c>
      <x:c r="I363" s="32" t="n">
        <x:f>IF(B363="Holiday",F363,IF(B363="Closed",0,MAX(0,H363-G363)))</x:f>
        <x:v>0</x:v>
      </x:c>
      <x:c r="J363" s="32" t="n">
        <x:f>IF(B363="Holiday",MAX(0,C363-F363),IF(B363="Closed",0,MAX(0,E363-I363)))</x:f>
        <x:v>0</x:v>
      </x:c>
      <x:c r="K363" s="32" t="n">
        <x:f>IF(B363="Holiday",IF(Dashboard!$B$14="Interest Only",D363,D363+G363),0)</x:f>
        <x:v>0</x:v>
      </x:c>
      <x:c r="L363" s="32" t="n">
        <x:f>J363+K363</x:f>
        <x:v>0</x:v>
      </x:c>
      <x:c r="M363" s="32" t="n">
        <x:f>IF(A363=1,H363,M362+H363)</x:f>
        <x:v>0</x:v>
      </x:c>
      <x:c r="N363" s="32" t="n">
        <x:f>IF(A363=1,I363,N362+I363)</x:f>
        <x:v>0</x:v>
      </x:c>
      <x:c r="O363" s="32" t="n">
        <x:f>IF(A363=1,G363,O362+G363)</x:f>
        <x:v>3671325</x:v>
      </x:c>
      <x:c r="P363" s="37" t="n">
        <x:f>EDATE(Dashboard!$B$10,A363)</x:f>
        <x:v>56036</x:v>
      </x:c>
    </x:row>
    <x:row r="364">
      <x:c r="A364" s="33" t="n">
        <x:v>363</x:v>
      </x:c>
      <x:c r="B364" s="33" t="str">
        <x:f>IF(A364&lt;=Dashboard!$F$8,"Holiday",IF(A364&lt;=Dashboard!$F$8+Dashboard!$F$7,"Repayment","Closed"))</x:f>
        <x:v>Closed</x:v>
      </x:c>
      <x:c r="C364" s="32">
        <x:f>IF(A364=1,Dashboard!$B$6,IF(B364="Holiday",J363,L363))</x:f>
      </x:c>
      <x:c r="D364" s="32">
        <x:f>IF(A364=1,0,IF(B364="Holiday",K363,0))</x:f>
      </x:c>
      <x:c r="E364" s="32">
        <x:f>C364+D364</x:f>
      </x:c>
      <x:c r="F364" s="32">
        <x:f>IF(B364="Holiday",IF(Dashboard!$B$14="Principal Only",MIN(Dashboard!$B$15,C364),0),0)</x:f>
      </x:c>
      <x:c r="G364" s="32" t="n">
        <x:f>IF(B364="Closed",0,IF(B364="Holiday",IF(Dashboard!$B$14="Interest Only",C364*Dashboard!$F$6,MAX(0,(C364-F364)*Dashboard!$F$6)),E364*Dashboard!$F$6))</x:f>
        <x:v>0</x:v>
      </x:c>
      <x:c r="H364" s="32" t="n">
        <x:f>IF(B364="Holiday",IF(Dashboard!$B$14="Interest Only",G364,F364),IF(B364="Closed",0,MIN(Dashboard!$F$10,E364+G364)))</x:f>
        <x:v>0</x:v>
      </x:c>
      <x:c r="I364" s="32" t="n">
        <x:f>IF(B364="Holiday",F364,IF(B364="Closed",0,MAX(0,H364-G364)))</x:f>
        <x:v>0</x:v>
      </x:c>
      <x:c r="J364" s="32" t="n">
        <x:f>IF(B364="Holiday",MAX(0,C364-F364),IF(B364="Closed",0,MAX(0,E364-I364)))</x:f>
        <x:v>0</x:v>
      </x:c>
      <x:c r="K364" s="32" t="n">
        <x:f>IF(B364="Holiday",IF(Dashboard!$B$14="Interest Only",D364,D364+G364),0)</x:f>
        <x:v>0</x:v>
      </x:c>
      <x:c r="L364" s="32" t="n">
        <x:f>J364+K364</x:f>
        <x:v>0</x:v>
      </x:c>
      <x:c r="M364" s="32" t="n">
        <x:f>IF(A364=1,H364,M363+H364)</x:f>
        <x:v>0</x:v>
      </x:c>
      <x:c r="N364" s="32" t="n">
        <x:f>IF(A364=1,I364,N363+I364)</x:f>
        <x:v>0</x:v>
      </x:c>
      <x:c r="O364" s="32" t="n">
        <x:f>IF(A364=1,G364,O363+G364)</x:f>
        <x:v>3671325</x:v>
      </x:c>
      <x:c r="P364" s="37" t="n">
        <x:f>EDATE(Dashboard!$B$10,A364)</x:f>
        <x:v>56066</x:v>
      </x:c>
    </x:row>
    <x:row r="365">
      <x:c r="A365" s="33" t="n">
        <x:v>364</x:v>
      </x:c>
      <x:c r="B365" s="33" t="str">
        <x:f>IF(A365&lt;=Dashboard!$F$8,"Holiday",IF(A365&lt;=Dashboard!$F$8+Dashboard!$F$7,"Repayment","Closed"))</x:f>
        <x:v>Closed</x:v>
      </x:c>
      <x:c r="C365" s="32">
        <x:f>IF(A365=1,Dashboard!$B$6,IF(B365="Holiday",J364,L364))</x:f>
      </x:c>
      <x:c r="D365" s="32">
        <x:f>IF(A365=1,0,IF(B365="Holiday",K364,0))</x:f>
      </x:c>
      <x:c r="E365" s="32">
        <x:f>C365+D365</x:f>
      </x:c>
      <x:c r="F365" s="32">
        <x:f>IF(B365="Holiday",IF(Dashboard!$B$14="Principal Only",MIN(Dashboard!$B$15,C365),0),0)</x:f>
      </x:c>
      <x:c r="G365" s="32" t="n">
        <x:f>IF(B365="Closed",0,IF(B365="Holiday",IF(Dashboard!$B$14="Interest Only",C365*Dashboard!$F$6,MAX(0,(C365-F365)*Dashboard!$F$6)),E365*Dashboard!$F$6))</x:f>
        <x:v>0</x:v>
      </x:c>
      <x:c r="H365" s="32" t="n">
        <x:f>IF(B365="Holiday",IF(Dashboard!$B$14="Interest Only",G365,F365),IF(B365="Closed",0,MIN(Dashboard!$F$10,E365+G365)))</x:f>
        <x:v>0</x:v>
      </x:c>
      <x:c r="I365" s="32" t="n">
        <x:f>IF(B365="Holiday",F365,IF(B365="Closed",0,MAX(0,H365-G365)))</x:f>
        <x:v>0</x:v>
      </x:c>
      <x:c r="J365" s="32" t="n">
        <x:f>IF(B365="Holiday",MAX(0,C365-F365),IF(B365="Closed",0,MAX(0,E365-I365)))</x:f>
        <x:v>0</x:v>
      </x:c>
      <x:c r="K365" s="32" t="n">
        <x:f>IF(B365="Holiday",IF(Dashboard!$B$14="Interest Only",D365,D365+G365),0)</x:f>
        <x:v>0</x:v>
      </x:c>
      <x:c r="L365" s="32" t="n">
        <x:f>J365+K365</x:f>
        <x:v>0</x:v>
      </x:c>
      <x:c r="M365" s="32" t="n">
        <x:f>IF(A365=1,H365,M364+H365)</x:f>
        <x:v>0</x:v>
      </x:c>
      <x:c r="N365" s="32" t="n">
        <x:f>IF(A365=1,I365,N364+I365)</x:f>
        <x:v>0</x:v>
      </x:c>
      <x:c r="O365" s="32" t="n">
        <x:f>IF(A365=1,G365,O364+G365)</x:f>
        <x:v>3671325</x:v>
      </x:c>
      <x:c r="P365" s="37" t="n">
        <x:f>EDATE(Dashboard!$B$10,A365)</x:f>
        <x:v>56097</x:v>
      </x:c>
    </x:row>
    <x:row r="366">
      <x:c r="A366" s="33" t="n">
        <x:v>365</x:v>
      </x:c>
      <x:c r="B366" s="33" t="str">
        <x:f>IF(A366&lt;=Dashboard!$F$8,"Holiday",IF(A366&lt;=Dashboard!$F$8+Dashboard!$F$7,"Repayment","Closed"))</x:f>
        <x:v>Closed</x:v>
      </x:c>
      <x:c r="C366" s="32">
        <x:f>IF(A366=1,Dashboard!$B$6,IF(B366="Holiday",J365,L365))</x:f>
      </x:c>
      <x:c r="D366" s="32">
        <x:f>IF(A366=1,0,IF(B366="Holiday",K365,0))</x:f>
      </x:c>
      <x:c r="E366" s="32">
        <x:f>C366+D366</x:f>
      </x:c>
      <x:c r="F366" s="32">
        <x:f>IF(B366="Holiday",IF(Dashboard!$B$14="Principal Only",MIN(Dashboard!$B$15,C366),0),0)</x:f>
      </x:c>
      <x:c r="G366" s="32" t="n">
        <x:f>IF(B366="Closed",0,IF(B366="Holiday",IF(Dashboard!$B$14="Interest Only",C366*Dashboard!$F$6,MAX(0,(C366-F366)*Dashboard!$F$6)),E366*Dashboard!$F$6))</x:f>
        <x:v>0</x:v>
      </x:c>
      <x:c r="H366" s="32" t="n">
        <x:f>IF(B366="Holiday",IF(Dashboard!$B$14="Interest Only",G366,F366),IF(B366="Closed",0,MIN(Dashboard!$F$10,E366+G366)))</x:f>
        <x:v>0</x:v>
      </x:c>
      <x:c r="I366" s="32" t="n">
        <x:f>IF(B366="Holiday",F366,IF(B366="Closed",0,MAX(0,H366-G366)))</x:f>
        <x:v>0</x:v>
      </x:c>
      <x:c r="J366" s="32" t="n">
        <x:f>IF(B366="Holiday",MAX(0,C366-F366),IF(B366="Closed",0,MAX(0,E366-I366)))</x:f>
        <x:v>0</x:v>
      </x:c>
      <x:c r="K366" s="32" t="n">
        <x:f>IF(B366="Holiday",IF(Dashboard!$B$14="Interest Only",D366,D366+G366),0)</x:f>
        <x:v>0</x:v>
      </x:c>
      <x:c r="L366" s="32" t="n">
        <x:f>J366+K366</x:f>
        <x:v>0</x:v>
      </x:c>
      <x:c r="M366" s="32" t="n">
        <x:f>IF(A366=1,H366,M365+H366)</x:f>
        <x:v>0</x:v>
      </x:c>
      <x:c r="N366" s="32" t="n">
        <x:f>IF(A366=1,I366,N365+I366)</x:f>
        <x:v>0</x:v>
      </x:c>
      <x:c r="O366" s="32" t="n">
        <x:f>IF(A366=1,G366,O365+G366)</x:f>
        <x:v>3671325</x:v>
      </x:c>
      <x:c r="P366" s="37" t="n">
        <x:f>EDATE(Dashboard!$B$10,A366)</x:f>
        <x:v>56128</x:v>
      </x:c>
    </x:row>
    <x:row r="367">
      <x:c r="A367" s="33" t="n">
        <x:v>366</x:v>
      </x:c>
      <x:c r="B367" s="33" t="str">
        <x:f>IF(A367&lt;=Dashboard!$F$8,"Holiday",IF(A367&lt;=Dashboard!$F$8+Dashboard!$F$7,"Repayment","Closed"))</x:f>
        <x:v>Closed</x:v>
      </x:c>
      <x:c r="C367" s="32">
        <x:f>IF(A367=1,Dashboard!$B$6,IF(B367="Holiday",J366,L366))</x:f>
      </x:c>
      <x:c r="D367" s="32">
        <x:f>IF(A367=1,0,IF(B367="Holiday",K366,0))</x:f>
      </x:c>
      <x:c r="E367" s="32">
        <x:f>C367+D367</x:f>
      </x:c>
      <x:c r="F367" s="32">
        <x:f>IF(B367="Holiday",IF(Dashboard!$B$14="Principal Only",MIN(Dashboard!$B$15,C367),0),0)</x:f>
      </x:c>
      <x:c r="G367" s="32" t="n">
        <x:f>IF(B367="Closed",0,IF(B367="Holiday",IF(Dashboard!$B$14="Interest Only",C367*Dashboard!$F$6,MAX(0,(C367-F367)*Dashboard!$F$6)),E367*Dashboard!$F$6))</x:f>
        <x:v>0</x:v>
      </x:c>
      <x:c r="H367" s="32" t="n">
        <x:f>IF(B367="Holiday",IF(Dashboard!$B$14="Interest Only",G367,F367),IF(B367="Closed",0,MIN(Dashboard!$F$10,E367+G367)))</x:f>
        <x:v>0</x:v>
      </x:c>
      <x:c r="I367" s="32" t="n">
        <x:f>IF(B367="Holiday",F367,IF(B367="Closed",0,MAX(0,H367-G367)))</x:f>
        <x:v>0</x:v>
      </x:c>
      <x:c r="J367" s="32" t="n">
        <x:f>IF(B367="Holiday",MAX(0,C367-F367),IF(B367="Closed",0,MAX(0,E367-I367)))</x:f>
        <x:v>0</x:v>
      </x:c>
      <x:c r="K367" s="32" t="n">
        <x:f>IF(B367="Holiday",IF(Dashboard!$B$14="Interest Only",D367,D367+G367),0)</x:f>
        <x:v>0</x:v>
      </x:c>
      <x:c r="L367" s="32" t="n">
        <x:f>J367+K367</x:f>
        <x:v>0</x:v>
      </x:c>
      <x:c r="M367" s="32" t="n">
        <x:f>IF(A367=1,H367,M366+H367)</x:f>
        <x:v>0</x:v>
      </x:c>
      <x:c r="N367" s="32" t="n">
        <x:f>IF(A367=1,I367,N366+I367)</x:f>
        <x:v>0</x:v>
      </x:c>
      <x:c r="O367" s="32" t="n">
        <x:f>IF(A367=1,G367,O366+G367)</x:f>
        <x:v>3671325</x:v>
      </x:c>
      <x:c r="P367" s="37" t="n">
        <x:f>EDATE(Dashboard!$B$10,A367)</x:f>
        <x:v>56158</x:v>
      </x:c>
    </x:row>
    <x:row r="368">
      <x:c r="A368" s="33" t="n">
        <x:v>367</x:v>
      </x:c>
      <x:c r="B368" s="33" t="str">
        <x:f>IF(A368&lt;=Dashboard!$F$8,"Holiday",IF(A368&lt;=Dashboard!$F$8+Dashboard!$F$7,"Repayment","Closed"))</x:f>
        <x:v>Closed</x:v>
      </x:c>
      <x:c r="C368" s="32">
        <x:f>IF(A368=1,Dashboard!$B$6,IF(B368="Holiday",J367,L367))</x:f>
      </x:c>
      <x:c r="D368" s="32">
        <x:f>IF(A368=1,0,IF(B368="Holiday",K367,0))</x:f>
      </x:c>
      <x:c r="E368" s="32">
        <x:f>C368+D368</x:f>
      </x:c>
      <x:c r="F368" s="32">
        <x:f>IF(B368="Holiday",IF(Dashboard!$B$14="Principal Only",MIN(Dashboard!$B$15,C368),0),0)</x:f>
      </x:c>
      <x:c r="G368" s="32" t="n">
        <x:f>IF(B368="Closed",0,IF(B368="Holiday",IF(Dashboard!$B$14="Interest Only",C368*Dashboard!$F$6,MAX(0,(C368-F368)*Dashboard!$F$6)),E368*Dashboard!$F$6))</x:f>
        <x:v>0</x:v>
      </x:c>
      <x:c r="H368" s="32" t="n">
        <x:f>IF(B368="Holiday",IF(Dashboard!$B$14="Interest Only",G368,F368),IF(B368="Closed",0,MIN(Dashboard!$F$10,E368+G368)))</x:f>
        <x:v>0</x:v>
      </x:c>
      <x:c r="I368" s="32" t="n">
        <x:f>IF(B368="Holiday",F368,IF(B368="Closed",0,MAX(0,H368-G368)))</x:f>
        <x:v>0</x:v>
      </x:c>
      <x:c r="J368" s="32" t="n">
        <x:f>IF(B368="Holiday",MAX(0,C368-F368),IF(B368="Closed",0,MAX(0,E368-I368)))</x:f>
        <x:v>0</x:v>
      </x:c>
      <x:c r="K368" s="32" t="n">
        <x:f>IF(B368="Holiday",IF(Dashboard!$B$14="Interest Only",D368,D368+G368),0)</x:f>
        <x:v>0</x:v>
      </x:c>
      <x:c r="L368" s="32" t="n">
        <x:f>J368+K368</x:f>
        <x:v>0</x:v>
      </x:c>
      <x:c r="M368" s="32" t="n">
        <x:f>IF(A368=1,H368,M367+H368)</x:f>
        <x:v>0</x:v>
      </x:c>
      <x:c r="N368" s="32" t="n">
        <x:f>IF(A368=1,I368,N367+I368)</x:f>
        <x:v>0</x:v>
      </x:c>
      <x:c r="O368" s="32" t="n">
        <x:f>IF(A368=1,G368,O367+G368)</x:f>
        <x:v>3671325</x:v>
      </x:c>
      <x:c r="P368" s="37" t="n">
        <x:f>EDATE(Dashboard!$B$10,A368)</x:f>
        <x:v>56189</x:v>
      </x:c>
    </x:row>
    <x:row r="369">
      <x:c r="A369" s="33" t="n">
        <x:v>368</x:v>
      </x:c>
      <x:c r="B369" s="33" t="str">
        <x:f>IF(A369&lt;=Dashboard!$F$8,"Holiday",IF(A369&lt;=Dashboard!$F$8+Dashboard!$F$7,"Repayment","Closed"))</x:f>
        <x:v>Closed</x:v>
      </x:c>
      <x:c r="C369" s="32">
        <x:f>IF(A369=1,Dashboard!$B$6,IF(B369="Holiday",J368,L368))</x:f>
      </x:c>
      <x:c r="D369" s="32">
        <x:f>IF(A369=1,0,IF(B369="Holiday",K368,0))</x:f>
      </x:c>
      <x:c r="E369" s="32">
        <x:f>C369+D369</x:f>
      </x:c>
      <x:c r="F369" s="32">
        <x:f>IF(B369="Holiday",IF(Dashboard!$B$14="Principal Only",MIN(Dashboard!$B$15,C369),0),0)</x:f>
      </x:c>
      <x:c r="G369" s="32" t="n">
        <x:f>IF(B369="Closed",0,IF(B369="Holiday",IF(Dashboard!$B$14="Interest Only",C369*Dashboard!$F$6,MAX(0,(C369-F369)*Dashboard!$F$6)),E369*Dashboard!$F$6))</x:f>
        <x:v>0</x:v>
      </x:c>
      <x:c r="H369" s="32" t="n">
        <x:f>IF(B369="Holiday",IF(Dashboard!$B$14="Interest Only",G369,F369),IF(B369="Closed",0,MIN(Dashboard!$F$10,E369+G369)))</x:f>
        <x:v>0</x:v>
      </x:c>
      <x:c r="I369" s="32" t="n">
        <x:f>IF(B369="Holiday",F369,IF(B369="Closed",0,MAX(0,H369-G369)))</x:f>
        <x:v>0</x:v>
      </x:c>
      <x:c r="J369" s="32" t="n">
        <x:f>IF(B369="Holiday",MAX(0,C369-F369),IF(B369="Closed",0,MAX(0,E369-I369)))</x:f>
        <x:v>0</x:v>
      </x:c>
      <x:c r="K369" s="32" t="n">
        <x:f>IF(B369="Holiday",IF(Dashboard!$B$14="Interest Only",D369,D369+G369),0)</x:f>
        <x:v>0</x:v>
      </x:c>
      <x:c r="L369" s="32" t="n">
        <x:f>J369+K369</x:f>
        <x:v>0</x:v>
      </x:c>
      <x:c r="M369" s="32" t="n">
        <x:f>IF(A369=1,H369,M368+H369)</x:f>
        <x:v>0</x:v>
      </x:c>
      <x:c r="N369" s="32" t="n">
        <x:f>IF(A369=1,I369,N368+I369)</x:f>
        <x:v>0</x:v>
      </x:c>
      <x:c r="O369" s="32" t="n">
        <x:f>IF(A369=1,G369,O368+G369)</x:f>
        <x:v>3671325</x:v>
      </x:c>
      <x:c r="P369" s="37" t="n">
        <x:f>EDATE(Dashboard!$B$10,A369)</x:f>
        <x:v>56219</x:v>
      </x:c>
    </x:row>
    <x:row r="370">
      <x:c r="A370" s="33" t="n">
        <x:v>369</x:v>
      </x:c>
      <x:c r="B370" s="33" t="str">
        <x:f>IF(A370&lt;=Dashboard!$F$8,"Holiday",IF(A370&lt;=Dashboard!$F$8+Dashboard!$F$7,"Repayment","Closed"))</x:f>
        <x:v>Closed</x:v>
      </x:c>
      <x:c r="C370" s="32">
        <x:f>IF(A370=1,Dashboard!$B$6,IF(B370="Holiday",J369,L369))</x:f>
      </x:c>
      <x:c r="D370" s="32">
        <x:f>IF(A370=1,0,IF(B370="Holiday",K369,0))</x:f>
      </x:c>
      <x:c r="E370" s="32">
        <x:f>C370+D370</x:f>
      </x:c>
      <x:c r="F370" s="32">
        <x:f>IF(B370="Holiday",IF(Dashboard!$B$14="Principal Only",MIN(Dashboard!$B$15,C370),0),0)</x:f>
      </x:c>
      <x:c r="G370" s="32" t="n">
        <x:f>IF(B370="Closed",0,IF(B370="Holiday",IF(Dashboard!$B$14="Interest Only",C370*Dashboard!$F$6,MAX(0,(C370-F370)*Dashboard!$F$6)),E370*Dashboard!$F$6))</x:f>
        <x:v>0</x:v>
      </x:c>
      <x:c r="H370" s="32" t="n">
        <x:f>IF(B370="Holiday",IF(Dashboard!$B$14="Interest Only",G370,F370),IF(B370="Closed",0,MIN(Dashboard!$F$10,E370+G370)))</x:f>
        <x:v>0</x:v>
      </x:c>
      <x:c r="I370" s="32" t="n">
        <x:f>IF(B370="Holiday",F370,IF(B370="Closed",0,MAX(0,H370-G370)))</x:f>
        <x:v>0</x:v>
      </x:c>
      <x:c r="J370" s="32" t="n">
        <x:f>IF(B370="Holiday",MAX(0,C370-F370),IF(B370="Closed",0,MAX(0,E370-I370)))</x:f>
        <x:v>0</x:v>
      </x:c>
      <x:c r="K370" s="32" t="n">
        <x:f>IF(B370="Holiday",IF(Dashboard!$B$14="Interest Only",D370,D370+G370),0)</x:f>
        <x:v>0</x:v>
      </x:c>
      <x:c r="L370" s="32" t="n">
        <x:f>J370+K370</x:f>
        <x:v>0</x:v>
      </x:c>
      <x:c r="M370" s="32" t="n">
        <x:f>IF(A370=1,H370,M369+H370)</x:f>
        <x:v>0</x:v>
      </x:c>
      <x:c r="N370" s="32" t="n">
        <x:f>IF(A370=1,I370,N369+I370)</x:f>
        <x:v>0</x:v>
      </x:c>
      <x:c r="O370" s="32" t="n">
        <x:f>IF(A370=1,G370,O369+G370)</x:f>
        <x:v>3671325</x:v>
      </x:c>
      <x:c r="P370" s="37" t="n">
        <x:f>EDATE(Dashboard!$B$10,A370)</x:f>
        <x:v>56250</x:v>
      </x:c>
    </x:row>
    <x:row r="371">
      <x:c r="A371" s="33" t="n">
        <x:v>370</x:v>
      </x:c>
      <x:c r="B371" s="33" t="str">
        <x:f>IF(A371&lt;=Dashboard!$F$8,"Holiday",IF(A371&lt;=Dashboard!$F$8+Dashboard!$F$7,"Repayment","Closed"))</x:f>
        <x:v>Closed</x:v>
      </x:c>
      <x:c r="C371" s="32">
        <x:f>IF(A371=1,Dashboard!$B$6,IF(B371="Holiday",J370,L370))</x:f>
      </x:c>
      <x:c r="D371" s="32">
        <x:f>IF(A371=1,0,IF(B371="Holiday",K370,0))</x:f>
      </x:c>
      <x:c r="E371" s="32">
        <x:f>C371+D371</x:f>
      </x:c>
      <x:c r="F371" s="32">
        <x:f>IF(B371="Holiday",IF(Dashboard!$B$14="Principal Only",MIN(Dashboard!$B$15,C371),0),0)</x:f>
      </x:c>
      <x:c r="G371" s="32" t="n">
        <x:f>IF(B371="Closed",0,IF(B371="Holiday",IF(Dashboard!$B$14="Interest Only",C371*Dashboard!$F$6,MAX(0,(C371-F371)*Dashboard!$F$6)),E371*Dashboard!$F$6))</x:f>
        <x:v>0</x:v>
      </x:c>
      <x:c r="H371" s="32" t="n">
        <x:f>IF(B371="Holiday",IF(Dashboard!$B$14="Interest Only",G371,F371),IF(B371="Closed",0,MIN(Dashboard!$F$10,E371+G371)))</x:f>
        <x:v>0</x:v>
      </x:c>
      <x:c r="I371" s="32" t="n">
        <x:f>IF(B371="Holiday",F371,IF(B371="Closed",0,MAX(0,H371-G371)))</x:f>
        <x:v>0</x:v>
      </x:c>
      <x:c r="J371" s="32" t="n">
        <x:f>IF(B371="Holiday",MAX(0,C371-F371),IF(B371="Closed",0,MAX(0,E371-I371)))</x:f>
        <x:v>0</x:v>
      </x:c>
      <x:c r="K371" s="32" t="n">
        <x:f>IF(B371="Holiday",IF(Dashboard!$B$14="Interest Only",D371,D371+G371),0)</x:f>
        <x:v>0</x:v>
      </x:c>
      <x:c r="L371" s="32" t="n">
        <x:f>J371+K371</x:f>
        <x:v>0</x:v>
      </x:c>
      <x:c r="M371" s="32" t="n">
        <x:f>IF(A371=1,H371,M370+H371)</x:f>
        <x:v>0</x:v>
      </x:c>
      <x:c r="N371" s="32" t="n">
        <x:f>IF(A371=1,I371,N370+I371)</x:f>
        <x:v>0</x:v>
      </x:c>
      <x:c r="O371" s="32" t="n">
        <x:f>IF(A371=1,G371,O370+G371)</x:f>
        <x:v>3671325</x:v>
      </x:c>
      <x:c r="P371" s="37" t="n">
        <x:f>EDATE(Dashboard!$B$10,A371)</x:f>
        <x:v>56281</x:v>
      </x:c>
    </x:row>
    <x:row r="372">
      <x:c r="A372" s="33" t="n">
        <x:v>371</x:v>
      </x:c>
      <x:c r="B372" s="33" t="str">
        <x:f>IF(A372&lt;=Dashboard!$F$8,"Holiday",IF(A372&lt;=Dashboard!$F$8+Dashboard!$F$7,"Repayment","Closed"))</x:f>
        <x:v>Closed</x:v>
      </x:c>
      <x:c r="C372" s="32">
        <x:f>IF(A372=1,Dashboard!$B$6,IF(B372="Holiday",J371,L371))</x:f>
      </x:c>
      <x:c r="D372" s="32">
        <x:f>IF(A372=1,0,IF(B372="Holiday",K371,0))</x:f>
      </x:c>
      <x:c r="E372" s="32">
        <x:f>C372+D372</x:f>
      </x:c>
      <x:c r="F372" s="32">
        <x:f>IF(B372="Holiday",IF(Dashboard!$B$14="Principal Only",MIN(Dashboard!$B$15,C372),0),0)</x:f>
      </x:c>
      <x:c r="G372" s="32" t="n">
        <x:f>IF(B372="Closed",0,IF(B372="Holiday",IF(Dashboard!$B$14="Interest Only",C372*Dashboard!$F$6,MAX(0,(C372-F372)*Dashboard!$F$6)),E372*Dashboard!$F$6))</x:f>
        <x:v>0</x:v>
      </x:c>
      <x:c r="H372" s="32" t="n">
        <x:f>IF(B372="Holiday",IF(Dashboard!$B$14="Interest Only",G372,F372),IF(B372="Closed",0,MIN(Dashboard!$F$10,E372+G372)))</x:f>
        <x:v>0</x:v>
      </x:c>
      <x:c r="I372" s="32" t="n">
        <x:f>IF(B372="Holiday",F372,IF(B372="Closed",0,MAX(0,H372-G372)))</x:f>
        <x:v>0</x:v>
      </x:c>
      <x:c r="J372" s="32" t="n">
        <x:f>IF(B372="Holiday",MAX(0,C372-F372),IF(B372="Closed",0,MAX(0,E372-I372)))</x:f>
        <x:v>0</x:v>
      </x:c>
      <x:c r="K372" s="32" t="n">
        <x:f>IF(B372="Holiday",IF(Dashboard!$B$14="Interest Only",D372,D372+G372),0)</x:f>
        <x:v>0</x:v>
      </x:c>
      <x:c r="L372" s="32" t="n">
        <x:f>J372+K372</x:f>
        <x:v>0</x:v>
      </x:c>
      <x:c r="M372" s="32" t="n">
        <x:f>IF(A372=1,H372,M371+H372)</x:f>
        <x:v>0</x:v>
      </x:c>
      <x:c r="N372" s="32" t="n">
        <x:f>IF(A372=1,I372,N371+I372)</x:f>
        <x:v>0</x:v>
      </x:c>
      <x:c r="O372" s="32" t="n">
        <x:f>IF(A372=1,G372,O371+G372)</x:f>
        <x:v>3671325</x:v>
      </x:c>
      <x:c r="P372" s="37" t="n">
        <x:f>EDATE(Dashboard!$B$10,A372)</x:f>
        <x:v>56309</x:v>
      </x:c>
    </x:row>
    <x:row r="373">
      <x:c r="A373" s="33" t="n">
        <x:v>372</x:v>
      </x:c>
      <x:c r="B373" s="33" t="str">
        <x:f>IF(A373&lt;=Dashboard!$F$8,"Holiday",IF(A373&lt;=Dashboard!$F$8+Dashboard!$F$7,"Repayment","Closed"))</x:f>
        <x:v>Closed</x:v>
      </x:c>
      <x:c r="C373" s="32">
        <x:f>IF(A373=1,Dashboard!$B$6,IF(B373="Holiday",J372,L372))</x:f>
      </x:c>
      <x:c r="D373" s="32">
        <x:f>IF(A373=1,0,IF(B373="Holiday",K372,0))</x:f>
      </x:c>
      <x:c r="E373" s="32">
        <x:f>C373+D373</x:f>
      </x:c>
      <x:c r="F373" s="32">
        <x:f>IF(B373="Holiday",IF(Dashboard!$B$14="Principal Only",MIN(Dashboard!$B$15,C373),0),0)</x:f>
      </x:c>
      <x:c r="G373" s="32" t="n">
        <x:f>IF(B373="Closed",0,IF(B373="Holiday",IF(Dashboard!$B$14="Interest Only",C373*Dashboard!$F$6,MAX(0,(C373-F373)*Dashboard!$F$6)),E373*Dashboard!$F$6))</x:f>
        <x:v>0</x:v>
      </x:c>
      <x:c r="H373" s="32" t="n">
        <x:f>IF(B373="Holiday",IF(Dashboard!$B$14="Interest Only",G373,F373),IF(B373="Closed",0,MIN(Dashboard!$F$10,E373+G373)))</x:f>
        <x:v>0</x:v>
      </x:c>
      <x:c r="I373" s="32" t="n">
        <x:f>IF(B373="Holiday",F373,IF(B373="Closed",0,MAX(0,H373-G373)))</x:f>
        <x:v>0</x:v>
      </x:c>
      <x:c r="J373" s="32" t="n">
        <x:f>IF(B373="Holiday",MAX(0,C373-F373),IF(B373="Closed",0,MAX(0,E373-I373)))</x:f>
        <x:v>0</x:v>
      </x:c>
      <x:c r="K373" s="32" t="n">
        <x:f>IF(B373="Holiday",IF(Dashboard!$B$14="Interest Only",D373,D373+G373),0)</x:f>
        <x:v>0</x:v>
      </x:c>
      <x:c r="L373" s="32" t="n">
        <x:f>J373+K373</x:f>
        <x:v>0</x:v>
      </x:c>
      <x:c r="M373" s="32" t="n">
        <x:f>IF(A373=1,H373,M372+H373)</x:f>
        <x:v>0</x:v>
      </x:c>
      <x:c r="N373" s="32" t="n">
        <x:f>IF(A373=1,I373,N372+I373)</x:f>
        <x:v>0</x:v>
      </x:c>
      <x:c r="O373" s="32" t="n">
        <x:f>IF(A373=1,G373,O372+G373)</x:f>
        <x:v>3671325</x:v>
      </x:c>
      <x:c r="P373" s="37" t="n">
        <x:f>EDATE(Dashboard!$B$10,A373)</x:f>
        <x:v>56340</x:v>
      </x:c>
    </x:row>
    <x:row r="374">
      <x:c r="A374" s="33" t="n">
        <x:v>373</x:v>
      </x:c>
      <x:c r="B374" s="33" t="str">
        <x:f>IF(A374&lt;=Dashboard!$F$8,"Holiday",IF(A374&lt;=Dashboard!$F$8+Dashboard!$F$7,"Repayment","Closed"))</x:f>
        <x:v>Closed</x:v>
      </x:c>
      <x:c r="C374" s="32">
        <x:f>IF(A374=1,Dashboard!$B$6,IF(B374="Holiday",J373,L373))</x:f>
      </x:c>
      <x:c r="D374" s="32">
        <x:f>IF(A374=1,0,IF(B374="Holiday",K373,0))</x:f>
      </x:c>
      <x:c r="E374" s="32">
        <x:f>C374+D374</x:f>
      </x:c>
      <x:c r="F374" s="32">
        <x:f>IF(B374="Holiday",IF(Dashboard!$B$14="Principal Only",MIN(Dashboard!$B$15,C374),0),0)</x:f>
      </x:c>
      <x:c r="G374" s="32" t="n">
        <x:f>IF(B374="Closed",0,IF(B374="Holiday",IF(Dashboard!$B$14="Interest Only",C374*Dashboard!$F$6,MAX(0,(C374-F374)*Dashboard!$F$6)),E374*Dashboard!$F$6))</x:f>
        <x:v>0</x:v>
      </x:c>
      <x:c r="H374" s="32" t="n">
        <x:f>IF(B374="Holiday",IF(Dashboard!$B$14="Interest Only",G374,F374),IF(B374="Closed",0,MIN(Dashboard!$F$10,E374+G374)))</x:f>
        <x:v>0</x:v>
      </x:c>
      <x:c r="I374" s="32" t="n">
        <x:f>IF(B374="Holiday",F374,IF(B374="Closed",0,MAX(0,H374-G374)))</x:f>
        <x:v>0</x:v>
      </x:c>
      <x:c r="J374" s="32" t="n">
        <x:f>IF(B374="Holiday",MAX(0,C374-F374),IF(B374="Closed",0,MAX(0,E374-I374)))</x:f>
        <x:v>0</x:v>
      </x:c>
      <x:c r="K374" s="32" t="n">
        <x:f>IF(B374="Holiday",IF(Dashboard!$B$14="Interest Only",D374,D374+G374),0)</x:f>
        <x:v>0</x:v>
      </x:c>
      <x:c r="L374" s="32" t="n">
        <x:f>J374+K374</x:f>
        <x:v>0</x:v>
      </x:c>
      <x:c r="M374" s="32" t="n">
        <x:f>IF(A374=1,H374,M373+H374)</x:f>
        <x:v>0</x:v>
      </x:c>
      <x:c r="N374" s="32" t="n">
        <x:f>IF(A374=1,I374,N373+I374)</x:f>
        <x:v>0</x:v>
      </x:c>
      <x:c r="O374" s="32" t="n">
        <x:f>IF(A374=1,G374,O373+G374)</x:f>
        <x:v>3671325</x:v>
      </x:c>
      <x:c r="P374" s="37" t="n">
        <x:f>EDATE(Dashboard!$B$10,A374)</x:f>
        <x:v>56370</x:v>
      </x:c>
    </x:row>
    <x:row r="375">
      <x:c r="A375" s="33" t="n">
        <x:v>374</x:v>
      </x:c>
      <x:c r="B375" s="33" t="str">
        <x:f>IF(A375&lt;=Dashboard!$F$8,"Holiday",IF(A375&lt;=Dashboard!$F$8+Dashboard!$F$7,"Repayment","Closed"))</x:f>
        <x:v>Closed</x:v>
      </x:c>
      <x:c r="C375" s="32">
        <x:f>IF(A375=1,Dashboard!$B$6,IF(B375="Holiday",J374,L374))</x:f>
      </x:c>
      <x:c r="D375" s="32">
        <x:f>IF(A375=1,0,IF(B375="Holiday",K374,0))</x:f>
      </x:c>
      <x:c r="E375" s="32">
        <x:f>C375+D375</x:f>
      </x:c>
      <x:c r="F375" s="32">
        <x:f>IF(B375="Holiday",IF(Dashboard!$B$14="Principal Only",MIN(Dashboard!$B$15,C375),0),0)</x:f>
      </x:c>
      <x:c r="G375" s="32" t="n">
        <x:f>IF(B375="Closed",0,IF(B375="Holiday",IF(Dashboard!$B$14="Interest Only",C375*Dashboard!$F$6,MAX(0,(C375-F375)*Dashboard!$F$6)),E375*Dashboard!$F$6))</x:f>
        <x:v>0</x:v>
      </x:c>
      <x:c r="H375" s="32" t="n">
        <x:f>IF(B375="Holiday",IF(Dashboard!$B$14="Interest Only",G375,F375),IF(B375="Closed",0,MIN(Dashboard!$F$10,E375+G375)))</x:f>
        <x:v>0</x:v>
      </x:c>
      <x:c r="I375" s="32" t="n">
        <x:f>IF(B375="Holiday",F375,IF(B375="Closed",0,MAX(0,H375-G375)))</x:f>
        <x:v>0</x:v>
      </x:c>
      <x:c r="J375" s="32" t="n">
        <x:f>IF(B375="Holiday",MAX(0,C375-F375),IF(B375="Closed",0,MAX(0,E375-I375)))</x:f>
        <x:v>0</x:v>
      </x:c>
      <x:c r="K375" s="32" t="n">
        <x:f>IF(B375="Holiday",IF(Dashboard!$B$14="Interest Only",D375,D375+G375),0)</x:f>
        <x:v>0</x:v>
      </x:c>
      <x:c r="L375" s="32" t="n">
        <x:f>J375+K375</x:f>
        <x:v>0</x:v>
      </x:c>
      <x:c r="M375" s="32" t="n">
        <x:f>IF(A375=1,H375,M374+H375)</x:f>
        <x:v>0</x:v>
      </x:c>
      <x:c r="N375" s="32" t="n">
        <x:f>IF(A375=1,I375,N374+I375)</x:f>
        <x:v>0</x:v>
      </x:c>
      <x:c r="O375" s="32" t="n">
        <x:f>IF(A375=1,G375,O374+G375)</x:f>
        <x:v>3671325</x:v>
      </x:c>
      <x:c r="P375" s="37" t="n">
        <x:f>EDATE(Dashboard!$B$10,A375)</x:f>
        <x:v>56401</x:v>
      </x:c>
    </x:row>
    <x:row r="376">
      <x:c r="A376" s="33" t="n">
        <x:v>375</x:v>
      </x:c>
      <x:c r="B376" s="33" t="str">
        <x:f>IF(A376&lt;=Dashboard!$F$8,"Holiday",IF(A376&lt;=Dashboard!$F$8+Dashboard!$F$7,"Repayment","Closed"))</x:f>
        <x:v>Closed</x:v>
      </x:c>
      <x:c r="C376" s="32">
        <x:f>IF(A376=1,Dashboard!$B$6,IF(B376="Holiday",J375,L375))</x:f>
      </x:c>
      <x:c r="D376" s="32">
        <x:f>IF(A376=1,0,IF(B376="Holiday",K375,0))</x:f>
      </x:c>
      <x:c r="E376" s="32">
        <x:f>C376+D376</x:f>
      </x:c>
      <x:c r="F376" s="32">
        <x:f>IF(B376="Holiday",IF(Dashboard!$B$14="Principal Only",MIN(Dashboard!$B$15,C376),0),0)</x:f>
      </x:c>
      <x:c r="G376" s="32" t="n">
        <x:f>IF(B376="Closed",0,IF(B376="Holiday",IF(Dashboard!$B$14="Interest Only",C376*Dashboard!$F$6,MAX(0,(C376-F376)*Dashboard!$F$6)),E376*Dashboard!$F$6))</x:f>
        <x:v>0</x:v>
      </x:c>
      <x:c r="H376" s="32" t="n">
        <x:f>IF(B376="Holiday",IF(Dashboard!$B$14="Interest Only",G376,F376),IF(B376="Closed",0,MIN(Dashboard!$F$10,E376+G376)))</x:f>
        <x:v>0</x:v>
      </x:c>
      <x:c r="I376" s="32" t="n">
        <x:f>IF(B376="Holiday",F376,IF(B376="Closed",0,MAX(0,H376-G376)))</x:f>
        <x:v>0</x:v>
      </x:c>
      <x:c r="J376" s="32" t="n">
        <x:f>IF(B376="Holiday",MAX(0,C376-F376),IF(B376="Closed",0,MAX(0,E376-I376)))</x:f>
        <x:v>0</x:v>
      </x:c>
      <x:c r="K376" s="32" t="n">
        <x:f>IF(B376="Holiday",IF(Dashboard!$B$14="Interest Only",D376,D376+G376),0)</x:f>
        <x:v>0</x:v>
      </x:c>
      <x:c r="L376" s="32" t="n">
        <x:f>J376+K376</x:f>
        <x:v>0</x:v>
      </x:c>
      <x:c r="M376" s="32" t="n">
        <x:f>IF(A376=1,H376,M375+H376)</x:f>
        <x:v>0</x:v>
      </x:c>
      <x:c r="N376" s="32" t="n">
        <x:f>IF(A376=1,I376,N375+I376)</x:f>
        <x:v>0</x:v>
      </x:c>
      <x:c r="O376" s="32" t="n">
        <x:f>IF(A376=1,G376,O375+G376)</x:f>
        <x:v>3671325</x:v>
      </x:c>
      <x:c r="P376" s="37" t="n">
        <x:f>EDATE(Dashboard!$B$10,A376)</x:f>
        <x:v>56431</x:v>
      </x:c>
    </x:row>
    <x:row r="377">
      <x:c r="A377" s="33" t="n">
        <x:v>376</x:v>
      </x:c>
      <x:c r="B377" s="33" t="str">
        <x:f>IF(A377&lt;=Dashboard!$F$8,"Holiday",IF(A377&lt;=Dashboard!$F$8+Dashboard!$F$7,"Repayment","Closed"))</x:f>
        <x:v>Closed</x:v>
      </x:c>
      <x:c r="C377" s="32">
        <x:f>IF(A377=1,Dashboard!$B$6,IF(B377="Holiday",J376,L376))</x:f>
      </x:c>
      <x:c r="D377" s="32">
        <x:f>IF(A377=1,0,IF(B377="Holiday",K376,0))</x:f>
      </x:c>
      <x:c r="E377" s="32">
        <x:f>C377+D377</x:f>
      </x:c>
      <x:c r="F377" s="32">
        <x:f>IF(B377="Holiday",IF(Dashboard!$B$14="Principal Only",MIN(Dashboard!$B$15,C377),0),0)</x:f>
      </x:c>
      <x:c r="G377" s="32" t="n">
        <x:f>IF(B377="Closed",0,IF(B377="Holiday",IF(Dashboard!$B$14="Interest Only",C377*Dashboard!$F$6,MAX(0,(C377-F377)*Dashboard!$F$6)),E377*Dashboard!$F$6))</x:f>
        <x:v>0</x:v>
      </x:c>
      <x:c r="H377" s="32" t="n">
        <x:f>IF(B377="Holiday",IF(Dashboard!$B$14="Interest Only",G377,F377),IF(B377="Closed",0,MIN(Dashboard!$F$10,E377+G377)))</x:f>
        <x:v>0</x:v>
      </x:c>
      <x:c r="I377" s="32" t="n">
        <x:f>IF(B377="Holiday",F377,IF(B377="Closed",0,MAX(0,H377-G377)))</x:f>
        <x:v>0</x:v>
      </x:c>
      <x:c r="J377" s="32" t="n">
        <x:f>IF(B377="Holiday",MAX(0,C377-F377),IF(B377="Closed",0,MAX(0,E377-I377)))</x:f>
        <x:v>0</x:v>
      </x:c>
      <x:c r="K377" s="32" t="n">
        <x:f>IF(B377="Holiday",IF(Dashboard!$B$14="Interest Only",D377,D377+G377),0)</x:f>
        <x:v>0</x:v>
      </x:c>
      <x:c r="L377" s="32" t="n">
        <x:f>J377+K377</x:f>
        <x:v>0</x:v>
      </x:c>
      <x:c r="M377" s="32" t="n">
        <x:f>IF(A377=1,H377,M376+H377)</x:f>
        <x:v>0</x:v>
      </x:c>
      <x:c r="N377" s="32" t="n">
        <x:f>IF(A377=1,I377,N376+I377)</x:f>
        <x:v>0</x:v>
      </x:c>
      <x:c r="O377" s="32" t="n">
        <x:f>IF(A377=1,G377,O376+G377)</x:f>
        <x:v>3671325</x:v>
      </x:c>
      <x:c r="P377" s="37" t="n">
        <x:f>EDATE(Dashboard!$B$10,A377)</x:f>
        <x:v>56462</x:v>
      </x:c>
    </x:row>
    <x:row r="378">
      <x:c r="A378" s="33" t="n">
        <x:v>377</x:v>
      </x:c>
      <x:c r="B378" s="33" t="str">
        <x:f>IF(A378&lt;=Dashboard!$F$8,"Holiday",IF(A378&lt;=Dashboard!$F$8+Dashboard!$F$7,"Repayment","Closed"))</x:f>
        <x:v>Closed</x:v>
      </x:c>
      <x:c r="C378" s="32">
        <x:f>IF(A378=1,Dashboard!$B$6,IF(B378="Holiday",J377,L377))</x:f>
      </x:c>
      <x:c r="D378" s="32">
        <x:f>IF(A378=1,0,IF(B378="Holiday",K377,0))</x:f>
      </x:c>
      <x:c r="E378" s="32">
        <x:f>C378+D378</x:f>
      </x:c>
      <x:c r="F378" s="32">
        <x:f>IF(B378="Holiday",IF(Dashboard!$B$14="Principal Only",MIN(Dashboard!$B$15,C378),0),0)</x:f>
      </x:c>
      <x:c r="G378" s="32" t="n">
        <x:f>IF(B378="Closed",0,IF(B378="Holiday",IF(Dashboard!$B$14="Interest Only",C378*Dashboard!$F$6,MAX(0,(C378-F378)*Dashboard!$F$6)),E378*Dashboard!$F$6))</x:f>
        <x:v>0</x:v>
      </x:c>
      <x:c r="H378" s="32" t="n">
        <x:f>IF(B378="Holiday",IF(Dashboard!$B$14="Interest Only",G378,F378),IF(B378="Closed",0,MIN(Dashboard!$F$10,E378+G378)))</x:f>
        <x:v>0</x:v>
      </x:c>
      <x:c r="I378" s="32" t="n">
        <x:f>IF(B378="Holiday",F378,IF(B378="Closed",0,MAX(0,H378-G378)))</x:f>
        <x:v>0</x:v>
      </x:c>
      <x:c r="J378" s="32" t="n">
        <x:f>IF(B378="Holiday",MAX(0,C378-F378),IF(B378="Closed",0,MAX(0,E378-I378)))</x:f>
        <x:v>0</x:v>
      </x:c>
      <x:c r="K378" s="32" t="n">
        <x:f>IF(B378="Holiday",IF(Dashboard!$B$14="Interest Only",D378,D378+G378),0)</x:f>
        <x:v>0</x:v>
      </x:c>
      <x:c r="L378" s="32" t="n">
        <x:f>J378+K378</x:f>
        <x:v>0</x:v>
      </x:c>
      <x:c r="M378" s="32" t="n">
        <x:f>IF(A378=1,H378,M377+H378)</x:f>
        <x:v>0</x:v>
      </x:c>
      <x:c r="N378" s="32" t="n">
        <x:f>IF(A378=1,I378,N377+I378)</x:f>
        <x:v>0</x:v>
      </x:c>
      <x:c r="O378" s="32" t="n">
        <x:f>IF(A378=1,G378,O377+G378)</x:f>
        <x:v>3671325</x:v>
      </x:c>
      <x:c r="P378" s="37" t="n">
        <x:f>EDATE(Dashboard!$B$10,A378)</x:f>
        <x:v>56493</x:v>
      </x:c>
    </x:row>
    <x:row r="379">
      <x:c r="A379" s="33" t="n">
        <x:v>378</x:v>
      </x:c>
      <x:c r="B379" s="33" t="str">
        <x:f>IF(A379&lt;=Dashboard!$F$8,"Holiday",IF(A379&lt;=Dashboard!$F$8+Dashboard!$F$7,"Repayment","Closed"))</x:f>
        <x:v>Closed</x:v>
      </x:c>
      <x:c r="C379" s="32">
        <x:f>IF(A379=1,Dashboard!$B$6,IF(B379="Holiday",J378,L378))</x:f>
      </x:c>
      <x:c r="D379" s="32">
        <x:f>IF(A379=1,0,IF(B379="Holiday",K378,0))</x:f>
      </x:c>
      <x:c r="E379" s="32">
        <x:f>C379+D379</x:f>
      </x:c>
      <x:c r="F379" s="32">
        <x:f>IF(B379="Holiday",IF(Dashboard!$B$14="Principal Only",MIN(Dashboard!$B$15,C379),0),0)</x:f>
      </x:c>
      <x:c r="G379" s="32" t="n">
        <x:f>IF(B379="Closed",0,IF(B379="Holiday",IF(Dashboard!$B$14="Interest Only",C379*Dashboard!$F$6,MAX(0,(C379-F379)*Dashboard!$F$6)),E379*Dashboard!$F$6))</x:f>
        <x:v>0</x:v>
      </x:c>
      <x:c r="H379" s="32" t="n">
        <x:f>IF(B379="Holiday",IF(Dashboard!$B$14="Interest Only",G379,F379),IF(B379="Closed",0,MIN(Dashboard!$F$10,E379+G379)))</x:f>
        <x:v>0</x:v>
      </x:c>
      <x:c r="I379" s="32" t="n">
        <x:f>IF(B379="Holiday",F379,IF(B379="Closed",0,MAX(0,H379-G379)))</x:f>
        <x:v>0</x:v>
      </x:c>
      <x:c r="J379" s="32" t="n">
        <x:f>IF(B379="Holiday",MAX(0,C379-F379),IF(B379="Closed",0,MAX(0,E379-I379)))</x:f>
        <x:v>0</x:v>
      </x:c>
      <x:c r="K379" s="32" t="n">
        <x:f>IF(B379="Holiday",IF(Dashboard!$B$14="Interest Only",D379,D379+G379),0)</x:f>
        <x:v>0</x:v>
      </x:c>
      <x:c r="L379" s="32" t="n">
        <x:f>J379+K379</x:f>
        <x:v>0</x:v>
      </x:c>
      <x:c r="M379" s="32" t="n">
        <x:f>IF(A379=1,H379,M378+H379)</x:f>
        <x:v>0</x:v>
      </x:c>
      <x:c r="N379" s="32" t="n">
        <x:f>IF(A379=1,I379,N378+I379)</x:f>
        <x:v>0</x:v>
      </x:c>
      <x:c r="O379" s="32" t="n">
        <x:f>IF(A379=1,G379,O378+G379)</x:f>
        <x:v>3671325</x:v>
      </x:c>
      <x:c r="P379" s="37" t="n">
        <x:f>EDATE(Dashboard!$B$10,A379)</x:f>
        <x:v>56523</x:v>
      </x:c>
    </x:row>
    <x:row r="380">
      <x:c r="A380" s="33" t="n">
        <x:v>379</x:v>
      </x:c>
      <x:c r="B380" s="33" t="str">
        <x:f>IF(A380&lt;=Dashboard!$F$8,"Holiday",IF(A380&lt;=Dashboard!$F$8+Dashboard!$F$7,"Repayment","Closed"))</x:f>
        <x:v>Closed</x:v>
      </x:c>
      <x:c r="C380" s="32">
        <x:f>IF(A380=1,Dashboard!$B$6,IF(B380="Holiday",J379,L379))</x:f>
      </x:c>
      <x:c r="D380" s="32">
        <x:f>IF(A380=1,0,IF(B380="Holiday",K379,0))</x:f>
      </x:c>
      <x:c r="E380" s="32">
        <x:f>C380+D380</x:f>
      </x:c>
      <x:c r="F380" s="32">
        <x:f>IF(B380="Holiday",IF(Dashboard!$B$14="Principal Only",MIN(Dashboard!$B$15,C380),0),0)</x:f>
      </x:c>
      <x:c r="G380" s="32" t="n">
        <x:f>IF(B380="Closed",0,IF(B380="Holiday",IF(Dashboard!$B$14="Interest Only",C380*Dashboard!$F$6,MAX(0,(C380-F380)*Dashboard!$F$6)),E380*Dashboard!$F$6))</x:f>
        <x:v>0</x:v>
      </x:c>
      <x:c r="H380" s="32" t="n">
        <x:f>IF(B380="Holiday",IF(Dashboard!$B$14="Interest Only",G380,F380),IF(B380="Closed",0,MIN(Dashboard!$F$10,E380+G380)))</x:f>
        <x:v>0</x:v>
      </x:c>
      <x:c r="I380" s="32" t="n">
        <x:f>IF(B380="Holiday",F380,IF(B380="Closed",0,MAX(0,H380-G380)))</x:f>
        <x:v>0</x:v>
      </x:c>
      <x:c r="J380" s="32" t="n">
        <x:f>IF(B380="Holiday",MAX(0,C380-F380),IF(B380="Closed",0,MAX(0,E380-I380)))</x:f>
        <x:v>0</x:v>
      </x:c>
      <x:c r="K380" s="32" t="n">
        <x:f>IF(B380="Holiday",IF(Dashboard!$B$14="Interest Only",D380,D380+G380),0)</x:f>
        <x:v>0</x:v>
      </x:c>
      <x:c r="L380" s="32" t="n">
        <x:f>J380+K380</x:f>
        <x:v>0</x:v>
      </x:c>
      <x:c r="M380" s="32" t="n">
        <x:f>IF(A380=1,H380,M379+H380)</x:f>
        <x:v>0</x:v>
      </x:c>
      <x:c r="N380" s="32" t="n">
        <x:f>IF(A380=1,I380,N379+I380)</x:f>
        <x:v>0</x:v>
      </x:c>
      <x:c r="O380" s="32" t="n">
        <x:f>IF(A380=1,G380,O379+G380)</x:f>
        <x:v>3671325</x:v>
      </x:c>
      <x:c r="P380" s="37" t="n">
        <x:f>EDATE(Dashboard!$B$10,A380)</x:f>
        <x:v>56554</x:v>
      </x:c>
    </x:row>
    <x:row r="381">
      <x:c r="A381" s="33" t="n">
        <x:v>380</x:v>
      </x:c>
      <x:c r="B381" s="33" t="str">
        <x:f>IF(A381&lt;=Dashboard!$F$8,"Holiday",IF(A381&lt;=Dashboard!$F$8+Dashboard!$F$7,"Repayment","Closed"))</x:f>
        <x:v>Closed</x:v>
      </x:c>
      <x:c r="C381" s="32">
        <x:f>IF(A381=1,Dashboard!$B$6,IF(B381="Holiday",J380,L380))</x:f>
      </x:c>
      <x:c r="D381" s="32">
        <x:f>IF(A381=1,0,IF(B381="Holiday",K380,0))</x:f>
      </x:c>
      <x:c r="E381" s="32">
        <x:f>C381+D381</x:f>
      </x:c>
      <x:c r="F381" s="32">
        <x:f>IF(B381="Holiday",IF(Dashboard!$B$14="Principal Only",MIN(Dashboard!$B$15,C381),0),0)</x:f>
      </x:c>
      <x:c r="G381" s="32" t="n">
        <x:f>IF(B381="Closed",0,IF(B381="Holiday",IF(Dashboard!$B$14="Interest Only",C381*Dashboard!$F$6,MAX(0,(C381-F381)*Dashboard!$F$6)),E381*Dashboard!$F$6))</x:f>
        <x:v>0</x:v>
      </x:c>
      <x:c r="H381" s="32" t="n">
        <x:f>IF(B381="Holiday",IF(Dashboard!$B$14="Interest Only",G381,F381),IF(B381="Closed",0,MIN(Dashboard!$F$10,E381+G381)))</x:f>
        <x:v>0</x:v>
      </x:c>
      <x:c r="I381" s="32" t="n">
        <x:f>IF(B381="Holiday",F381,IF(B381="Closed",0,MAX(0,H381-G381)))</x:f>
        <x:v>0</x:v>
      </x:c>
      <x:c r="J381" s="32" t="n">
        <x:f>IF(B381="Holiday",MAX(0,C381-F381),IF(B381="Closed",0,MAX(0,E381-I381)))</x:f>
        <x:v>0</x:v>
      </x:c>
      <x:c r="K381" s="32" t="n">
        <x:f>IF(B381="Holiday",IF(Dashboard!$B$14="Interest Only",D381,D381+G381),0)</x:f>
        <x:v>0</x:v>
      </x:c>
      <x:c r="L381" s="32" t="n">
        <x:f>J381+K381</x:f>
        <x:v>0</x:v>
      </x:c>
      <x:c r="M381" s="32" t="n">
        <x:f>IF(A381=1,H381,M380+H381)</x:f>
        <x:v>0</x:v>
      </x:c>
      <x:c r="N381" s="32" t="n">
        <x:f>IF(A381=1,I381,N380+I381)</x:f>
        <x:v>0</x:v>
      </x:c>
      <x:c r="O381" s="32" t="n">
        <x:f>IF(A381=1,G381,O380+G381)</x:f>
        <x:v>3671325</x:v>
      </x:c>
      <x:c r="P381" s="37" t="n">
        <x:f>EDATE(Dashboard!$B$10,A381)</x:f>
        <x:v>56584</x:v>
      </x:c>
    </x:row>
    <x:row r="382">
      <x:c r="A382" s="33" t="n">
        <x:v>381</x:v>
      </x:c>
      <x:c r="B382" s="33" t="str">
        <x:f>IF(A382&lt;=Dashboard!$F$8,"Holiday",IF(A382&lt;=Dashboard!$F$8+Dashboard!$F$7,"Repayment","Closed"))</x:f>
        <x:v>Closed</x:v>
      </x:c>
      <x:c r="C382" s="32">
        <x:f>IF(A382=1,Dashboard!$B$6,IF(B382="Holiday",J381,L381))</x:f>
      </x:c>
      <x:c r="D382" s="32">
        <x:f>IF(A382=1,0,IF(B382="Holiday",K381,0))</x:f>
      </x:c>
      <x:c r="E382" s="32">
        <x:f>C382+D382</x:f>
      </x:c>
      <x:c r="F382" s="32">
        <x:f>IF(B382="Holiday",IF(Dashboard!$B$14="Principal Only",MIN(Dashboard!$B$15,C382),0),0)</x:f>
      </x:c>
      <x:c r="G382" s="32" t="n">
        <x:f>IF(B382="Closed",0,IF(B382="Holiday",IF(Dashboard!$B$14="Interest Only",C382*Dashboard!$F$6,MAX(0,(C382-F382)*Dashboard!$F$6)),E382*Dashboard!$F$6))</x:f>
        <x:v>0</x:v>
      </x:c>
      <x:c r="H382" s="32" t="n">
        <x:f>IF(B382="Holiday",IF(Dashboard!$B$14="Interest Only",G382,F382),IF(B382="Closed",0,MIN(Dashboard!$F$10,E382+G382)))</x:f>
        <x:v>0</x:v>
      </x:c>
      <x:c r="I382" s="32" t="n">
        <x:f>IF(B382="Holiday",F382,IF(B382="Closed",0,MAX(0,H382-G382)))</x:f>
        <x:v>0</x:v>
      </x:c>
      <x:c r="J382" s="32" t="n">
        <x:f>IF(B382="Holiday",MAX(0,C382-F382),IF(B382="Closed",0,MAX(0,E382-I382)))</x:f>
        <x:v>0</x:v>
      </x:c>
      <x:c r="K382" s="32" t="n">
        <x:f>IF(B382="Holiday",IF(Dashboard!$B$14="Interest Only",D382,D382+G382),0)</x:f>
        <x:v>0</x:v>
      </x:c>
      <x:c r="L382" s="32" t="n">
        <x:f>J382+K382</x:f>
        <x:v>0</x:v>
      </x:c>
      <x:c r="M382" s="32" t="n">
        <x:f>IF(A382=1,H382,M381+H382)</x:f>
        <x:v>0</x:v>
      </x:c>
      <x:c r="N382" s="32" t="n">
        <x:f>IF(A382=1,I382,N381+I382)</x:f>
        <x:v>0</x:v>
      </x:c>
      <x:c r="O382" s="32" t="n">
        <x:f>IF(A382=1,G382,O381+G382)</x:f>
        <x:v>3671325</x:v>
      </x:c>
      <x:c r="P382" s="37" t="n">
        <x:f>EDATE(Dashboard!$B$10,A382)</x:f>
        <x:v>56615</x:v>
      </x:c>
    </x:row>
    <x:row r="383">
      <x:c r="A383" s="33" t="n">
        <x:v>382</x:v>
      </x:c>
      <x:c r="B383" s="33" t="str">
        <x:f>IF(A383&lt;=Dashboard!$F$8,"Holiday",IF(A383&lt;=Dashboard!$F$8+Dashboard!$F$7,"Repayment","Closed"))</x:f>
        <x:v>Closed</x:v>
      </x:c>
      <x:c r="C383" s="32">
        <x:f>IF(A383=1,Dashboard!$B$6,IF(B383="Holiday",J382,L382))</x:f>
      </x:c>
      <x:c r="D383" s="32">
        <x:f>IF(A383=1,0,IF(B383="Holiday",K382,0))</x:f>
      </x:c>
      <x:c r="E383" s="32">
        <x:f>C383+D383</x:f>
      </x:c>
      <x:c r="F383" s="32">
        <x:f>IF(B383="Holiday",IF(Dashboard!$B$14="Principal Only",MIN(Dashboard!$B$15,C383),0),0)</x:f>
      </x:c>
      <x:c r="G383" s="32" t="n">
        <x:f>IF(B383="Closed",0,IF(B383="Holiday",IF(Dashboard!$B$14="Interest Only",C383*Dashboard!$F$6,MAX(0,(C383-F383)*Dashboard!$F$6)),E383*Dashboard!$F$6))</x:f>
        <x:v>0</x:v>
      </x:c>
      <x:c r="H383" s="32" t="n">
        <x:f>IF(B383="Holiday",IF(Dashboard!$B$14="Interest Only",G383,F383),IF(B383="Closed",0,MIN(Dashboard!$F$10,E383+G383)))</x:f>
        <x:v>0</x:v>
      </x:c>
      <x:c r="I383" s="32" t="n">
        <x:f>IF(B383="Holiday",F383,IF(B383="Closed",0,MAX(0,H383-G383)))</x:f>
        <x:v>0</x:v>
      </x:c>
      <x:c r="J383" s="32" t="n">
        <x:f>IF(B383="Holiday",MAX(0,C383-F383),IF(B383="Closed",0,MAX(0,E383-I383)))</x:f>
        <x:v>0</x:v>
      </x:c>
      <x:c r="K383" s="32" t="n">
        <x:f>IF(B383="Holiday",IF(Dashboard!$B$14="Interest Only",D383,D383+G383),0)</x:f>
        <x:v>0</x:v>
      </x:c>
      <x:c r="L383" s="32" t="n">
        <x:f>J383+K383</x:f>
        <x:v>0</x:v>
      </x:c>
      <x:c r="M383" s="32" t="n">
        <x:f>IF(A383=1,H383,M382+H383)</x:f>
        <x:v>0</x:v>
      </x:c>
      <x:c r="N383" s="32" t="n">
        <x:f>IF(A383=1,I383,N382+I383)</x:f>
        <x:v>0</x:v>
      </x:c>
      <x:c r="O383" s="32" t="n">
        <x:f>IF(A383=1,G383,O382+G383)</x:f>
        <x:v>3671325</x:v>
      </x:c>
      <x:c r="P383" s="37" t="n">
        <x:f>EDATE(Dashboard!$B$10,A383)</x:f>
        <x:v>56646</x:v>
      </x:c>
    </x:row>
    <x:row r="384">
      <x:c r="A384" s="33" t="n">
        <x:v>383</x:v>
      </x:c>
      <x:c r="B384" s="33" t="str">
        <x:f>IF(A384&lt;=Dashboard!$F$8,"Holiday",IF(A384&lt;=Dashboard!$F$8+Dashboard!$F$7,"Repayment","Closed"))</x:f>
        <x:v>Closed</x:v>
      </x:c>
      <x:c r="C384" s="32">
        <x:f>IF(A384=1,Dashboard!$B$6,IF(B384="Holiday",J383,L383))</x:f>
      </x:c>
      <x:c r="D384" s="32">
        <x:f>IF(A384=1,0,IF(B384="Holiday",K383,0))</x:f>
      </x:c>
      <x:c r="E384" s="32">
        <x:f>C384+D384</x:f>
      </x:c>
      <x:c r="F384" s="32">
        <x:f>IF(B384="Holiday",IF(Dashboard!$B$14="Principal Only",MIN(Dashboard!$B$15,C384),0),0)</x:f>
      </x:c>
      <x:c r="G384" s="32" t="n">
        <x:f>IF(B384="Closed",0,IF(B384="Holiday",IF(Dashboard!$B$14="Interest Only",C384*Dashboard!$F$6,MAX(0,(C384-F384)*Dashboard!$F$6)),E384*Dashboard!$F$6))</x:f>
        <x:v>0</x:v>
      </x:c>
      <x:c r="H384" s="32" t="n">
        <x:f>IF(B384="Holiday",IF(Dashboard!$B$14="Interest Only",G384,F384),IF(B384="Closed",0,MIN(Dashboard!$F$10,E384+G384)))</x:f>
        <x:v>0</x:v>
      </x:c>
      <x:c r="I384" s="32" t="n">
        <x:f>IF(B384="Holiday",F384,IF(B384="Closed",0,MAX(0,H384-G384)))</x:f>
        <x:v>0</x:v>
      </x:c>
      <x:c r="J384" s="32" t="n">
        <x:f>IF(B384="Holiday",MAX(0,C384-F384),IF(B384="Closed",0,MAX(0,E384-I384)))</x:f>
        <x:v>0</x:v>
      </x:c>
      <x:c r="K384" s="32" t="n">
        <x:f>IF(B384="Holiday",IF(Dashboard!$B$14="Interest Only",D384,D384+G384),0)</x:f>
        <x:v>0</x:v>
      </x:c>
      <x:c r="L384" s="32" t="n">
        <x:f>J384+K384</x:f>
        <x:v>0</x:v>
      </x:c>
      <x:c r="M384" s="32" t="n">
        <x:f>IF(A384=1,H384,M383+H384)</x:f>
        <x:v>0</x:v>
      </x:c>
      <x:c r="N384" s="32" t="n">
        <x:f>IF(A384=1,I384,N383+I384)</x:f>
        <x:v>0</x:v>
      </x:c>
      <x:c r="O384" s="32" t="n">
        <x:f>IF(A384=1,G384,O383+G384)</x:f>
        <x:v>3671325</x:v>
      </x:c>
      <x:c r="P384" s="37" t="n">
        <x:f>EDATE(Dashboard!$B$10,A384)</x:f>
        <x:v>56674</x:v>
      </x:c>
    </x:row>
    <x:row r="385">
      <x:c r="A385" s="33" t="n">
        <x:v>384</x:v>
      </x:c>
      <x:c r="B385" s="33" t="str">
        <x:f>IF(A385&lt;=Dashboard!$F$8,"Holiday",IF(A385&lt;=Dashboard!$F$8+Dashboard!$F$7,"Repayment","Closed"))</x:f>
        <x:v>Closed</x:v>
      </x:c>
      <x:c r="C385" s="32">
        <x:f>IF(A385=1,Dashboard!$B$6,IF(B385="Holiday",J384,L384))</x:f>
      </x:c>
      <x:c r="D385" s="32">
        <x:f>IF(A385=1,0,IF(B385="Holiday",K384,0))</x:f>
      </x:c>
      <x:c r="E385" s="32">
        <x:f>C385+D385</x:f>
      </x:c>
      <x:c r="F385" s="32">
        <x:f>IF(B385="Holiday",IF(Dashboard!$B$14="Principal Only",MIN(Dashboard!$B$15,C385),0),0)</x:f>
      </x:c>
      <x:c r="G385" s="32" t="n">
        <x:f>IF(B385="Closed",0,IF(B385="Holiday",IF(Dashboard!$B$14="Interest Only",C385*Dashboard!$F$6,MAX(0,(C385-F385)*Dashboard!$F$6)),E385*Dashboard!$F$6))</x:f>
        <x:v>0</x:v>
      </x:c>
      <x:c r="H385" s="32" t="n">
        <x:f>IF(B385="Holiday",IF(Dashboard!$B$14="Interest Only",G385,F385),IF(B385="Closed",0,MIN(Dashboard!$F$10,E385+G385)))</x:f>
        <x:v>0</x:v>
      </x:c>
      <x:c r="I385" s="32" t="n">
        <x:f>IF(B385="Holiday",F385,IF(B385="Closed",0,MAX(0,H385-G385)))</x:f>
        <x:v>0</x:v>
      </x:c>
      <x:c r="J385" s="32" t="n">
        <x:f>IF(B385="Holiday",MAX(0,C385-F385),IF(B385="Closed",0,MAX(0,E385-I385)))</x:f>
        <x:v>0</x:v>
      </x:c>
      <x:c r="K385" s="32" t="n">
        <x:f>IF(B385="Holiday",IF(Dashboard!$B$14="Interest Only",D385,D385+G385),0)</x:f>
        <x:v>0</x:v>
      </x:c>
      <x:c r="L385" s="32" t="n">
        <x:f>J385+K385</x:f>
        <x:v>0</x:v>
      </x:c>
      <x:c r="M385" s="32" t="n">
        <x:f>IF(A385=1,H385,M384+H385)</x:f>
        <x:v>0</x:v>
      </x:c>
      <x:c r="N385" s="32" t="n">
        <x:f>IF(A385=1,I385,N384+I385)</x:f>
        <x:v>0</x:v>
      </x:c>
      <x:c r="O385" s="32" t="n">
        <x:f>IF(A385=1,G385,O384+G385)</x:f>
        <x:v>3671325</x:v>
      </x:c>
      <x:c r="P385" s="37" t="n">
        <x:f>EDATE(Dashboard!$B$10,A385)</x:f>
        <x:v>56705</x:v>
      </x:c>
    </x:row>
    <x:row r="386">
      <x:c r="A386" s="33" t="n">
        <x:v>385</x:v>
      </x:c>
      <x:c r="B386" s="33" t="str">
        <x:f>IF(A386&lt;=Dashboard!$F$8,"Holiday",IF(A386&lt;=Dashboard!$F$8+Dashboard!$F$7,"Repayment","Closed"))</x:f>
        <x:v>Closed</x:v>
      </x:c>
      <x:c r="C386" s="32">
        <x:f>IF(A386=1,Dashboard!$B$6,IF(B386="Holiday",J385,L385))</x:f>
      </x:c>
      <x:c r="D386" s="32">
        <x:f>IF(A386=1,0,IF(B386="Holiday",K385,0))</x:f>
      </x:c>
      <x:c r="E386" s="32">
        <x:f>C386+D386</x:f>
      </x:c>
      <x:c r="F386" s="32">
        <x:f>IF(B386="Holiday",IF(Dashboard!$B$14="Principal Only",MIN(Dashboard!$B$15,C386),0),0)</x:f>
      </x:c>
      <x:c r="G386" s="32" t="n">
        <x:f>IF(B386="Closed",0,IF(B386="Holiday",IF(Dashboard!$B$14="Interest Only",C386*Dashboard!$F$6,MAX(0,(C386-F386)*Dashboard!$F$6)),E386*Dashboard!$F$6))</x:f>
        <x:v>0</x:v>
      </x:c>
      <x:c r="H386" s="32" t="n">
        <x:f>IF(B386="Holiday",IF(Dashboard!$B$14="Interest Only",G386,F386),IF(B386="Closed",0,MIN(Dashboard!$F$10,E386+G386)))</x:f>
        <x:v>0</x:v>
      </x:c>
      <x:c r="I386" s="32" t="n">
        <x:f>IF(B386="Holiday",F386,IF(B386="Closed",0,MAX(0,H386-G386)))</x:f>
        <x:v>0</x:v>
      </x:c>
      <x:c r="J386" s="32" t="n">
        <x:f>IF(B386="Holiday",MAX(0,C386-F386),IF(B386="Closed",0,MAX(0,E386-I386)))</x:f>
        <x:v>0</x:v>
      </x:c>
      <x:c r="K386" s="32" t="n">
        <x:f>IF(B386="Holiday",IF(Dashboard!$B$14="Interest Only",D386,D386+G386),0)</x:f>
        <x:v>0</x:v>
      </x:c>
      <x:c r="L386" s="32" t="n">
        <x:f>J386+K386</x:f>
        <x:v>0</x:v>
      </x:c>
      <x:c r="M386" s="32" t="n">
        <x:f>IF(A386=1,H386,M385+H386)</x:f>
        <x:v>0</x:v>
      </x:c>
      <x:c r="N386" s="32" t="n">
        <x:f>IF(A386=1,I386,N385+I386)</x:f>
        <x:v>0</x:v>
      </x:c>
      <x:c r="O386" s="32" t="n">
        <x:f>IF(A386=1,G386,O385+G386)</x:f>
        <x:v>3671325</x:v>
      </x:c>
      <x:c r="P386" s="37" t="n">
        <x:f>EDATE(Dashboard!$B$10,A386)</x:f>
        <x:v>56735</x:v>
      </x:c>
    </x:row>
    <x:row r="387">
      <x:c r="A387" s="33" t="n">
        <x:v>386</x:v>
      </x:c>
      <x:c r="B387" s="33" t="str">
        <x:f>IF(A387&lt;=Dashboard!$F$8,"Holiday",IF(A387&lt;=Dashboard!$F$8+Dashboard!$F$7,"Repayment","Closed"))</x:f>
        <x:v>Closed</x:v>
      </x:c>
      <x:c r="C387" s="32">
        <x:f>IF(A387=1,Dashboard!$B$6,IF(B387="Holiday",J386,L386))</x:f>
      </x:c>
      <x:c r="D387" s="32">
        <x:f>IF(A387=1,0,IF(B387="Holiday",K386,0))</x:f>
      </x:c>
      <x:c r="E387" s="32">
        <x:f>C387+D387</x:f>
      </x:c>
      <x:c r="F387" s="32">
        <x:f>IF(B387="Holiday",IF(Dashboard!$B$14="Principal Only",MIN(Dashboard!$B$15,C387),0),0)</x:f>
      </x:c>
      <x:c r="G387" s="32" t="n">
        <x:f>IF(B387="Closed",0,IF(B387="Holiday",IF(Dashboard!$B$14="Interest Only",C387*Dashboard!$F$6,MAX(0,(C387-F387)*Dashboard!$F$6)),E387*Dashboard!$F$6))</x:f>
        <x:v>0</x:v>
      </x:c>
      <x:c r="H387" s="32" t="n">
        <x:f>IF(B387="Holiday",IF(Dashboard!$B$14="Interest Only",G387,F387),IF(B387="Closed",0,MIN(Dashboard!$F$10,E387+G387)))</x:f>
        <x:v>0</x:v>
      </x:c>
      <x:c r="I387" s="32" t="n">
        <x:f>IF(B387="Holiday",F387,IF(B387="Closed",0,MAX(0,H387-G387)))</x:f>
        <x:v>0</x:v>
      </x:c>
      <x:c r="J387" s="32" t="n">
        <x:f>IF(B387="Holiday",MAX(0,C387-F387),IF(B387="Closed",0,MAX(0,E387-I387)))</x:f>
        <x:v>0</x:v>
      </x:c>
      <x:c r="K387" s="32" t="n">
        <x:f>IF(B387="Holiday",IF(Dashboard!$B$14="Interest Only",D387,D387+G387),0)</x:f>
        <x:v>0</x:v>
      </x:c>
      <x:c r="L387" s="32" t="n">
        <x:f>J387+K387</x:f>
        <x:v>0</x:v>
      </x:c>
      <x:c r="M387" s="32" t="n">
        <x:f>IF(A387=1,H387,M386+H387)</x:f>
        <x:v>0</x:v>
      </x:c>
      <x:c r="N387" s="32" t="n">
        <x:f>IF(A387=1,I387,N386+I387)</x:f>
        <x:v>0</x:v>
      </x:c>
      <x:c r="O387" s="32" t="n">
        <x:f>IF(A387=1,G387,O386+G387)</x:f>
        <x:v>3671325</x:v>
      </x:c>
      <x:c r="P387" s="37" t="n">
        <x:f>EDATE(Dashboard!$B$10,A387)</x:f>
        <x:v>56766</x:v>
      </x:c>
    </x:row>
    <x:row r="388">
      <x:c r="A388" s="33" t="n">
        <x:v>387</x:v>
      </x:c>
      <x:c r="B388" s="33" t="str">
        <x:f>IF(A388&lt;=Dashboard!$F$8,"Holiday",IF(A388&lt;=Dashboard!$F$8+Dashboard!$F$7,"Repayment","Closed"))</x:f>
        <x:v>Closed</x:v>
      </x:c>
      <x:c r="C388" s="32">
        <x:f>IF(A388=1,Dashboard!$B$6,IF(B388="Holiday",J387,L387))</x:f>
      </x:c>
      <x:c r="D388" s="32">
        <x:f>IF(A388=1,0,IF(B388="Holiday",K387,0))</x:f>
      </x:c>
      <x:c r="E388" s="32">
        <x:f>C388+D388</x:f>
      </x:c>
      <x:c r="F388" s="32">
        <x:f>IF(B388="Holiday",IF(Dashboard!$B$14="Principal Only",MIN(Dashboard!$B$15,C388),0),0)</x:f>
      </x:c>
      <x:c r="G388" s="32" t="n">
        <x:f>IF(B388="Closed",0,IF(B388="Holiday",IF(Dashboard!$B$14="Interest Only",C388*Dashboard!$F$6,MAX(0,(C388-F388)*Dashboard!$F$6)),E388*Dashboard!$F$6))</x:f>
        <x:v>0</x:v>
      </x:c>
      <x:c r="H388" s="32" t="n">
        <x:f>IF(B388="Holiday",IF(Dashboard!$B$14="Interest Only",G388,F388),IF(B388="Closed",0,MIN(Dashboard!$F$10,E388+G388)))</x:f>
        <x:v>0</x:v>
      </x:c>
      <x:c r="I388" s="32" t="n">
        <x:f>IF(B388="Holiday",F388,IF(B388="Closed",0,MAX(0,H388-G388)))</x:f>
        <x:v>0</x:v>
      </x:c>
      <x:c r="J388" s="32" t="n">
        <x:f>IF(B388="Holiday",MAX(0,C388-F388),IF(B388="Closed",0,MAX(0,E388-I388)))</x:f>
        <x:v>0</x:v>
      </x:c>
      <x:c r="K388" s="32" t="n">
        <x:f>IF(B388="Holiday",IF(Dashboard!$B$14="Interest Only",D388,D388+G388),0)</x:f>
        <x:v>0</x:v>
      </x:c>
      <x:c r="L388" s="32" t="n">
        <x:f>J388+K388</x:f>
        <x:v>0</x:v>
      </x:c>
      <x:c r="M388" s="32" t="n">
        <x:f>IF(A388=1,H388,M387+H388)</x:f>
        <x:v>0</x:v>
      </x:c>
      <x:c r="N388" s="32" t="n">
        <x:f>IF(A388=1,I388,N387+I388)</x:f>
        <x:v>0</x:v>
      </x:c>
      <x:c r="O388" s="32" t="n">
        <x:f>IF(A388=1,G388,O387+G388)</x:f>
        <x:v>3671325</x:v>
      </x:c>
      <x:c r="P388" s="37" t="n">
        <x:f>EDATE(Dashboard!$B$10,A388)</x:f>
        <x:v>56796</x:v>
      </x:c>
    </x:row>
    <x:row r="389">
      <x:c r="A389" s="33" t="n">
        <x:v>388</x:v>
      </x:c>
      <x:c r="B389" s="33" t="str">
        <x:f>IF(A389&lt;=Dashboard!$F$8,"Holiday",IF(A389&lt;=Dashboard!$F$8+Dashboard!$F$7,"Repayment","Closed"))</x:f>
        <x:v>Closed</x:v>
      </x:c>
      <x:c r="C389" s="32">
        <x:f>IF(A389=1,Dashboard!$B$6,IF(B389="Holiday",J388,L388))</x:f>
      </x:c>
      <x:c r="D389" s="32">
        <x:f>IF(A389=1,0,IF(B389="Holiday",K388,0))</x:f>
      </x:c>
      <x:c r="E389" s="32">
        <x:f>C389+D389</x:f>
      </x:c>
      <x:c r="F389" s="32">
        <x:f>IF(B389="Holiday",IF(Dashboard!$B$14="Principal Only",MIN(Dashboard!$B$15,C389),0),0)</x:f>
      </x:c>
      <x:c r="G389" s="32" t="n">
        <x:f>IF(B389="Closed",0,IF(B389="Holiday",IF(Dashboard!$B$14="Interest Only",C389*Dashboard!$F$6,MAX(0,(C389-F389)*Dashboard!$F$6)),E389*Dashboard!$F$6))</x:f>
        <x:v>0</x:v>
      </x:c>
      <x:c r="H389" s="32" t="n">
        <x:f>IF(B389="Holiday",IF(Dashboard!$B$14="Interest Only",G389,F389),IF(B389="Closed",0,MIN(Dashboard!$F$10,E389+G389)))</x:f>
        <x:v>0</x:v>
      </x:c>
      <x:c r="I389" s="32" t="n">
        <x:f>IF(B389="Holiday",F389,IF(B389="Closed",0,MAX(0,H389-G389)))</x:f>
        <x:v>0</x:v>
      </x:c>
      <x:c r="J389" s="32" t="n">
        <x:f>IF(B389="Holiday",MAX(0,C389-F389),IF(B389="Closed",0,MAX(0,E389-I389)))</x:f>
        <x:v>0</x:v>
      </x:c>
      <x:c r="K389" s="32" t="n">
        <x:f>IF(B389="Holiday",IF(Dashboard!$B$14="Interest Only",D389,D389+G389),0)</x:f>
        <x:v>0</x:v>
      </x:c>
      <x:c r="L389" s="32" t="n">
        <x:f>J389+K389</x:f>
        <x:v>0</x:v>
      </x:c>
      <x:c r="M389" s="32" t="n">
        <x:f>IF(A389=1,H389,M388+H389)</x:f>
        <x:v>0</x:v>
      </x:c>
      <x:c r="N389" s="32" t="n">
        <x:f>IF(A389=1,I389,N388+I389)</x:f>
        <x:v>0</x:v>
      </x:c>
      <x:c r="O389" s="32" t="n">
        <x:f>IF(A389=1,G389,O388+G389)</x:f>
        <x:v>3671325</x:v>
      </x:c>
      <x:c r="P389" s="37" t="n">
        <x:f>EDATE(Dashboard!$B$10,A389)</x:f>
        <x:v>56827</x:v>
      </x:c>
    </x:row>
    <x:row r="390">
      <x:c r="A390" s="33" t="n">
        <x:v>389</x:v>
      </x:c>
      <x:c r="B390" s="33" t="str">
        <x:f>IF(A390&lt;=Dashboard!$F$8,"Holiday",IF(A390&lt;=Dashboard!$F$8+Dashboard!$F$7,"Repayment","Closed"))</x:f>
        <x:v>Closed</x:v>
      </x:c>
      <x:c r="C390" s="32">
        <x:f>IF(A390=1,Dashboard!$B$6,IF(B390="Holiday",J389,L389))</x:f>
      </x:c>
      <x:c r="D390" s="32">
        <x:f>IF(A390=1,0,IF(B390="Holiday",K389,0))</x:f>
      </x:c>
      <x:c r="E390" s="32">
        <x:f>C390+D390</x:f>
      </x:c>
      <x:c r="F390" s="32">
        <x:f>IF(B390="Holiday",IF(Dashboard!$B$14="Principal Only",MIN(Dashboard!$B$15,C390),0),0)</x:f>
      </x:c>
      <x:c r="G390" s="32" t="n">
        <x:f>IF(B390="Closed",0,IF(B390="Holiday",IF(Dashboard!$B$14="Interest Only",C390*Dashboard!$F$6,MAX(0,(C390-F390)*Dashboard!$F$6)),E390*Dashboard!$F$6))</x:f>
        <x:v>0</x:v>
      </x:c>
      <x:c r="H390" s="32" t="n">
        <x:f>IF(B390="Holiday",IF(Dashboard!$B$14="Interest Only",G390,F390),IF(B390="Closed",0,MIN(Dashboard!$F$10,E390+G390)))</x:f>
        <x:v>0</x:v>
      </x:c>
      <x:c r="I390" s="32" t="n">
        <x:f>IF(B390="Holiday",F390,IF(B390="Closed",0,MAX(0,H390-G390)))</x:f>
        <x:v>0</x:v>
      </x:c>
      <x:c r="J390" s="32" t="n">
        <x:f>IF(B390="Holiday",MAX(0,C390-F390),IF(B390="Closed",0,MAX(0,E390-I390)))</x:f>
        <x:v>0</x:v>
      </x:c>
      <x:c r="K390" s="32" t="n">
        <x:f>IF(B390="Holiday",IF(Dashboard!$B$14="Interest Only",D390,D390+G390),0)</x:f>
        <x:v>0</x:v>
      </x:c>
      <x:c r="L390" s="32" t="n">
        <x:f>J390+K390</x:f>
        <x:v>0</x:v>
      </x:c>
      <x:c r="M390" s="32" t="n">
        <x:f>IF(A390=1,H390,M389+H390)</x:f>
        <x:v>0</x:v>
      </x:c>
      <x:c r="N390" s="32" t="n">
        <x:f>IF(A390=1,I390,N389+I390)</x:f>
        <x:v>0</x:v>
      </x:c>
      <x:c r="O390" s="32" t="n">
        <x:f>IF(A390=1,G390,O389+G390)</x:f>
        <x:v>3671325</x:v>
      </x:c>
      <x:c r="P390" s="37" t="n">
        <x:f>EDATE(Dashboard!$B$10,A390)</x:f>
        <x:v>56858</x:v>
      </x:c>
    </x:row>
    <x:row r="391">
      <x:c r="A391" s="33" t="n">
        <x:v>390</x:v>
      </x:c>
      <x:c r="B391" s="33" t="str">
        <x:f>IF(A391&lt;=Dashboard!$F$8,"Holiday",IF(A391&lt;=Dashboard!$F$8+Dashboard!$F$7,"Repayment","Closed"))</x:f>
        <x:v>Closed</x:v>
      </x:c>
      <x:c r="C391" s="32">
        <x:f>IF(A391=1,Dashboard!$B$6,IF(B391="Holiday",J390,L390))</x:f>
      </x:c>
      <x:c r="D391" s="32">
        <x:f>IF(A391=1,0,IF(B391="Holiday",K390,0))</x:f>
      </x:c>
      <x:c r="E391" s="32">
        <x:f>C391+D391</x:f>
      </x:c>
      <x:c r="F391" s="32">
        <x:f>IF(B391="Holiday",IF(Dashboard!$B$14="Principal Only",MIN(Dashboard!$B$15,C391),0),0)</x:f>
      </x:c>
      <x:c r="G391" s="32" t="n">
        <x:f>IF(B391="Closed",0,IF(B391="Holiday",IF(Dashboard!$B$14="Interest Only",C391*Dashboard!$F$6,MAX(0,(C391-F391)*Dashboard!$F$6)),E391*Dashboard!$F$6))</x:f>
        <x:v>0</x:v>
      </x:c>
      <x:c r="H391" s="32" t="n">
        <x:f>IF(B391="Holiday",IF(Dashboard!$B$14="Interest Only",G391,F391),IF(B391="Closed",0,MIN(Dashboard!$F$10,E391+G391)))</x:f>
        <x:v>0</x:v>
      </x:c>
      <x:c r="I391" s="32" t="n">
        <x:f>IF(B391="Holiday",F391,IF(B391="Closed",0,MAX(0,H391-G391)))</x:f>
        <x:v>0</x:v>
      </x:c>
      <x:c r="J391" s="32" t="n">
        <x:f>IF(B391="Holiday",MAX(0,C391-F391),IF(B391="Closed",0,MAX(0,E391-I391)))</x:f>
        <x:v>0</x:v>
      </x:c>
      <x:c r="K391" s="32" t="n">
        <x:f>IF(B391="Holiday",IF(Dashboard!$B$14="Interest Only",D391,D391+G391),0)</x:f>
        <x:v>0</x:v>
      </x:c>
      <x:c r="L391" s="32" t="n">
        <x:f>J391+K391</x:f>
        <x:v>0</x:v>
      </x:c>
      <x:c r="M391" s="32" t="n">
        <x:f>IF(A391=1,H391,M390+H391)</x:f>
        <x:v>0</x:v>
      </x:c>
      <x:c r="N391" s="32" t="n">
        <x:f>IF(A391=1,I391,N390+I391)</x:f>
        <x:v>0</x:v>
      </x:c>
      <x:c r="O391" s="32" t="n">
        <x:f>IF(A391=1,G391,O390+G391)</x:f>
        <x:v>3671325</x:v>
      </x:c>
      <x:c r="P391" s="37" t="n">
        <x:f>EDATE(Dashboard!$B$10,A391)</x:f>
        <x:v>56888</x:v>
      </x:c>
    </x:row>
    <x:row r="392">
      <x:c r="A392" s="33" t="n">
        <x:v>391</x:v>
      </x:c>
      <x:c r="B392" s="33" t="str">
        <x:f>IF(A392&lt;=Dashboard!$F$8,"Holiday",IF(A392&lt;=Dashboard!$F$8+Dashboard!$F$7,"Repayment","Closed"))</x:f>
        <x:v>Closed</x:v>
      </x:c>
      <x:c r="C392" s="32">
        <x:f>IF(A392=1,Dashboard!$B$6,IF(B392="Holiday",J391,L391))</x:f>
      </x:c>
      <x:c r="D392" s="32">
        <x:f>IF(A392=1,0,IF(B392="Holiday",K391,0))</x:f>
      </x:c>
      <x:c r="E392" s="32">
        <x:f>C392+D392</x:f>
      </x:c>
      <x:c r="F392" s="32">
        <x:f>IF(B392="Holiday",IF(Dashboard!$B$14="Principal Only",MIN(Dashboard!$B$15,C392),0),0)</x:f>
      </x:c>
      <x:c r="G392" s="32" t="n">
        <x:f>IF(B392="Closed",0,IF(B392="Holiday",IF(Dashboard!$B$14="Interest Only",C392*Dashboard!$F$6,MAX(0,(C392-F392)*Dashboard!$F$6)),E392*Dashboard!$F$6))</x:f>
        <x:v>0</x:v>
      </x:c>
      <x:c r="H392" s="32" t="n">
        <x:f>IF(B392="Holiday",IF(Dashboard!$B$14="Interest Only",G392,F392),IF(B392="Closed",0,MIN(Dashboard!$F$10,E392+G392)))</x:f>
        <x:v>0</x:v>
      </x:c>
      <x:c r="I392" s="32" t="n">
        <x:f>IF(B392="Holiday",F392,IF(B392="Closed",0,MAX(0,H392-G392)))</x:f>
        <x:v>0</x:v>
      </x:c>
      <x:c r="J392" s="32" t="n">
        <x:f>IF(B392="Holiday",MAX(0,C392-F392),IF(B392="Closed",0,MAX(0,E392-I392)))</x:f>
        <x:v>0</x:v>
      </x:c>
      <x:c r="K392" s="32" t="n">
        <x:f>IF(B392="Holiday",IF(Dashboard!$B$14="Interest Only",D392,D392+G392),0)</x:f>
        <x:v>0</x:v>
      </x:c>
      <x:c r="L392" s="32" t="n">
        <x:f>J392+K392</x:f>
        <x:v>0</x:v>
      </x:c>
      <x:c r="M392" s="32" t="n">
        <x:f>IF(A392=1,H392,M391+H392)</x:f>
        <x:v>0</x:v>
      </x:c>
      <x:c r="N392" s="32" t="n">
        <x:f>IF(A392=1,I392,N391+I392)</x:f>
        <x:v>0</x:v>
      </x:c>
      <x:c r="O392" s="32" t="n">
        <x:f>IF(A392=1,G392,O391+G392)</x:f>
        <x:v>3671325</x:v>
      </x:c>
      <x:c r="P392" s="37" t="n">
        <x:f>EDATE(Dashboard!$B$10,A392)</x:f>
        <x:v>56919</x:v>
      </x:c>
    </x:row>
    <x:row r="393">
      <x:c r="A393" s="33" t="n">
        <x:v>392</x:v>
      </x:c>
      <x:c r="B393" s="33" t="str">
        <x:f>IF(A393&lt;=Dashboard!$F$8,"Holiday",IF(A393&lt;=Dashboard!$F$8+Dashboard!$F$7,"Repayment","Closed"))</x:f>
        <x:v>Closed</x:v>
      </x:c>
      <x:c r="C393" s="32">
        <x:f>IF(A393=1,Dashboard!$B$6,IF(B393="Holiday",J392,L392))</x:f>
      </x:c>
      <x:c r="D393" s="32">
        <x:f>IF(A393=1,0,IF(B393="Holiday",K392,0))</x:f>
      </x:c>
      <x:c r="E393" s="32">
        <x:f>C393+D393</x:f>
      </x:c>
      <x:c r="F393" s="32">
        <x:f>IF(B393="Holiday",IF(Dashboard!$B$14="Principal Only",MIN(Dashboard!$B$15,C393),0),0)</x:f>
      </x:c>
      <x:c r="G393" s="32" t="n">
        <x:f>IF(B393="Closed",0,IF(B393="Holiday",IF(Dashboard!$B$14="Interest Only",C393*Dashboard!$F$6,MAX(0,(C393-F393)*Dashboard!$F$6)),E393*Dashboard!$F$6))</x:f>
        <x:v>0</x:v>
      </x:c>
      <x:c r="H393" s="32" t="n">
        <x:f>IF(B393="Holiday",IF(Dashboard!$B$14="Interest Only",G393,F393),IF(B393="Closed",0,MIN(Dashboard!$F$10,E393+G393)))</x:f>
        <x:v>0</x:v>
      </x:c>
      <x:c r="I393" s="32" t="n">
        <x:f>IF(B393="Holiday",F393,IF(B393="Closed",0,MAX(0,H393-G393)))</x:f>
        <x:v>0</x:v>
      </x:c>
      <x:c r="J393" s="32" t="n">
        <x:f>IF(B393="Holiday",MAX(0,C393-F393),IF(B393="Closed",0,MAX(0,E393-I393)))</x:f>
        <x:v>0</x:v>
      </x:c>
      <x:c r="K393" s="32" t="n">
        <x:f>IF(B393="Holiday",IF(Dashboard!$B$14="Interest Only",D393,D393+G393),0)</x:f>
        <x:v>0</x:v>
      </x:c>
      <x:c r="L393" s="32" t="n">
        <x:f>J393+K393</x:f>
        <x:v>0</x:v>
      </x:c>
      <x:c r="M393" s="32" t="n">
        <x:f>IF(A393=1,H393,M392+H393)</x:f>
        <x:v>0</x:v>
      </x:c>
      <x:c r="N393" s="32" t="n">
        <x:f>IF(A393=1,I393,N392+I393)</x:f>
        <x:v>0</x:v>
      </x:c>
      <x:c r="O393" s="32" t="n">
        <x:f>IF(A393=1,G393,O392+G393)</x:f>
        <x:v>3671325</x:v>
      </x:c>
      <x:c r="P393" s="37" t="n">
        <x:f>EDATE(Dashboard!$B$10,A393)</x:f>
        <x:v>56949</x:v>
      </x:c>
    </x:row>
    <x:row r="394">
      <x:c r="A394" s="33" t="n">
        <x:v>393</x:v>
      </x:c>
      <x:c r="B394" s="33" t="str">
        <x:f>IF(A394&lt;=Dashboard!$F$8,"Holiday",IF(A394&lt;=Dashboard!$F$8+Dashboard!$F$7,"Repayment","Closed"))</x:f>
        <x:v>Closed</x:v>
      </x:c>
      <x:c r="C394" s="32">
        <x:f>IF(A394=1,Dashboard!$B$6,IF(B394="Holiday",J393,L393))</x:f>
      </x:c>
      <x:c r="D394" s="32">
        <x:f>IF(A394=1,0,IF(B394="Holiday",K393,0))</x:f>
      </x:c>
      <x:c r="E394" s="32">
        <x:f>C394+D394</x:f>
      </x:c>
      <x:c r="F394" s="32">
        <x:f>IF(B394="Holiday",IF(Dashboard!$B$14="Principal Only",MIN(Dashboard!$B$15,C394),0),0)</x:f>
      </x:c>
      <x:c r="G394" s="32" t="n">
        <x:f>IF(B394="Closed",0,IF(B394="Holiday",IF(Dashboard!$B$14="Interest Only",C394*Dashboard!$F$6,MAX(0,(C394-F394)*Dashboard!$F$6)),E394*Dashboard!$F$6))</x:f>
        <x:v>0</x:v>
      </x:c>
      <x:c r="H394" s="32" t="n">
        <x:f>IF(B394="Holiday",IF(Dashboard!$B$14="Interest Only",G394,F394),IF(B394="Closed",0,MIN(Dashboard!$F$10,E394+G394)))</x:f>
        <x:v>0</x:v>
      </x:c>
      <x:c r="I394" s="32" t="n">
        <x:f>IF(B394="Holiday",F394,IF(B394="Closed",0,MAX(0,H394-G394)))</x:f>
        <x:v>0</x:v>
      </x:c>
      <x:c r="J394" s="32" t="n">
        <x:f>IF(B394="Holiday",MAX(0,C394-F394),IF(B394="Closed",0,MAX(0,E394-I394)))</x:f>
        <x:v>0</x:v>
      </x:c>
      <x:c r="K394" s="32" t="n">
        <x:f>IF(B394="Holiday",IF(Dashboard!$B$14="Interest Only",D394,D394+G394),0)</x:f>
        <x:v>0</x:v>
      </x:c>
      <x:c r="L394" s="32" t="n">
        <x:f>J394+K394</x:f>
        <x:v>0</x:v>
      </x:c>
      <x:c r="M394" s="32" t="n">
        <x:f>IF(A394=1,H394,M393+H394)</x:f>
        <x:v>0</x:v>
      </x:c>
      <x:c r="N394" s="32" t="n">
        <x:f>IF(A394=1,I394,N393+I394)</x:f>
        <x:v>0</x:v>
      </x:c>
      <x:c r="O394" s="32" t="n">
        <x:f>IF(A394=1,G394,O393+G394)</x:f>
        <x:v>3671325</x:v>
      </x:c>
      <x:c r="P394" s="37" t="n">
        <x:f>EDATE(Dashboard!$B$10,A394)</x:f>
        <x:v>56980</x:v>
      </x:c>
    </x:row>
    <x:row r="395">
      <x:c r="A395" s="33" t="n">
        <x:v>394</x:v>
      </x:c>
      <x:c r="B395" s="33" t="str">
        <x:f>IF(A395&lt;=Dashboard!$F$8,"Holiday",IF(A395&lt;=Dashboard!$F$8+Dashboard!$F$7,"Repayment","Closed"))</x:f>
        <x:v>Closed</x:v>
      </x:c>
      <x:c r="C395" s="32">
        <x:f>IF(A395=1,Dashboard!$B$6,IF(B395="Holiday",J394,L394))</x:f>
      </x:c>
      <x:c r="D395" s="32">
        <x:f>IF(A395=1,0,IF(B395="Holiday",K394,0))</x:f>
      </x:c>
      <x:c r="E395" s="32">
        <x:f>C395+D395</x:f>
      </x:c>
      <x:c r="F395" s="32">
        <x:f>IF(B395="Holiday",IF(Dashboard!$B$14="Principal Only",MIN(Dashboard!$B$15,C395),0),0)</x:f>
      </x:c>
      <x:c r="G395" s="32" t="n">
        <x:f>IF(B395="Closed",0,IF(B395="Holiday",IF(Dashboard!$B$14="Interest Only",C395*Dashboard!$F$6,MAX(0,(C395-F395)*Dashboard!$F$6)),E395*Dashboard!$F$6))</x:f>
        <x:v>0</x:v>
      </x:c>
      <x:c r="H395" s="32" t="n">
        <x:f>IF(B395="Holiday",IF(Dashboard!$B$14="Interest Only",G395,F395),IF(B395="Closed",0,MIN(Dashboard!$F$10,E395+G395)))</x:f>
        <x:v>0</x:v>
      </x:c>
      <x:c r="I395" s="32" t="n">
        <x:f>IF(B395="Holiday",F395,IF(B395="Closed",0,MAX(0,H395-G395)))</x:f>
        <x:v>0</x:v>
      </x:c>
      <x:c r="J395" s="32" t="n">
        <x:f>IF(B395="Holiday",MAX(0,C395-F395),IF(B395="Closed",0,MAX(0,E395-I395)))</x:f>
        <x:v>0</x:v>
      </x:c>
      <x:c r="K395" s="32" t="n">
        <x:f>IF(B395="Holiday",IF(Dashboard!$B$14="Interest Only",D395,D395+G395),0)</x:f>
        <x:v>0</x:v>
      </x:c>
      <x:c r="L395" s="32" t="n">
        <x:f>J395+K395</x:f>
        <x:v>0</x:v>
      </x:c>
      <x:c r="M395" s="32" t="n">
        <x:f>IF(A395=1,H395,M394+H395)</x:f>
        <x:v>0</x:v>
      </x:c>
      <x:c r="N395" s="32" t="n">
        <x:f>IF(A395=1,I395,N394+I395)</x:f>
        <x:v>0</x:v>
      </x:c>
      <x:c r="O395" s="32" t="n">
        <x:f>IF(A395=1,G395,O394+G395)</x:f>
        <x:v>3671325</x:v>
      </x:c>
      <x:c r="P395" s="37" t="n">
        <x:f>EDATE(Dashboard!$B$10,A395)</x:f>
        <x:v>57011</x:v>
      </x:c>
    </x:row>
    <x:row r="396">
      <x:c r="A396" s="33" t="n">
        <x:v>395</x:v>
      </x:c>
      <x:c r="B396" s="33" t="str">
        <x:f>IF(A396&lt;=Dashboard!$F$8,"Holiday",IF(A396&lt;=Dashboard!$F$8+Dashboard!$F$7,"Repayment","Closed"))</x:f>
        <x:v>Closed</x:v>
      </x:c>
      <x:c r="C396" s="32">
        <x:f>IF(A396=1,Dashboard!$B$6,IF(B396="Holiday",J395,L395))</x:f>
      </x:c>
      <x:c r="D396" s="32">
        <x:f>IF(A396=1,0,IF(B396="Holiday",K395,0))</x:f>
      </x:c>
      <x:c r="E396" s="32">
        <x:f>C396+D396</x:f>
      </x:c>
      <x:c r="F396" s="32">
        <x:f>IF(B396="Holiday",IF(Dashboard!$B$14="Principal Only",MIN(Dashboard!$B$15,C396),0),0)</x:f>
      </x:c>
      <x:c r="G396" s="32" t="n">
        <x:f>IF(B396="Closed",0,IF(B396="Holiday",IF(Dashboard!$B$14="Interest Only",C396*Dashboard!$F$6,MAX(0,(C396-F396)*Dashboard!$F$6)),E396*Dashboard!$F$6))</x:f>
        <x:v>0</x:v>
      </x:c>
      <x:c r="H396" s="32" t="n">
        <x:f>IF(B396="Holiday",IF(Dashboard!$B$14="Interest Only",G396,F396),IF(B396="Closed",0,MIN(Dashboard!$F$10,E396+G396)))</x:f>
        <x:v>0</x:v>
      </x:c>
      <x:c r="I396" s="32" t="n">
        <x:f>IF(B396="Holiday",F396,IF(B396="Closed",0,MAX(0,H396-G396)))</x:f>
        <x:v>0</x:v>
      </x:c>
      <x:c r="J396" s="32" t="n">
        <x:f>IF(B396="Holiday",MAX(0,C396-F396),IF(B396="Closed",0,MAX(0,E396-I396)))</x:f>
        <x:v>0</x:v>
      </x:c>
      <x:c r="K396" s="32" t="n">
        <x:f>IF(B396="Holiday",IF(Dashboard!$B$14="Interest Only",D396,D396+G396),0)</x:f>
        <x:v>0</x:v>
      </x:c>
      <x:c r="L396" s="32" t="n">
        <x:f>J396+K396</x:f>
        <x:v>0</x:v>
      </x:c>
      <x:c r="M396" s="32" t="n">
        <x:f>IF(A396=1,H396,M395+H396)</x:f>
        <x:v>0</x:v>
      </x:c>
      <x:c r="N396" s="32" t="n">
        <x:f>IF(A396=1,I396,N395+I396)</x:f>
        <x:v>0</x:v>
      </x:c>
      <x:c r="O396" s="32" t="n">
        <x:f>IF(A396=1,G396,O395+G396)</x:f>
        <x:v>3671325</x:v>
      </x:c>
      <x:c r="P396" s="37" t="n">
        <x:f>EDATE(Dashboard!$B$10,A396)</x:f>
        <x:v>57040</x:v>
      </x:c>
    </x:row>
    <x:row r="397">
      <x:c r="A397" s="33" t="n">
        <x:v>396</x:v>
      </x:c>
      <x:c r="B397" s="33" t="str">
        <x:f>IF(A397&lt;=Dashboard!$F$8,"Holiday",IF(A397&lt;=Dashboard!$F$8+Dashboard!$F$7,"Repayment","Closed"))</x:f>
        <x:v>Closed</x:v>
      </x:c>
      <x:c r="C397" s="32">
        <x:f>IF(A397=1,Dashboard!$B$6,IF(B397="Holiday",J396,L396))</x:f>
      </x:c>
      <x:c r="D397" s="32">
        <x:f>IF(A397=1,0,IF(B397="Holiday",K396,0))</x:f>
      </x:c>
      <x:c r="E397" s="32">
        <x:f>C397+D397</x:f>
      </x:c>
      <x:c r="F397" s="32">
        <x:f>IF(B397="Holiday",IF(Dashboard!$B$14="Principal Only",MIN(Dashboard!$B$15,C397),0),0)</x:f>
      </x:c>
      <x:c r="G397" s="32" t="n">
        <x:f>IF(B397="Closed",0,IF(B397="Holiday",IF(Dashboard!$B$14="Interest Only",C397*Dashboard!$F$6,MAX(0,(C397-F397)*Dashboard!$F$6)),E397*Dashboard!$F$6))</x:f>
        <x:v>0</x:v>
      </x:c>
      <x:c r="H397" s="32" t="n">
        <x:f>IF(B397="Holiday",IF(Dashboard!$B$14="Interest Only",G397,F397),IF(B397="Closed",0,MIN(Dashboard!$F$10,E397+G397)))</x:f>
        <x:v>0</x:v>
      </x:c>
      <x:c r="I397" s="32" t="n">
        <x:f>IF(B397="Holiday",F397,IF(B397="Closed",0,MAX(0,H397-G397)))</x:f>
        <x:v>0</x:v>
      </x:c>
      <x:c r="J397" s="32" t="n">
        <x:f>IF(B397="Holiday",MAX(0,C397-F397),IF(B397="Closed",0,MAX(0,E397-I397)))</x:f>
        <x:v>0</x:v>
      </x:c>
      <x:c r="K397" s="32" t="n">
        <x:f>IF(B397="Holiday",IF(Dashboard!$B$14="Interest Only",D397,D397+G397),0)</x:f>
        <x:v>0</x:v>
      </x:c>
      <x:c r="L397" s="32" t="n">
        <x:f>J397+K397</x:f>
        <x:v>0</x:v>
      </x:c>
      <x:c r="M397" s="32" t="n">
        <x:f>IF(A397=1,H397,M396+H397)</x:f>
        <x:v>0</x:v>
      </x:c>
      <x:c r="N397" s="32" t="n">
        <x:f>IF(A397=1,I397,N396+I397)</x:f>
        <x:v>0</x:v>
      </x:c>
      <x:c r="O397" s="32" t="n">
        <x:f>IF(A397=1,G397,O396+G397)</x:f>
        <x:v>3671325</x:v>
      </x:c>
      <x:c r="P397" s="37" t="n">
        <x:f>EDATE(Dashboard!$B$10,A397)</x:f>
        <x:v>57071</x:v>
      </x:c>
    </x:row>
    <x:row r="398">
      <x:c r="A398" s="33" t="n">
        <x:v>397</x:v>
      </x:c>
      <x:c r="B398" s="33" t="str">
        <x:f>IF(A398&lt;=Dashboard!$F$8,"Holiday",IF(A398&lt;=Dashboard!$F$8+Dashboard!$F$7,"Repayment","Closed"))</x:f>
        <x:v>Closed</x:v>
      </x:c>
      <x:c r="C398" s="32">
        <x:f>IF(A398=1,Dashboard!$B$6,IF(B398="Holiday",J397,L397))</x:f>
      </x:c>
      <x:c r="D398" s="32">
        <x:f>IF(A398=1,0,IF(B398="Holiday",K397,0))</x:f>
      </x:c>
      <x:c r="E398" s="32">
        <x:f>C398+D398</x:f>
      </x:c>
      <x:c r="F398" s="32">
        <x:f>IF(B398="Holiday",IF(Dashboard!$B$14="Principal Only",MIN(Dashboard!$B$15,C398),0),0)</x:f>
      </x:c>
      <x:c r="G398" s="32" t="n">
        <x:f>IF(B398="Closed",0,IF(B398="Holiday",IF(Dashboard!$B$14="Interest Only",C398*Dashboard!$F$6,MAX(0,(C398-F398)*Dashboard!$F$6)),E398*Dashboard!$F$6))</x:f>
        <x:v>0</x:v>
      </x:c>
      <x:c r="H398" s="32" t="n">
        <x:f>IF(B398="Holiday",IF(Dashboard!$B$14="Interest Only",G398,F398),IF(B398="Closed",0,MIN(Dashboard!$F$10,E398+G398)))</x:f>
        <x:v>0</x:v>
      </x:c>
      <x:c r="I398" s="32" t="n">
        <x:f>IF(B398="Holiday",F398,IF(B398="Closed",0,MAX(0,H398-G398)))</x:f>
        <x:v>0</x:v>
      </x:c>
      <x:c r="J398" s="32" t="n">
        <x:f>IF(B398="Holiday",MAX(0,C398-F398),IF(B398="Closed",0,MAX(0,E398-I398)))</x:f>
        <x:v>0</x:v>
      </x:c>
      <x:c r="K398" s="32" t="n">
        <x:f>IF(B398="Holiday",IF(Dashboard!$B$14="Interest Only",D398,D398+G398),0)</x:f>
        <x:v>0</x:v>
      </x:c>
      <x:c r="L398" s="32" t="n">
        <x:f>J398+K398</x:f>
        <x:v>0</x:v>
      </x:c>
      <x:c r="M398" s="32" t="n">
        <x:f>IF(A398=1,H398,M397+H398)</x:f>
        <x:v>0</x:v>
      </x:c>
      <x:c r="N398" s="32" t="n">
        <x:f>IF(A398=1,I398,N397+I398)</x:f>
        <x:v>0</x:v>
      </x:c>
      <x:c r="O398" s="32" t="n">
        <x:f>IF(A398=1,G398,O397+G398)</x:f>
        <x:v>3671325</x:v>
      </x:c>
      <x:c r="P398" s="37" t="n">
        <x:f>EDATE(Dashboard!$B$10,A398)</x:f>
        <x:v>57101</x:v>
      </x:c>
    </x:row>
    <x:row r="399">
      <x:c r="A399" s="33" t="n">
        <x:v>398</x:v>
      </x:c>
      <x:c r="B399" s="33" t="str">
        <x:f>IF(A399&lt;=Dashboard!$F$8,"Holiday",IF(A399&lt;=Dashboard!$F$8+Dashboard!$F$7,"Repayment","Closed"))</x:f>
        <x:v>Closed</x:v>
      </x:c>
      <x:c r="C399" s="32">
        <x:f>IF(A399=1,Dashboard!$B$6,IF(B399="Holiday",J398,L398))</x:f>
      </x:c>
      <x:c r="D399" s="32">
        <x:f>IF(A399=1,0,IF(B399="Holiday",K398,0))</x:f>
      </x:c>
      <x:c r="E399" s="32">
        <x:f>C399+D399</x:f>
      </x:c>
      <x:c r="F399" s="32">
        <x:f>IF(B399="Holiday",IF(Dashboard!$B$14="Principal Only",MIN(Dashboard!$B$15,C399),0),0)</x:f>
      </x:c>
      <x:c r="G399" s="32" t="n">
        <x:f>IF(B399="Closed",0,IF(B399="Holiday",IF(Dashboard!$B$14="Interest Only",C399*Dashboard!$F$6,MAX(0,(C399-F399)*Dashboard!$F$6)),E399*Dashboard!$F$6))</x:f>
        <x:v>0</x:v>
      </x:c>
      <x:c r="H399" s="32" t="n">
        <x:f>IF(B399="Holiday",IF(Dashboard!$B$14="Interest Only",G399,F399),IF(B399="Closed",0,MIN(Dashboard!$F$10,E399+G399)))</x:f>
        <x:v>0</x:v>
      </x:c>
      <x:c r="I399" s="32" t="n">
        <x:f>IF(B399="Holiday",F399,IF(B399="Closed",0,MAX(0,H399-G399)))</x:f>
        <x:v>0</x:v>
      </x:c>
      <x:c r="J399" s="32" t="n">
        <x:f>IF(B399="Holiday",MAX(0,C399-F399),IF(B399="Closed",0,MAX(0,E399-I399)))</x:f>
        <x:v>0</x:v>
      </x:c>
      <x:c r="K399" s="32" t="n">
        <x:f>IF(B399="Holiday",IF(Dashboard!$B$14="Interest Only",D399,D399+G399),0)</x:f>
        <x:v>0</x:v>
      </x:c>
      <x:c r="L399" s="32" t="n">
        <x:f>J399+K399</x:f>
        <x:v>0</x:v>
      </x:c>
      <x:c r="M399" s="32" t="n">
        <x:f>IF(A399=1,H399,M398+H399)</x:f>
        <x:v>0</x:v>
      </x:c>
      <x:c r="N399" s="32" t="n">
        <x:f>IF(A399=1,I399,N398+I399)</x:f>
        <x:v>0</x:v>
      </x:c>
      <x:c r="O399" s="32" t="n">
        <x:f>IF(A399=1,G399,O398+G399)</x:f>
        <x:v>3671325</x:v>
      </x:c>
      <x:c r="P399" s="37" t="n">
        <x:f>EDATE(Dashboard!$B$10,A399)</x:f>
        <x:v>57132</x:v>
      </x:c>
    </x:row>
    <x:row r="400">
      <x:c r="A400" s="33" t="n">
        <x:v>399</x:v>
      </x:c>
      <x:c r="B400" s="33" t="str">
        <x:f>IF(A400&lt;=Dashboard!$F$8,"Holiday",IF(A400&lt;=Dashboard!$F$8+Dashboard!$F$7,"Repayment","Closed"))</x:f>
        <x:v>Closed</x:v>
      </x:c>
      <x:c r="C400" s="32">
        <x:f>IF(A400=1,Dashboard!$B$6,IF(B400="Holiday",J399,L399))</x:f>
      </x:c>
      <x:c r="D400" s="32">
        <x:f>IF(A400=1,0,IF(B400="Holiday",K399,0))</x:f>
      </x:c>
      <x:c r="E400" s="32">
        <x:f>C400+D400</x:f>
      </x:c>
      <x:c r="F400" s="32">
        <x:f>IF(B400="Holiday",IF(Dashboard!$B$14="Principal Only",MIN(Dashboard!$B$15,C400),0),0)</x:f>
      </x:c>
      <x:c r="G400" s="32" t="n">
        <x:f>IF(B400="Closed",0,IF(B400="Holiday",IF(Dashboard!$B$14="Interest Only",C400*Dashboard!$F$6,MAX(0,(C400-F400)*Dashboard!$F$6)),E400*Dashboard!$F$6))</x:f>
        <x:v>0</x:v>
      </x:c>
      <x:c r="H400" s="32" t="n">
        <x:f>IF(B400="Holiday",IF(Dashboard!$B$14="Interest Only",G400,F400),IF(B400="Closed",0,MIN(Dashboard!$F$10,E400+G400)))</x:f>
        <x:v>0</x:v>
      </x:c>
      <x:c r="I400" s="32" t="n">
        <x:f>IF(B400="Holiday",F400,IF(B400="Closed",0,MAX(0,H400-G400)))</x:f>
        <x:v>0</x:v>
      </x:c>
      <x:c r="J400" s="32" t="n">
        <x:f>IF(B400="Holiday",MAX(0,C400-F400),IF(B400="Closed",0,MAX(0,E400-I400)))</x:f>
        <x:v>0</x:v>
      </x:c>
      <x:c r="K400" s="32" t="n">
        <x:f>IF(B400="Holiday",IF(Dashboard!$B$14="Interest Only",D400,D400+G400),0)</x:f>
        <x:v>0</x:v>
      </x:c>
      <x:c r="L400" s="32" t="n">
        <x:f>J400+K400</x:f>
        <x:v>0</x:v>
      </x:c>
      <x:c r="M400" s="32" t="n">
        <x:f>IF(A400=1,H400,M399+H400)</x:f>
        <x:v>0</x:v>
      </x:c>
      <x:c r="N400" s="32" t="n">
        <x:f>IF(A400=1,I400,N399+I400)</x:f>
        <x:v>0</x:v>
      </x:c>
      <x:c r="O400" s="32" t="n">
        <x:f>IF(A400=1,G400,O399+G400)</x:f>
        <x:v>3671325</x:v>
      </x:c>
      <x:c r="P400" s="37" t="n">
        <x:f>EDATE(Dashboard!$B$10,A400)</x:f>
        <x:v>57162</x:v>
      </x:c>
    </x:row>
    <x:row r="401">
      <x:c r="A401" s="33" t="n">
        <x:v>400</x:v>
      </x:c>
      <x:c r="B401" s="33" t="str">
        <x:f>IF(A401&lt;=Dashboard!$F$8,"Holiday",IF(A401&lt;=Dashboard!$F$8+Dashboard!$F$7,"Repayment","Closed"))</x:f>
        <x:v>Closed</x:v>
      </x:c>
      <x:c r="C401" s="32">
        <x:f>IF(A401=1,Dashboard!$B$6,IF(B401="Holiday",J400,L400))</x:f>
      </x:c>
      <x:c r="D401" s="32">
        <x:f>IF(A401=1,0,IF(B401="Holiday",K400,0))</x:f>
      </x:c>
      <x:c r="E401" s="32">
        <x:f>C401+D401</x:f>
      </x:c>
      <x:c r="F401" s="32">
        <x:f>IF(B401="Holiday",IF(Dashboard!$B$14="Principal Only",MIN(Dashboard!$B$15,C401),0),0)</x:f>
      </x:c>
      <x:c r="G401" s="32" t="n">
        <x:f>IF(B401="Closed",0,IF(B401="Holiday",IF(Dashboard!$B$14="Interest Only",C401*Dashboard!$F$6,MAX(0,(C401-F401)*Dashboard!$F$6)),E401*Dashboard!$F$6))</x:f>
        <x:v>0</x:v>
      </x:c>
      <x:c r="H401" s="32" t="n">
        <x:f>IF(B401="Holiday",IF(Dashboard!$B$14="Interest Only",G401,F401),IF(B401="Closed",0,MIN(Dashboard!$F$10,E401+G401)))</x:f>
        <x:v>0</x:v>
      </x:c>
      <x:c r="I401" s="32" t="n">
        <x:f>IF(B401="Holiday",F401,IF(B401="Closed",0,MAX(0,H401-G401)))</x:f>
        <x:v>0</x:v>
      </x:c>
      <x:c r="J401" s="32" t="n">
        <x:f>IF(B401="Holiday",MAX(0,C401-F401),IF(B401="Closed",0,MAX(0,E401-I401)))</x:f>
        <x:v>0</x:v>
      </x:c>
      <x:c r="K401" s="32" t="n">
        <x:f>IF(B401="Holiday",IF(Dashboard!$B$14="Interest Only",D401,D401+G401),0)</x:f>
        <x:v>0</x:v>
      </x:c>
      <x:c r="L401" s="32" t="n">
        <x:f>J401+K401</x:f>
        <x:v>0</x:v>
      </x:c>
      <x:c r="M401" s="32" t="n">
        <x:f>IF(A401=1,H401,M400+H401)</x:f>
        <x:v>0</x:v>
      </x:c>
      <x:c r="N401" s="32" t="n">
        <x:f>IF(A401=1,I401,N400+I401)</x:f>
        <x:v>0</x:v>
      </x:c>
      <x:c r="O401" s="32" t="n">
        <x:f>IF(A401=1,G401,O400+G401)</x:f>
        <x:v>3671325</x:v>
      </x:c>
      <x:c r="P401" s="37" t="n">
        <x:f>EDATE(Dashboard!$B$10,A401)</x:f>
        <x:v>57193</x:v>
      </x:c>
    </x:row>
    <x:row r="402">
      <x:c r="A402" s="33" t="n">
        <x:v>401</x:v>
      </x:c>
      <x:c r="B402" s="33" t="str">
        <x:f>IF(A402&lt;=Dashboard!$F$8,"Holiday",IF(A402&lt;=Dashboard!$F$8+Dashboard!$F$7,"Repayment","Closed"))</x:f>
        <x:v>Closed</x:v>
      </x:c>
      <x:c r="C402" s="32">
        <x:f>IF(A402=1,Dashboard!$B$6,IF(B402="Holiday",J401,L401))</x:f>
      </x:c>
      <x:c r="D402" s="32">
        <x:f>IF(A402=1,0,IF(B402="Holiday",K401,0))</x:f>
      </x:c>
      <x:c r="E402" s="32">
        <x:f>C402+D402</x:f>
      </x:c>
      <x:c r="F402" s="32">
        <x:f>IF(B402="Holiday",IF(Dashboard!$B$14="Principal Only",MIN(Dashboard!$B$15,C402),0),0)</x:f>
      </x:c>
      <x:c r="G402" s="32" t="n">
        <x:f>IF(B402="Closed",0,IF(B402="Holiday",IF(Dashboard!$B$14="Interest Only",C402*Dashboard!$F$6,MAX(0,(C402-F402)*Dashboard!$F$6)),E402*Dashboard!$F$6))</x:f>
        <x:v>0</x:v>
      </x:c>
      <x:c r="H402" s="32" t="n">
        <x:f>IF(B402="Holiday",IF(Dashboard!$B$14="Interest Only",G402,F402),IF(B402="Closed",0,MIN(Dashboard!$F$10,E402+G402)))</x:f>
        <x:v>0</x:v>
      </x:c>
      <x:c r="I402" s="32" t="n">
        <x:f>IF(B402="Holiday",F402,IF(B402="Closed",0,MAX(0,H402-G402)))</x:f>
        <x:v>0</x:v>
      </x:c>
      <x:c r="J402" s="32" t="n">
        <x:f>IF(B402="Holiday",MAX(0,C402-F402),IF(B402="Closed",0,MAX(0,E402-I402)))</x:f>
        <x:v>0</x:v>
      </x:c>
      <x:c r="K402" s="32" t="n">
        <x:f>IF(B402="Holiday",IF(Dashboard!$B$14="Interest Only",D402,D402+G402),0)</x:f>
        <x:v>0</x:v>
      </x:c>
      <x:c r="L402" s="32" t="n">
        <x:f>J402+K402</x:f>
        <x:v>0</x:v>
      </x:c>
      <x:c r="M402" s="32" t="n">
        <x:f>IF(A402=1,H402,M401+H402)</x:f>
        <x:v>0</x:v>
      </x:c>
      <x:c r="N402" s="32" t="n">
        <x:f>IF(A402=1,I402,N401+I402)</x:f>
        <x:v>0</x:v>
      </x:c>
      <x:c r="O402" s="32" t="n">
        <x:f>IF(A402=1,G402,O401+G402)</x:f>
        <x:v>3671325</x:v>
      </x:c>
      <x:c r="P402" s="37" t="n">
        <x:f>EDATE(Dashboard!$B$10,A402)</x:f>
        <x:v>57224</x:v>
      </x:c>
    </x:row>
    <x:row r="403">
      <x:c r="A403" s="33" t="n">
        <x:v>402</x:v>
      </x:c>
      <x:c r="B403" s="33" t="str">
        <x:f>IF(A403&lt;=Dashboard!$F$8,"Holiday",IF(A403&lt;=Dashboard!$F$8+Dashboard!$F$7,"Repayment","Closed"))</x:f>
        <x:v>Closed</x:v>
      </x:c>
      <x:c r="C403" s="32">
        <x:f>IF(A403=1,Dashboard!$B$6,IF(B403="Holiday",J402,L402))</x:f>
      </x:c>
      <x:c r="D403" s="32">
        <x:f>IF(A403=1,0,IF(B403="Holiday",K402,0))</x:f>
      </x:c>
      <x:c r="E403" s="32">
        <x:f>C403+D403</x:f>
      </x:c>
      <x:c r="F403" s="32">
        <x:f>IF(B403="Holiday",IF(Dashboard!$B$14="Principal Only",MIN(Dashboard!$B$15,C403),0),0)</x:f>
      </x:c>
      <x:c r="G403" s="32" t="n">
        <x:f>IF(B403="Closed",0,IF(B403="Holiday",IF(Dashboard!$B$14="Interest Only",C403*Dashboard!$F$6,MAX(0,(C403-F403)*Dashboard!$F$6)),E403*Dashboard!$F$6))</x:f>
        <x:v>0</x:v>
      </x:c>
      <x:c r="H403" s="32" t="n">
        <x:f>IF(B403="Holiday",IF(Dashboard!$B$14="Interest Only",G403,F403),IF(B403="Closed",0,MIN(Dashboard!$F$10,E403+G403)))</x:f>
        <x:v>0</x:v>
      </x:c>
      <x:c r="I403" s="32" t="n">
        <x:f>IF(B403="Holiday",F403,IF(B403="Closed",0,MAX(0,H403-G403)))</x:f>
        <x:v>0</x:v>
      </x:c>
      <x:c r="J403" s="32" t="n">
        <x:f>IF(B403="Holiday",MAX(0,C403-F403),IF(B403="Closed",0,MAX(0,E403-I403)))</x:f>
        <x:v>0</x:v>
      </x:c>
      <x:c r="K403" s="32" t="n">
        <x:f>IF(B403="Holiday",IF(Dashboard!$B$14="Interest Only",D403,D403+G403),0)</x:f>
        <x:v>0</x:v>
      </x:c>
      <x:c r="L403" s="32" t="n">
        <x:f>J403+K403</x:f>
        <x:v>0</x:v>
      </x:c>
      <x:c r="M403" s="32" t="n">
        <x:f>IF(A403=1,H403,M402+H403)</x:f>
        <x:v>0</x:v>
      </x:c>
      <x:c r="N403" s="32" t="n">
        <x:f>IF(A403=1,I403,N402+I403)</x:f>
        <x:v>0</x:v>
      </x:c>
      <x:c r="O403" s="32" t="n">
        <x:f>IF(A403=1,G403,O402+G403)</x:f>
        <x:v>3671325</x:v>
      </x:c>
      <x:c r="P403" s="37" t="n">
        <x:f>EDATE(Dashboard!$B$10,A403)</x:f>
        <x:v>57254</x:v>
      </x:c>
    </x:row>
    <x:row r="404">
      <x:c r="A404" s="33" t="n">
        <x:v>403</x:v>
      </x:c>
      <x:c r="B404" s="33" t="str">
        <x:f>IF(A404&lt;=Dashboard!$F$8,"Holiday",IF(A404&lt;=Dashboard!$F$8+Dashboard!$F$7,"Repayment","Closed"))</x:f>
        <x:v>Closed</x:v>
      </x:c>
      <x:c r="C404" s="32">
        <x:f>IF(A404=1,Dashboard!$B$6,IF(B404="Holiday",J403,L403))</x:f>
      </x:c>
      <x:c r="D404" s="32">
        <x:f>IF(A404=1,0,IF(B404="Holiday",K403,0))</x:f>
      </x:c>
      <x:c r="E404" s="32">
        <x:f>C404+D404</x:f>
      </x:c>
      <x:c r="F404" s="32">
        <x:f>IF(B404="Holiday",IF(Dashboard!$B$14="Principal Only",MIN(Dashboard!$B$15,C404),0),0)</x:f>
      </x:c>
      <x:c r="G404" s="32" t="n">
        <x:f>IF(B404="Closed",0,IF(B404="Holiday",IF(Dashboard!$B$14="Interest Only",C404*Dashboard!$F$6,MAX(0,(C404-F404)*Dashboard!$F$6)),E404*Dashboard!$F$6))</x:f>
        <x:v>0</x:v>
      </x:c>
      <x:c r="H404" s="32" t="n">
        <x:f>IF(B404="Holiday",IF(Dashboard!$B$14="Interest Only",G404,F404),IF(B404="Closed",0,MIN(Dashboard!$F$10,E404+G404)))</x:f>
        <x:v>0</x:v>
      </x:c>
      <x:c r="I404" s="32" t="n">
        <x:f>IF(B404="Holiday",F404,IF(B404="Closed",0,MAX(0,H404-G404)))</x:f>
        <x:v>0</x:v>
      </x:c>
      <x:c r="J404" s="32" t="n">
        <x:f>IF(B404="Holiday",MAX(0,C404-F404),IF(B404="Closed",0,MAX(0,E404-I404)))</x:f>
        <x:v>0</x:v>
      </x:c>
      <x:c r="K404" s="32" t="n">
        <x:f>IF(B404="Holiday",IF(Dashboard!$B$14="Interest Only",D404,D404+G404),0)</x:f>
        <x:v>0</x:v>
      </x:c>
      <x:c r="L404" s="32" t="n">
        <x:f>J404+K404</x:f>
        <x:v>0</x:v>
      </x:c>
      <x:c r="M404" s="32" t="n">
        <x:f>IF(A404=1,H404,M403+H404)</x:f>
        <x:v>0</x:v>
      </x:c>
      <x:c r="N404" s="32" t="n">
        <x:f>IF(A404=1,I404,N403+I404)</x:f>
        <x:v>0</x:v>
      </x:c>
      <x:c r="O404" s="32" t="n">
        <x:f>IF(A404=1,G404,O403+G404)</x:f>
        <x:v>3671325</x:v>
      </x:c>
      <x:c r="P404" s="37" t="n">
        <x:f>EDATE(Dashboard!$B$10,A404)</x:f>
        <x:v>57285</x:v>
      </x:c>
    </x:row>
    <x:row r="405">
      <x:c r="A405" s="33" t="n">
        <x:v>404</x:v>
      </x:c>
      <x:c r="B405" s="33" t="str">
        <x:f>IF(A405&lt;=Dashboard!$F$8,"Holiday",IF(A405&lt;=Dashboard!$F$8+Dashboard!$F$7,"Repayment","Closed"))</x:f>
        <x:v>Closed</x:v>
      </x:c>
      <x:c r="C405" s="32">
        <x:f>IF(A405=1,Dashboard!$B$6,IF(B405="Holiday",J404,L404))</x:f>
      </x:c>
      <x:c r="D405" s="32">
        <x:f>IF(A405=1,0,IF(B405="Holiday",K404,0))</x:f>
      </x:c>
      <x:c r="E405" s="32">
        <x:f>C405+D405</x:f>
      </x:c>
      <x:c r="F405" s="32">
        <x:f>IF(B405="Holiday",IF(Dashboard!$B$14="Principal Only",MIN(Dashboard!$B$15,C405),0),0)</x:f>
      </x:c>
      <x:c r="G405" s="32" t="n">
        <x:f>IF(B405="Closed",0,IF(B405="Holiday",IF(Dashboard!$B$14="Interest Only",C405*Dashboard!$F$6,MAX(0,(C405-F405)*Dashboard!$F$6)),E405*Dashboard!$F$6))</x:f>
        <x:v>0</x:v>
      </x:c>
      <x:c r="H405" s="32" t="n">
        <x:f>IF(B405="Holiday",IF(Dashboard!$B$14="Interest Only",G405,F405),IF(B405="Closed",0,MIN(Dashboard!$F$10,E405+G405)))</x:f>
        <x:v>0</x:v>
      </x:c>
      <x:c r="I405" s="32" t="n">
        <x:f>IF(B405="Holiday",F405,IF(B405="Closed",0,MAX(0,H405-G405)))</x:f>
        <x:v>0</x:v>
      </x:c>
      <x:c r="J405" s="32" t="n">
        <x:f>IF(B405="Holiday",MAX(0,C405-F405),IF(B405="Closed",0,MAX(0,E405-I405)))</x:f>
        <x:v>0</x:v>
      </x:c>
      <x:c r="K405" s="32" t="n">
        <x:f>IF(B405="Holiday",IF(Dashboard!$B$14="Interest Only",D405,D405+G405),0)</x:f>
        <x:v>0</x:v>
      </x:c>
      <x:c r="L405" s="32" t="n">
        <x:f>J405+K405</x:f>
        <x:v>0</x:v>
      </x:c>
      <x:c r="M405" s="32" t="n">
        <x:f>IF(A405=1,H405,M404+H405)</x:f>
        <x:v>0</x:v>
      </x:c>
      <x:c r="N405" s="32" t="n">
        <x:f>IF(A405=1,I405,N404+I405)</x:f>
        <x:v>0</x:v>
      </x:c>
      <x:c r="O405" s="32" t="n">
        <x:f>IF(A405=1,G405,O404+G405)</x:f>
        <x:v>3671325</x:v>
      </x:c>
      <x:c r="P405" s="37" t="n">
        <x:f>EDATE(Dashboard!$B$10,A405)</x:f>
        <x:v>57315</x:v>
      </x:c>
    </x:row>
    <x:row r="406">
      <x:c r="A406" s="33" t="n">
        <x:v>405</x:v>
      </x:c>
      <x:c r="B406" s="33" t="str">
        <x:f>IF(A406&lt;=Dashboard!$F$8,"Holiday",IF(A406&lt;=Dashboard!$F$8+Dashboard!$F$7,"Repayment","Closed"))</x:f>
        <x:v>Closed</x:v>
      </x:c>
      <x:c r="C406" s="32">
        <x:f>IF(A406=1,Dashboard!$B$6,IF(B406="Holiday",J405,L405))</x:f>
      </x:c>
      <x:c r="D406" s="32">
        <x:f>IF(A406=1,0,IF(B406="Holiday",K405,0))</x:f>
      </x:c>
      <x:c r="E406" s="32">
        <x:f>C406+D406</x:f>
      </x:c>
      <x:c r="F406" s="32">
        <x:f>IF(B406="Holiday",IF(Dashboard!$B$14="Principal Only",MIN(Dashboard!$B$15,C406),0),0)</x:f>
      </x:c>
      <x:c r="G406" s="32" t="n">
        <x:f>IF(B406="Closed",0,IF(B406="Holiday",IF(Dashboard!$B$14="Interest Only",C406*Dashboard!$F$6,MAX(0,(C406-F406)*Dashboard!$F$6)),E406*Dashboard!$F$6))</x:f>
        <x:v>0</x:v>
      </x:c>
      <x:c r="H406" s="32" t="n">
        <x:f>IF(B406="Holiday",IF(Dashboard!$B$14="Interest Only",G406,F406),IF(B406="Closed",0,MIN(Dashboard!$F$10,E406+G406)))</x:f>
        <x:v>0</x:v>
      </x:c>
      <x:c r="I406" s="32" t="n">
        <x:f>IF(B406="Holiday",F406,IF(B406="Closed",0,MAX(0,H406-G406)))</x:f>
        <x:v>0</x:v>
      </x:c>
      <x:c r="J406" s="32" t="n">
        <x:f>IF(B406="Holiday",MAX(0,C406-F406),IF(B406="Closed",0,MAX(0,E406-I406)))</x:f>
        <x:v>0</x:v>
      </x:c>
      <x:c r="K406" s="32" t="n">
        <x:f>IF(B406="Holiday",IF(Dashboard!$B$14="Interest Only",D406,D406+G406),0)</x:f>
        <x:v>0</x:v>
      </x:c>
      <x:c r="L406" s="32" t="n">
        <x:f>J406+K406</x:f>
        <x:v>0</x:v>
      </x:c>
      <x:c r="M406" s="32" t="n">
        <x:f>IF(A406=1,H406,M405+H406)</x:f>
        <x:v>0</x:v>
      </x:c>
      <x:c r="N406" s="32" t="n">
        <x:f>IF(A406=1,I406,N405+I406)</x:f>
        <x:v>0</x:v>
      </x:c>
      <x:c r="O406" s="32" t="n">
        <x:f>IF(A406=1,G406,O405+G406)</x:f>
        <x:v>3671325</x:v>
      </x:c>
      <x:c r="P406" s="37" t="n">
        <x:f>EDATE(Dashboard!$B$10,A406)</x:f>
        <x:v>57346</x:v>
      </x:c>
    </x:row>
    <x:row r="407">
      <x:c r="A407" s="33" t="n">
        <x:v>406</x:v>
      </x:c>
      <x:c r="B407" s="33" t="str">
        <x:f>IF(A407&lt;=Dashboard!$F$8,"Holiday",IF(A407&lt;=Dashboard!$F$8+Dashboard!$F$7,"Repayment","Closed"))</x:f>
        <x:v>Closed</x:v>
      </x:c>
      <x:c r="C407" s="32">
        <x:f>IF(A407=1,Dashboard!$B$6,IF(B407="Holiday",J406,L406))</x:f>
      </x:c>
      <x:c r="D407" s="32">
        <x:f>IF(A407=1,0,IF(B407="Holiday",K406,0))</x:f>
      </x:c>
      <x:c r="E407" s="32">
        <x:f>C407+D407</x:f>
      </x:c>
      <x:c r="F407" s="32">
        <x:f>IF(B407="Holiday",IF(Dashboard!$B$14="Principal Only",MIN(Dashboard!$B$15,C407),0),0)</x:f>
      </x:c>
      <x:c r="G407" s="32" t="n">
        <x:f>IF(B407="Closed",0,IF(B407="Holiday",IF(Dashboard!$B$14="Interest Only",C407*Dashboard!$F$6,MAX(0,(C407-F407)*Dashboard!$F$6)),E407*Dashboard!$F$6))</x:f>
        <x:v>0</x:v>
      </x:c>
      <x:c r="H407" s="32" t="n">
        <x:f>IF(B407="Holiday",IF(Dashboard!$B$14="Interest Only",G407,F407),IF(B407="Closed",0,MIN(Dashboard!$F$10,E407+G407)))</x:f>
        <x:v>0</x:v>
      </x:c>
      <x:c r="I407" s="32" t="n">
        <x:f>IF(B407="Holiday",F407,IF(B407="Closed",0,MAX(0,H407-G407)))</x:f>
        <x:v>0</x:v>
      </x:c>
      <x:c r="J407" s="32" t="n">
        <x:f>IF(B407="Holiday",MAX(0,C407-F407),IF(B407="Closed",0,MAX(0,E407-I407)))</x:f>
        <x:v>0</x:v>
      </x:c>
      <x:c r="K407" s="32" t="n">
        <x:f>IF(B407="Holiday",IF(Dashboard!$B$14="Interest Only",D407,D407+G407),0)</x:f>
        <x:v>0</x:v>
      </x:c>
      <x:c r="L407" s="32" t="n">
        <x:f>J407+K407</x:f>
        <x:v>0</x:v>
      </x:c>
      <x:c r="M407" s="32" t="n">
        <x:f>IF(A407=1,H407,M406+H407)</x:f>
        <x:v>0</x:v>
      </x:c>
      <x:c r="N407" s="32" t="n">
        <x:f>IF(A407=1,I407,N406+I407)</x:f>
        <x:v>0</x:v>
      </x:c>
      <x:c r="O407" s="32" t="n">
        <x:f>IF(A407=1,G407,O406+G407)</x:f>
        <x:v>3671325</x:v>
      </x:c>
      <x:c r="P407" s="37" t="n">
        <x:f>EDATE(Dashboard!$B$10,A407)</x:f>
        <x:v>57377</x:v>
      </x:c>
    </x:row>
    <x:row r="408">
      <x:c r="A408" s="33" t="n">
        <x:v>407</x:v>
      </x:c>
      <x:c r="B408" s="33" t="str">
        <x:f>IF(A408&lt;=Dashboard!$F$8,"Holiday",IF(A408&lt;=Dashboard!$F$8+Dashboard!$F$7,"Repayment","Closed"))</x:f>
        <x:v>Closed</x:v>
      </x:c>
      <x:c r="C408" s="32">
        <x:f>IF(A408=1,Dashboard!$B$6,IF(B408="Holiday",J407,L407))</x:f>
      </x:c>
      <x:c r="D408" s="32">
        <x:f>IF(A408=1,0,IF(B408="Holiday",K407,0))</x:f>
      </x:c>
      <x:c r="E408" s="32">
        <x:f>C408+D408</x:f>
      </x:c>
      <x:c r="F408" s="32">
        <x:f>IF(B408="Holiday",IF(Dashboard!$B$14="Principal Only",MIN(Dashboard!$B$15,C408),0),0)</x:f>
      </x:c>
      <x:c r="G408" s="32" t="n">
        <x:f>IF(B408="Closed",0,IF(B408="Holiday",IF(Dashboard!$B$14="Interest Only",C408*Dashboard!$F$6,MAX(0,(C408-F408)*Dashboard!$F$6)),E408*Dashboard!$F$6))</x:f>
        <x:v>0</x:v>
      </x:c>
      <x:c r="H408" s="32" t="n">
        <x:f>IF(B408="Holiday",IF(Dashboard!$B$14="Interest Only",G408,F408),IF(B408="Closed",0,MIN(Dashboard!$F$10,E408+G408)))</x:f>
        <x:v>0</x:v>
      </x:c>
      <x:c r="I408" s="32" t="n">
        <x:f>IF(B408="Holiday",F408,IF(B408="Closed",0,MAX(0,H408-G408)))</x:f>
        <x:v>0</x:v>
      </x:c>
      <x:c r="J408" s="32" t="n">
        <x:f>IF(B408="Holiday",MAX(0,C408-F408),IF(B408="Closed",0,MAX(0,E408-I408)))</x:f>
        <x:v>0</x:v>
      </x:c>
      <x:c r="K408" s="32" t="n">
        <x:f>IF(B408="Holiday",IF(Dashboard!$B$14="Interest Only",D408,D408+G408),0)</x:f>
        <x:v>0</x:v>
      </x:c>
      <x:c r="L408" s="32" t="n">
        <x:f>J408+K408</x:f>
        <x:v>0</x:v>
      </x:c>
      <x:c r="M408" s="32" t="n">
        <x:f>IF(A408=1,H408,M407+H408)</x:f>
        <x:v>0</x:v>
      </x:c>
      <x:c r="N408" s="32" t="n">
        <x:f>IF(A408=1,I408,N407+I408)</x:f>
        <x:v>0</x:v>
      </x:c>
      <x:c r="O408" s="32" t="n">
        <x:f>IF(A408=1,G408,O407+G408)</x:f>
        <x:v>3671325</x:v>
      </x:c>
      <x:c r="P408" s="37" t="n">
        <x:f>EDATE(Dashboard!$B$10,A408)</x:f>
        <x:v>57405</x:v>
      </x:c>
    </x:row>
    <x:row r="409">
      <x:c r="A409" s="33" t="n">
        <x:v>408</x:v>
      </x:c>
      <x:c r="B409" s="33" t="str">
        <x:f>IF(A409&lt;=Dashboard!$F$8,"Holiday",IF(A409&lt;=Dashboard!$F$8+Dashboard!$F$7,"Repayment","Closed"))</x:f>
        <x:v>Closed</x:v>
      </x:c>
      <x:c r="C409" s="32">
        <x:f>IF(A409=1,Dashboard!$B$6,IF(B409="Holiday",J408,L408))</x:f>
      </x:c>
      <x:c r="D409" s="32">
        <x:f>IF(A409=1,0,IF(B409="Holiday",K408,0))</x:f>
      </x:c>
      <x:c r="E409" s="32">
        <x:f>C409+D409</x:f>
      </x:c>
      <x:c r="F409" s="32">
        <x:f>IF(B409="Holiday",IF(Dashboard!$B$14="Principal Only",MIN(Dashboard!$B$15,C409),0),0)</x:f>
      </x:c>
      <x:c r="G409" s="32" t="n">
        <x:f>IF(B409="Closed",0,IF(B409="Holiday",IF(Dashboard!$B$14="Interest Only",C409*Dashboard!$F$6,MAX(0,(C409-F409)*Dashboard!$F$6)),E409*Dashboard!$F$6))</x:f>
        <x:v>0</x:v>
      </x:c>
      <x:c r="H409" s="32" t="n">
        <x:f>IF(B409="Holiday",IF(Dashboard!$B$14="Interest Only",G409,F409),IF(B409="Closed",0,MIN(Dashboard!$F$10,E409+G409)))</x:f>
        <x:v>0</x:v>
      </x:c>
      <x:c r="I409" s="32" t="n">
        <x:f>IF(B409="Holiday",F409,IF(B409="Closed",0,MAX(0,H409-G409)))</x:f>
        <x:v>0</x:v>
      </x:c>
      <x:c r="J409" s="32" t="n">
        <x:f>IF(B409="Holiday",MAX(0,C409-F409),IF(B409="Closed",0,MAX(0,E409-I409)))</x:f>
        <x:v>0</x:v>
      </x:c>
      <x:c r="K409" s="32" t="n">
        <x:f>IF(B409="Holiday",IF(Dashboard!$B$14="Interest Only",D409,D409+G409),0)</x:f>
        <x:v>0</x:v>
      </x:c>
      <x:c r="L409" s="32" t="n">
        <x:f>J409+K409</x:f>
        <x:v>0</x:v>
      </x:c>
      <x:c r="M409" s="32" t="n">
        <x:f>IF(A409=1,H409,M408+H409)</x:f>
        <x:v>0</x:v>
      </x:c>
      <x:c r="N409" s="32" t="n">
        <x:f>IF(A409=1,I409,N408+I409)</x:f>
        <x:v>0</x:v>
      </x:c>
      <x:c r="O409" s="32" t="n">
        <x:f>IF(A409=1,G409,O408+G409)</x:f>
        <x:v>3671325</x:v>
      </x:c>
      <x:c r="P409" s="37" t="n">
        <x:f>EDATE(Dashboard!$B$10,A409)</x:f>
        <x:v>57436</x:v>
      </x:c>
    </x:row>
    <x:row r="410">
      <x:c r="A410" s="33" t="n">
        <x:v>409</x:v>
      </x:c>
      <x:c r="B410" s="33" t="str">
        <x:f>IF(A410&lt;=Dashboard!$F$8,"Holiday",IF(A410&lt;=Dashboard!$F$8+Dashboard!$F$7,"Repayment","Closed"))</x:f>
        <x:v>Closed</x:v>
      </x:c>
      <x:c r="C410" s="32">
        <x:f>IF(A410=1,Dashboard!$B$6,IF(B410="Holiday",J409,L409))</x:f>
      </x:c>
      <x:c r="D410" s="32">
        <x:f>IF(A410=1,0,IF(B410="Holiday",K409,0))</x:f>
      </x:c>
      <x:c r="E410" s="32">
        <x:f>C410+D410</x:f>
      </x:c>
      <x:c r="F410" s="32">
        <x:f>IF(B410="Holiday",IF(Dashboard!$B$14="Principal Only",MIN(Dashboard!$B$15,C410),0),0)</x:f>
      </x:c>
      <x:c r="G410" s="32" t="n">
        <x:f>IF(B410="Closed",0,IF(B410="Holiday",IF(Dashboard!$B$14="Interest Only",C410*Dashboard!$F$6,MAX(0,(C410-F410)*Dashboard!$F$6)),E410*Dashboard!$F$6))</x:f>
        <x:v>0</x:v>
      </x:c>
      <x:c r="H410" s="32" t="n">
        <x:f>IF(B410="Holiday",IF(Dashboard!$B$14="Interest Only",G410,F410),IF(B410="Closed",0,MIN(Dashboard!$F$10,E410+G410)))</x:f>
        <x:v>0</x:v>
      </x:c>
      <x:c r="I410" s="32" t="n">
        <x:f>IF(B410="Holiday",F410,IF(B410="Closed",0,MAX(0,H410-G410)))</x:f>
        <x:v>0</x:v>
      </x:c>
      <x:c r="J410" s="32" t="n">
        <x:f>IF(B410="Holiday",MAX(0,C410-F410),IF(B410="Closed",0,MAX(0,E410-I410)))</x:f>
        <x:v>0</x:v>
      </x:c>
      <x:c r="K410" s="32" t="n">
        <x:f>IF(B410="Holiday",IF(Dashboard!$B$14="Interest Only",D410,D410+G410),0)</x:f>
        <x:v>0</x:v>
      </x:c>
      <x:c r="L410" s="32" t="n">
        <x:f>J410+K410</x:f>
        <x:v>0</x:v>
      </x:c>
      <x:c r="M410" s="32" t="n">
        <x:f>IF(A410=1,H410,M409+H410)</x:f>
        <x:v>0</x:v>
      </x:c>
      <x:c r="N410" s="32" t="n">
        <x:f>IF(A410=1,I410,N409+I410)</x:f>
        <x:v>0</x:v>
      </x:c>
      <x:c r="O410" s="32" t="n">
        <x:f>IF(A410=1,G410,O409+G410)</x:f>
        <x:v>3671325</x:v>
      </x:c>
      <x:c r="P410" s="37" t="n">
        <x:f>EDATE(Dashboard!$B$10,A410)</x:f>
        <x:v>57466</x:v>
      </x:c>
    </x:row>
    <x:row r="411">
      <x:c r="A411" s="33" t="n">
        <x:v>410</x:v>
      </x:c>
      <x:c r="B411" s="33" t="str">
        <x:f>IF(A411&lt;=Dashboard!$F$8,"Holiday",IF(A411&lt;=Dashboard!$F$8+Dashboard!$F$7,"Repayment","Closed"))</x:f>
        <x:v>Closed</x:v>
      </x:c>
      <x:c r="C411" s="32">
        <x:f>IF(A411=1,Dashboard!$B$6,IF(B411="Holiday",J410,L410))</x:f>
      </x:c>
      <x:c r="D411" s="32">
        <x:f>IF(A411=1,0,IF(B411="Holiday",K410,0))</x:f>
      </x:c>
      <x:c r="E411" s="32">
        <x:f>C411+D411</x:f>
      </x:c>
      <x:c r="F411" s="32">
        <x:f>IF(B411="Holiday",IF(Dashboard!$B$14="Principal Only",MIN(Dashboard!$B$15,C411),0),0)</x:f>
      </x:c>
      <x:c r="G411" s="32" t="n">
        <x:f>IF(B411="Closed",0,IF(B411="Holiday",IF(Dashboard!$B$14="Interest Only",C411*Dashboard!$F$6,MAX(0,(C411-F411)*Dashboard!$F$6)),E411*Dashboard!$F$6))</x:f>
        <x:v>0</x:v>
      </x:c>
      <x:c r="H411" s="32" t="n">
        <x:f>IF(B411="Holiday",IF(Dashboard!$B$14="Interest Only",G411,F411),IF(B411="Closed",0,MIN(Dashboard!$F$10,E411+G411)))</x:f>
        <x:v>0</x:v>
      </x:c>
      <x:c r="I411" s="32" t="n">
        <x:f>IF(B411="Holiday",F411,IF(B411="Closed",0,MAX(0,H411-G411)))</x:f>
        <x:v>0</x:v>
      </x:c>
      <x:c r="J411" s="32" t="n">
        <x:f>IF(B411="Holiday",MAX(0,C411-F411),IF(B411="Closed",0,MAX(0,E411-I411)))</x:f>
        <x:v>0</x:v>
      </x:c>
      <x:c r="K411" s="32" t="n">
        <x:f>IF(B411="Holiday",IF(Dashboard!$B$14="Interest Only",D411,D411+G411),0)</x:f>
        <x:v>0</x:v>
      </x:c>
      <x:c r="L411" s="32" t="n">
        <x:f>J411+K411</x:f>
        <x:v>0</x:v>
      </x:c>
      <x:c r="M411" s="32" t="n">
        <x:f>IF(A411=1,H411,M410+H411)</x:f>
        <x:v>0</x:v>
      </x:c>
      <x:c r="N411" s="32" t="n">
        <x:f>IF(A411=1,I411,N410+I411)</x:f>
        <x:v>0</x:v>
      </x:c>
      <x:c r="O411" s="32" t="n">
        <x:f>IF(A411=1,G411,O410+G411)</x:f>
        <x:v>3671325</x:v>
      </x:c>
      <x:c r="P411" s="37" t="n">
        <x:f>EDATE(Dashboard!$B$10,A411)</x:f>
        <x:v>57497</x:v>
      </x:c>
    </x:row>
    <x:row r="412">
      <x:c r="A412" s="33" t="n">
        <x:v>411</x:v>
      </x:c>
      <x:c r="B412" s="33" t="str">
        <x:f>IF(A412&lt;=Dashboard!$F$8,"Holiday",IF(A412&lt;=Dashboard!$F$8+Dashboard!$F$7,"Repayment","Closed"))</x:f>
        <x:v>Closed</x:v>
      </x:c>
      <x:c r="C412" s="32">
        <x:f>IF(A412=1,Dashboard!$B$6,IF(B412="Holiday",J411,L411))</x:f>
      </x:c>
      <x:c r="D412" s="32">
        <x:f>IF(A412=1,0,IF(B412="Holiday",K411,0))</x:f>
      </x:c>
      <x:c r="E412" s="32">
        <x:f>C412+D412</x:f>
      </x:c>
      <x:c r="F412" s="32">
        <x:f>IF(B412="Holiday",IF(Dashboard!$B$14="Principal Only",MIN(Dashboard!$B$15,C412),0),0)</x:f>
      </x:c>
      <x:c r="G412" s="32" t="n">
        <x:f>IF(B412="Closed",0,IF(B412="Holiday",IF(Dashboard!$B$14="Interest Only",C412*Dashboard!$F$6,MAX(0,(C412-F412)*Dashboard!$F$6)),E412*Dashboard!$F$6))</x:f>
        <x:v>0</x:v>
      </x:c>
      <x:c r="H412" s="32" t="n">
        <x:f>IF(B412="Holiday",IF(Dashboard!$B$14="Interest Only",G412,F412),IF(B412="Closed",0,MIN(Dashboard!$F$10,E412+G412)))</x:f>
        <x:v>0</x:v>
      </x:c>
      <x:c r="I412" s="32" t="n">
        <x:f>IF(B412="Holiday",F412,IF(B412="Closed",0,MAX(0,H412-G412)))</x:f>
        <x:v>0</x:v>
      </x:c>
      <x:c r="J412" s="32" t="n">
        <x:f>IF(B412="Holiday",MAX(0,C412-F412),IF(B412="Closed",0,MAX(0,E412-I412)))</x:f>
        <x:v>0</x:v>
      </x:c>
      <x:c r="K412" s="32" t="n">
        <x:f>IF(B412="Holiday",IF(Dashboard!$B$14="Interest Only",D412,D412+G412),0)</x:f>
        <x:v>0</x:v>
      </x:c>
      <x:c r="L412" s="32" t="n">
        <x:f>J412+K412</x:f>
        <x:v>0</x:v>
      </x:c>
      <x:c r="M412" s="32" t="n">
        <x:f>IF(A412=1,H412,M411+H412)</x:f>
        <x:v>0</x:v>
      </x:c>
      <x:c r="N412" s="32" t="n">
        <x:f>IF(A412=1,I412,N411+I412)</x:f>
        <x:v>0</x:v>
      </x:c>
      <x:c r="O412" s="32" t="n">
        <x:f>IF(A412=1,G412,O411+G412)</x:f>
        <x:v>3671325</x:v>
      </x:c>
      <x:c r="P412" s="37" t="n">
        <x:f>EDATE(Dashboard!$B$10,A412)</x:f>
        <x:v>57527</x:v>
      </x:c>
    </x:row>
    <x:row r="413">
      <x:c r="A413" s="33" t="n">
        <x:v>412</x:v>
      </x:c>
      <x:c r="B413" s="33" t="str">
        <x:f>IF(A413&lt;=Dashboard!$F$8,"Holiday",IF(A413&lt;=Dashboard!$F$8+Dashboard!$F$7,"Repayment","Closed"))</x:f>
        <x:v>Closed</x:v>
      </x:c>
      <x:c r="C413" s="32">
        <x:f>IF(A413=1,Dashboard!$B$6,IF(B413="Holiday",J412,L412))</x:f>
      </x:c>
      <x:c r="D413" s="32">
        <x:f>IF(A413=1,0,IF(B413="Holiday",K412,0))</x:f>
      </x:c>
      <x:c r="E413" s="32">
        <x:f>C413+D413</x:f>
      </x:c>
      <x:c r="F413" s="32">
        <x:f>IF(B413="Holiday",IF(Dashboard!$B$14="Principal Only",MIN(Dashboard!$B$15,C413),0),0)</x:f>
      </x:c>
      <x:c r="G413" s="32" t="n">
        <x:f>IF(B413="Closed",0,IF(B413="Holiday",IF(Dashboard!$B$14="Interest Only",C413*Dashboard!$F$6,MAX(0,(C413-F413)*Dashboard!$F$6)),E413*Dashboard!$F$6))</x:f>
        <x:v>0</x:v>
      </x:c>
      <x:c r="H413" s="32" t="n">
        <x:f>IF(B413="Holiday",IF(Dashboard!$B$14="Interest Only",G413,F413),IF(B413="Closed",0,MIN(Dashboard!$F$10,E413+G413)))</x:f>
        <x:v>0</x:v>
      </x:c>
      <x:c r="I413" s="32" t="n">
        <x:f>IF(B413="Holiday",F413,IF(B413="Closed",0,MAX(0,H413-G413)))</x:f>
        <x:v>0</x:v>
      </x:c>
      <x:c r="J413" s="32" t="n">
        <x:f>IF(B413="Holiday",MAX(0,C413-F413),IF(B413="Closed",0,MAX(0,E413-I413)))</x:f>
        <x:v>0</x:v>
      </x:c>
      <x:c r="K413" s="32" t="n">
        <x:f>IF(B413="Holiday",IF(Dashboard!$B$14="Interest Only",D413,D413+G413),0)</x:f>
        <x:v>0</x:v>
      </x:c>
      <x:c r="L413" s="32" t="n">
        <x:f>J413+K413</x:f>
        <x:v>0</x:v>
      </x:c>
      <x:c r="M413" s="32" t="n">
        <x:f>IF(A413=1,H413,M412+H413)</x:f>
        <x:v>0</x:v>
      </x:c>
      <x:c r="N413" s="32" t="n">
        <x:f>IF(A413=1,I413,N412+I413)</x:f>
        <x:v>0</x:v>
      </x:c>
      <x:c r="O413" s="32" t="n">
        <x:f>IF(A413=1,G413,O412+G413)</x:f>
        <x:v>3671325</x:v>
      </x:c>
      <x:c r="P413" s="37" t="n">
        <x:f>EDATE(Dashboard!$B$10,A413)</x:f>
        <x:v>57558</x:v>
      </x:c>
    </x:row>
    <x:row r="414">
      <x:c r="A414" s="33" t="n">
        <x:v>413</x:v>
      </x:c>
      <x:c r="B414" s="33" t="str">
        <x:f>IF(A414&lt;=Dashboard!$F$8,"Holiday",IF(A414&lt;=Dashboard!$F$8+Dashboard!$F$7,"Repayment","Closed"))</x:f>
        <x:v>Closed</x:v>
      </x:c>
      <x:c r="C414" s="32">
        <x:f>IF(A414=1,Dashboard!$B$6,IF(B414="Holiday",J413,L413))</x:f>
      </x:c>
      <x:c r="D414" s="32">
        <x:f>IF(A414=1,0,IF(B414="Holiday",K413,0))</x:f>
      </x:c>
      <x:c r="E414" s="32">
        <x:f>C414+D414</x:f>
      </x:c>
      <x:c r="F414" s="32">
        <x:f>IF(B414="Holiday",IF(Dashboard!$B$14="Principal Only",MIN(Dashboard!$B$15,C414),0),0)</x:f>
      </x:c>
      <x:c r="G414" s="32" t="n">
        <x:f>IF(B414="Closed",0,IF(B414="Holiday",IF(Dashboard!$B$14="Interest Only",C414*Dashboard!$F$6,MAX(0,(C414-F414)*Dashboard!$F$6)),E414*Dashboard!$F$6))</x:f>
        <x:v>0</x:v>
      </x:c>
      <x:c r="H414" s="32" t="n">
        <x:f>IF(B414="Holiday",IF(Dashboard!$B$14="Interest Only",G414,F414),IF(B414="Closed",0,MIN(Dashboard!$F$10,E414+G414)))</x:f>
        <x:v>0</x:v>
      </x:c>
      <x:c r="I414" s="32" t="n">
        <x:f>IF(B414="Holiday",F414,IF(B414="Closed",0,MAX(0,H414-G414)))</x:f>
        <x:v>0</x:v>
      </x:c>
      <x:c r="J414" s="32" t="n">
        <x:f>IF(B414="Holiday",MAX(0,C414-F414),IF(B414="Closed",0,MAX(0,E414-I414)))</x:f>
        <x:v>0</x:v>
      </x:c>
      <x:c r="K414" s="32" t="n">
        <x:f>IF(B414="Holiday",IF(Dashboard!$B$14="Interest Only",D414,D414+G414),0)</x:f>
        <x:v>0</x:v>
      </x:c>
      <x:c r="L414" s="32" t="n">
        <x:f>J414+K414</x:f>
        <x:v>0</x:v>
      </x:c>
      <x:c r="M414" s="32" t="n">
        <x:f>IF(A414=1,H414,M413+H414)</x:f>
        <x:v>0</x:v>
      </x:c>
      <x:c r="N414" s="32" t="n">
        <x:f>IF(A414=1,I414,N413+I414)</x:f>
        <x:v>0</x:v>
      </x:c>
      <x:c r="O414" s="32" t="n">
        <x:f>IF(A414=1,G414,O413+G414)</x:f>
        <x:v>3671325</x:v>
      </x:c>
      <x:c r="P414" s="37" t="n">
        <x:f>EDATE(Dashboard!$B$10,A414)</x:f>
        <x:v>57589</x:v>
      </x:c>
    </x:row>
    <x:row r="415">
      <x:c r="A415" s="33" t="n">
        <x:v>414</x:v>
      </x:c>
      <x:c r="B415" s="33" t="str">
        <x:f>IF(A415&lt;=Dashboard!$F$8,"Holiday",IF(A415&lt;=Dashboard!$F$8+Dashboard!$F$7,"Repayment","Closed"))</x:f>
        <x:v>Closed</x:v>
      </x:c>
      <x:c r="C415" s="32">
        <x:f>IF(A415=1,Dashboard!$B$6,IF(B415="Holiday",J414,L414))</x:f>
      </x:c>
      <x:c r="D415" s="32">
        <x:f>IF(A415=1,0,IF(B415="Holiday",K414,0))</x:f>
      </x:c>
      <x:c r="E415" s="32">
        <x:f>C415+D415</x:f>
      </x:c>
      <x:c r="F415" s="32">
        <x:f>IF(B415="Holiday",IF(Dashboard!$B$14="Principal Only",MIN(Dashboard!$B$15,C415),0),0)</x:f>
      </x:c>
      <x:c r="G415" s="32" t="n">
        <x:f>IF(B415="Closed",0,IF(B415="Holiday",IF(Dashboard!$B$14="Interest Only",C415*Dashboard!$F$6,MAX(0,(C415-F415)*Dashboard!$F$6)),E415*Dashboard!$F$6))</x:f>
        <x:v>0</x:v>
      </x:c>
      <x:c r="H415" s="32" t="n">
        <x:f>IF(B415="Holiday",IF(Dashboard!$B$14="Interest Only",G415,F415),IF(B415="Closed",0,MIN(Dashboard!$F$10,E415+G415)))</x:f>
        <x:v>0</x:v>
      </x:c>
      <x:c r="I415" s="32" t="n">
        <x:f>IF(B415="Holiday",F415,IF(B415="Closed",0,MAX(0,H415-G415)))</x:f>
        <x:v>0</x:v>
      </x:c>
      <x:c r="J415" s="32" t="n">
        <x:f>IF(B415="Holiday",MAX(0,C415-F415),IF(B415="Closed",0,MAX(0,E415-I415)))</x:f>
        <x:v>0</x:v>
      </x:c>
      <x:c r="K415" s="32" t="n">
        <x:f>IF(B415="Holiday",IF(Dashboard!$B$14="Interest Only",D415,D415+G415),0)</x:f>
        <x:v>0</x:v>
      </x:c>
      <x:c r="L415" s="32" t="n">
        <x:f>J415+K415</x:f>
        <x:v>0</x:v>
      </x:c>
      <x:c r="M415" s="32" t="n">
        <x:f>IF(A415=1,H415,M414+H415)</x:f>
        <x:v>0</x:v>
      </x:c>
      <x:c r="N415" s="32" t="n">
        <x:f>IF(A415=1,I415,N414+I415)</x:f>
        <x:v>0</x:v>
      </x:c>
      <x:c r="O415" s="32" t="n">
        <x:f>IF(A415=1,G415,O414+G415)</x:f>
        <x:v>3671325</x:v>
      </x:c>
      <x:c r="P415" s="37" t="n">
        <x:f>EDATE(Dashboard!$B$10,A415)</x:f>
        <x:v>57619</x:v>
      </x:c>
    </x:row>
    <x:row r="416">
      <x:c r="A416" s="33" t="n">
        <x:v>415</x:v>
      </x:c>
      <x:c r="B416" s="33" t="str">
        <x:f>IF(A416&lt;=Dashboard!$F$8,"Holiday",IF(A416&lt;=Dashboard!$F$8+Dashboard!$F$7,"Repayment","Closed"))</x:f>
        <x:v>Closed</x:v>
      </x:c>
      <x:c r="C416" s="32">
        <x:f>IF(A416=1,Dashboard!$B$6,IF(B416="Holiday",J415,L415))</x:f>
      </x:c>
      <x:c r="D416" s="32">
        <x:f>IF(A416=1,0,IF(B416="Holiday",K415,0))</x:f>
      </x:c>
      <x:c r="E416" s="32">
        <x:f>C416+D416</x:f>
      </x:c>
      <x:c r="F416" s="32">
        <x:f>IF(B416="Holiday",IF(Dashboard!$B$14="Principal Only",MIN(Dashboard!$B$15,C416),0),0)</x:f>
      </x:c>
      <x:c r="G416" s="32" t="n">
        <x:f>IF(B416="Closed",0,IF(B416="Holiday",IF(Dashboard!$B$14="Interest Only",C416*Dashboard!$F$6,MAX(0,(C416-F416)*Dashboard!$F$6)),E416*Dashboard!$F$6))</x:f>
        <x:v>0</x:v>
      </x:c>
      <x:c r="H416" s="32" t="n">
        <x:f>IF(B416="Holiday",IF(Dashboard!$B$14="Interest Only",G416,F416),IF(B416="Closed",0,MIN(Dashboard!$F$10,E416+G416)))</x:f>
        <x:v>0</x:v>
      </x:c>
      <x:c r="I416" s="32" t="n">
        <x:f>IF(B416="Holiday",F416,IF(B416="Closed",0,MAX(0,H416-G416)))</x:f>
        <x:v>0</x:v>
      </x:c>
      <x:c r="J416" s="32" t="n">
        <x:f>IF(B416="Holiday",MAX(0,C416-F416),IF(B416="Closed",0,MAX(0,E416-I416)))</x:f>
        <x:v>0</x:v>
      </x:c>
      <x:c r="K416" s="32" t="n">
        <x:f>IF(B416="Holiday",IF(Dashboard!$B$14="Interest Only",D416,D416+G416),0)</x:f>
        <x:v>0</x:v>
      </x:c>
      <x:c r="L416" s="32" t="n">
        <x:f>J416+K416</x:f>
        <x:v>0</x:v>
      </x:c>
      <x:c r="M416" s="32" t="n">
        <x:f>IF(A416=1,H416,M415+H416)</x:f>
        <x:v>0</x:v>
      </x:c>
      <x:c r="N416" s="32" t="n">
        <x:f>IF(A416=1,I416,N415+I416)</x:f>
        <x:v>0</x:v>
      </x:c>
      <x:c r="O416" s="32" t="n">
        <x:f>IF(A416=1,G416,O415+G416)</x:f>
        <x:v>3671325</x:v>
      </x:c>
      <x:c r="P416" s="37" t="n">
        <x:f>EDATE(Dashboard!$B$10,A416)</x:f>
        <x:v>57650</x:v>
      </x:c>
    </x:row>
    <x:row r="417">
      <x:c r="A417" s="33" t="n">
        <x:v>416</x:v>
      </x:c>
      <x:c r="B417" s="33" t="str">
        <x:f>IF(A417&lt;=Dashboard!$F$8,"Holiday",IF(A417&lt;=Dashboard!$F$8+Dashboard!$F$7,"Repayment","Closed"))</x:f>
        <x:v>Closed</x:v>
      </x:c>
      <x:c r="C417" s="32">
        <x:f>IF(A417=1,Dashboard!$B$6,IF(B417="Holiday",J416,L416))</x:f>
      </x:c>
      <x:c r="D417" s="32">
        <x:f>IF(A417=1,0,IF(B417="Holiday",K416,0))</x:f>
      </x:c>
      <x:c r="E417" s="32">
        <x:f>C417+D417</x:f>
      </x:c>
      <x:c r="F417" s="32">
        <x:f>IF(B417="Holiday",IF(Dashboard!$B$14="Principal Only",MIN(Dashboard!$B$15,C417),0),0)</x:f>
      </x:c>
      <x:c r="G417" s="32" t="n">
        <x:f>IF(B417="Closed",0,IF(B417="Holiday",IF(Dashboard!$B$14="Interest Only",C417*Dashboard!$F$6,MAX(0,(C417-F417)*Dashboard!$F$6)),E417*Dashboard!$F$6))</x:f>
        <x:v>0</x:v>
      </x:c>
      <x:c r="H417" s="32" t="n">
        <x:f>IF(B417="Holiday",IF(Dashboard!$B$14="Interest Only",G417,F417),IF(B417="Closed",0,MIN(Dashboard!$F$10,E417+G417)))</x:f>
        <x:v>0</x:v>
      </x:c>
      <x:c r="I417" s="32" t="n">
        <x:f>IF(B417="Holiday",F417,IF(B417="Closed",0,MAX(0,H417-G417)))</x:f>
        <x:v>0</x:v>
      </x:c>
      <x:c r="J417" s="32" t="n">
        <x:f>IF(B417="Holiday",MAX(0,C417-F417),IF(B417="Closed",0,MAX(0,E417-I417)))</x:f>
        <x:v>0</x:v>
      </x:c>
      <x:c r="K417" s="32" t="n">
        <x:f>IF(B417="Holiday",IF(Dashboard!$B$14="Interest Only",D417,D417+G417),0)</x:f>
        <x:v>0</x:v>
      </x:c>
      <x:c r="L417" s="32" t="n">
        <x:f>J417+K417</x:f>
        <x:v>0</x:v>
      </x:c>
      <x:c r="M417" s="32" t="n">
        <x:f>IF(A417=1,H417,M416+H417)</x:f>
        <x:v>0</x:v>
      </x:c>
      <x:c r="N417" s="32" t="n">
        <x:f>IF(A417=1,I417,N416+I417)</x:f>
        <x:v>0</x:v>
      </x:c>
      <x:c r="O417" s="32" t="n">
        <x:f>IF(A417=1,G417,O416+G417)</x:f>
        <x:v>3671325</x:v>
      </x:c>
      <x:c r="P417" s="37" t="n">
        <x:f>EDATE(Dashboard!$B$10,A417)</x:f>
        <x:v>57680</x:v>
      </x:c>
    </x:row>
    <x:row r="418">
      <x:c r="A418" s="33" t="n">
        <x:v>417</x:v>
      </x:c>
      <x:c r="B418" s="33" t="str">
        <x:f>IF(A418&lt;=Dashboard!$F$8,"Holiday",IF(A418&lt;=Dashboard!$F$8+Dashboard!$F$7,"Repayment","Closed"))</x:f>
        <x:v>Closed</x:v>
      </x:c>
      <x:c r="C418" s="32">
        <x:f>IF(A418=1,Dashboard!$B$6,IF(B418="Holiday",J417,L417))</x:f>
      </x:c>
      <x:c r="D418" s="32">
        <x:f>IF(A418=1,0,IF(B418="Holiday",K417,0))</x:f>
      </x:c>
      <x:c r="E418" s="32">
        <x:f>C418+D418</x:f>
      </x:c>
      <x:c r="F418" s="32">
        <x:f>IF(B418="Holiday",IF(Dashboard!$B$14="Principal Only",MIN(Dashboard!$B$15,C418),0),0)</x:f>
      </x:c>
      <x:c r="G418" s="32" t="n">
        <x:f>IF(B418="Closed",0,IF(B418="Holiday",IF(Dashboard!$B$14="Interest Only",C418*Dashboard!$F$6,MAX(0,(C418-F418)*Dashboard!$F$6)),E418*Dashboard!$F$6))</x:f>
        <x:v>0</x:v>
      </x:c>
      <x:c r="H418" s="32" t="n">
        <x:f>IF(B418="Holiday",IF(Dashboard!$B$14="Interest Only",G418,F418),IF(B418="Closed",0,MIN(Dashboard!$F$10,E418+G418)))</x:f>
        <x:v>0</x:v>
      </x:c>
      <x:c r="I418" s="32" t="n">
        <x:f>IF(B418="Holiday",F418,IF(B418="Closed",0,MAX(0,H418-G418)))</x:f>
        <x:v>0</x:v>
      </x:c>
      <x:c r="J418" s="32" t="n">
        <x:f>IF(B418="Holiday",MAX(0,C418-F418),IF(B418="Closed",0,MAX(0,E418-I418)))</x:f>
        <x:v>0</x:v>
      </x:c>
      <x:c r="K418" s="32" t="n">
        <x:f>IF(B418="Holiday",IF(Dashboard!$B$14="Interest Only",D418,D418+G418),0)</x:f>
        <x:v>0</x:v>
      </x:c>
      <x:c r="L418" s="32" t="n">
        <x:f>J418+K418</x:f>
        <x:v>0</x:v>
      </x:c>
      <x:c r="M418" s="32" t="n">
        <x:f>IF(A418=1,H418,M417+H418)</x:f>
        <x:v>0</x:v>
      </x:c>
      <x:c r="N418" s="32" t="n">
        <x:f>IF(A418=1,I418,N417+I418)</x:f>
        <x:v>0</x:v>
      </x:c>
      <x:c r="O418" s="32" t="n">
        <x:f>IF(A418=1,G418,O417+G418)</x:f>
        <x:v>3671325</x:v>
      </x:c>
      <x:c r="P418" s="37" t="n">
        <x:f>EDATE(Dashboard!$B$10,A418)</x:f>
        <x:v>57711</x:v>
      </x:c>
    </x:row>
    <x:row r="419">
      <x:c r="A419" s="33" t="n">
        <x:v>418</x:v>
      </x:c>
      <x:c r="B419" s="33" t="str">
        <x:f>IF(A419&lt;=Dashboard!$F$8,"Holiday",IF(A419&lt;=Dashboard!$F$8+Dashboard!$F$7,"Repayment","Closed"))</x:f>
        <x:v>Closed</x:v>
      </x:c>
      <x:c r="C419" s="32">
        <x:f>IF(A419=1,Dashboard!$B$6,IF(B419="Holiday",J418,L418))</x:f>
      </x:c>
      <x:c r="D419" s="32">
        <x:f>IF(A419=1,0,IF(B419="Holiday",K418,0))</x:f>
      </x:c>
      <x:c r="E419" s="32">
        <x:f>C419+D419</x:f>
      </x:c>
      <x:c r="F419" s="32">
        <x:f>IF(B419="Holiday",IF(Dashboard!$B$14="Principal Only",MIN(Dashboard!$B$15,C419),0),0)</x:f>
      </x:c>
      <x:c r="G419" s="32" t="n">
        <x:f>IF(B419="Closed",0,IF(B419="Holiday",IF(Dashboard!$B$14="Interest Only",C419*Dashboard!$F$6,MAX(0,(C419-F419)*Dashboard!$F$6)),E419*Dashboard!$F$6))</x:f>
        <x:v>0</x:v>
      </x:c>
      <x:c r="H419" s="32" t="n">
        <x:f>IF(B419="Holiday",IF(Dashboard!$B$14="Interest Only",G419,F419),IF(B419="Closed",0,MIN(Dashboard!$F$10,E419+G419)))</x:f>
        <x:v>0</x:v>
      </x:c>
      <x:c r="I419" s="32" t="n">
        <x:f>IF(B419="Holiday",F419,IF(B419="Closed",0,MAX(0,H419-G419)))</x:f>
        <x:v>0</x:v>
      </x:c>
      <x:c r="J419" s="32" t="n">
        <x:f>IF(B419="Holiday",MAX(0,C419-F419),IF(B419="Closed",0,MAX(0,E419-I419)))</x:f>
        <x:v>0</x:v>
      </x:c>
      <x:c r="K419" s="32" t="n">
        <x:f>IF(B419="Holiday",IF(Dashboard!$B$14="Interest Only",D419,D419+G419),0)</x:f>
        <x:v>0</x:v>
      </x:c>
      <x:c r="L419" s="32" t="n">
        <x:f>J419+K419</x:f>
        <x:v>0</x:v>
      </x:c>
      <x:c r="M419" s="32" t="n">
        <x:f>IF(A419=1,H419,M418+H419)</x:f>
        <x:v>0</x:v>
      </x:c>
      <x:c r="N419" s="32" t="n">
        <x:f>IF(A419=1,I419,N418+I419)</x:f>
        <x:v>0</x:v>
      </x:c>
      <x:c r="O419" s="32" t="n">
        <x:f>IF(A419=1,G419,O418+G419)</x:f>
        <x:v>3671325</x:v>
      </x:c>
      <x:c r="P419" s="37" t="n">
        <x:f>EDATE(Dashboard!$B$10,A419)</x:f>
        <x:v>57742</x:v>
      </x:c>
    </x:row>
    <x:row r="420">
      <x:c r="A420" s="33" t="n">
        <x:v>419</x:v>
      </x:c>
      <x:c r="B420" s="33" t="str">
        <x:f>IF(A420&lt;=Dashboard!$F$8,"Holiday",IF(A420&lt;=Dashboard!$F$8+Dashboard!$F$7,"Repayment","Closed"))</x:f>
        <x:v>Closed</x:v>
      </x:c>
      <x:c r="C420" s="32">
        <x:f>IF(A420=1,Dashboard!$B$6,IF(B420="Holiday",J419,L419))</x:f>
      </x:c>
      <x:c r="D420" s="32">
        <x:f>IF(A420=1,0,IF(B420="Holiday",K419,0))</x:f>
      </x:c>
      <x:c r="E420" s="32">
        <x:f>C420+D420</x:f>
      </x:c>
      <x:c r="F420" s="32">
        <x:f>IF(B420="Holiday",IF(Dashboard!$B$14="Principal Only",MIN(Dashboard!$B$15,C420),0),0)</x:f>
      </x:c>
      <x:c r="G420" s="32" t="n">
        <x:f>IF(B420="Closed",0,IF(B420="Holiday",IF(Dashboard!$B$14="Interest Only",C420*Dashboard!$F$6,MAX(0,(C420-F420)*Dashboard!$F$6)),E420*Dashboard!$F$6))</x:f>
        <x:v>0</x:v>
      </x:c>
      <x:c r="H420" s="32" t="n">
        <x:f>IF(B420="Holiday",IF(Dashboard!$B$14="Interest Only",G420,F420),IF(B420="Closed",0,MIN(Dashboard!$F$10,E420+G420)))</x:f>
        <x:v>0</x:v>
      </x:c>
      <x:c r="I420" s="32" t="n">
        <x:f>IF(B420="Holiday",F420,IF(B420="Closed",0,MAX(0,H420-G420)))</x:f>
        <x:v>0</x:v>
      </x:c>
      <x:c r="J420" s="32" t="n">
        <x:f>IF(B420="Holiday",MAX(0,C420-F420),IF(B420="Closed",0,MAX(0,E420-I420)))</x:f>
        <x:v>0</x:v>
      </x:c>
      <x:c r="K420" s="32" t="n">
        <x:f>IF(B420="Holiday",IF(Dashboard!$B$14="Interest Only",D420,D420+G420),0)</x:f>
        <x:v>0</x:v>
      </x:c>
      <x:c r="L420" s="32" t="n">
        <x:f>J420+K420</x:f>
        <x:v>0</x:v>
      </x:c>
      <x:c r="M420" s="32" t="n">
        <x:f>IF(A420=1,H420,M419+H420)</x:f>
        <x:v>0</x:v>
      </x:c>
      <x:c r="N420" s="32" t="n">
        <x:f>IF(A420=1,I420,N419+I420)</x:f>
        <x:v>0</x:v>
      </x:c>
      <x:c r="O420" s="32" t="n">
        <x:f>IF(A420=1,G420,O419+G420)</x:f>
        <x:v>3671325</x:v>
      </x:c>
      <x:c r="P420" s="37" t="n">
        <x:f>EDATE(Dashboard!$B$10,A420)</x:f>
        <x:v>57770</x:v>
      </x:c>
    </x:row>
    <x:row r="421">
      <x:c r="A421" s="33" t="n">
        <x:v>420</x:v>
      </x:c>
      <x:c r="B421" s="33" t="str">
        <x:f>IF(A421&lt;=Dashboard!$F$8,"Holiday",IF(A421&lt;=Dashboard!$F$8+Dashboard!$F$7,"Repayment","Closed"))</x:f>
        <x:v>Closed</x:v>
      </x:c>
      <x:c r="C421" s="32">
        <x:f>IF(A421=1,Dashboard!$B$6,IF(B421="Holiday",J420,L420))</x:f>
      </x:c>
      <x:c r="D421" s="32">
        <x:f>IF(A421=1,0,IF(B421="Holiday",K420,0))</x:f>
      </x:c>
      <x:c r="E421" s="32">
        <x:f>C421+D421</x:f>
      </x:c>
      <x:c r="F421" s="32">
        <x:f>IF(B421="Holiday",IF(Dashboard!$B$14="Principal Only",MIN(Dashboard!$B$15,C421),0),0)</x:f>
      </x:c>
      <x:c r="G421" s="32" t="n">
        <x:f>IF(B421="Closed",0,IF(B421="Holiday",IF(Dashboard!$B$14="Interest Only",C421*Dashboard!$F$6,MAX(0,(C421-F421)*Dashboard!$F$6)),E421*Dashboard!$F$6))</x:f>
        <x:v>0</x:v>
      </x:c>
      <x:c r="H421" s="32" t="n">
        <x:f>IF(B421="Holiday",IF(Dashboard!$B$14="Interest Only",G421,F421),IF(B421="Closed",0,MIN(Dashboard!$F$10,E421+G421)))</x:f>
        <x:v>0</x:v>
      </x:c>
      <x:c r="I421" s="32" t="n">
        <x:f>IF(B421="Holiday",F421,IF(B421="Closed",0,MAX(0,H421-G421)))</x:f>
        <x:v>0</x:v>
      </x:c>
      <x:c r="J421" s="32" t="n">
        <x:f>IF(B421="Holiday",MAX(0,C421-F421),IF(B421="Closed",0,MAX(0,E421-I421)))</x:f>
        <x:v>0</x:v>
      </x:c>
      <x:c r="K421" s="32" t="n">
        <x:f>IF(B421="Holiday",IF(Dashboard!$B$14="Interest Only",D421,D421+G421),0)</x:f>
        <x:v>0</x:v>
      </x:c>
      <x:c r="L421" s="32" t="n">
        <x:f>J421+K421</x:f>
        <x:v>0</x:v>
      </x:c>
      <x:c r="M421" s="32" t="n">
        <x:f>IF(A421=1,H421,M420+H421)</x:f>
        <x:v>0</x:v>
      </x:c>
      <x:c r="N421" s="32" t="n">
        <x:f>IF(A421=1,I421,N420+I421)</x:f>
        <x:v>0</x:v>
      </x:c>
      <x:c r="O421" s="32" t="n">
        <x:f>IF(A421=1,G421,O420+G421)</x:f>
        <x:v>3671325</x:v>
      </x:c>
      <x:c r="P421" s="37" t="n">
        <x:f>EDATE(Dashboard!$B$10,A421)</x:f>
        <x:v>57801</x:v>
      </x:c>
    </x:row>
    <x:row r="422">
      <x:c r="A422" s="33" t="n">
        <x:v>421</x:v>
      </x:c>
      <x:c r="B422" s="33" t="str">
        <x:f>IF(A422&lt;=Dashboard!$F$8,"Holiday",IF(A422&lt;=Dashboard!$F$8+Dashboard!$F$7,"Repayment","Closed"))</x:f>
        <x:v>Closed</x:v>
      </x:c>
      <x:c r="C422" s="32">
        <x:f>IF(A422=1,Dashboard!$B$6,IF(B422="Holiday",J421,L421))</x:f>
      </x:c>
      <x:c r="D422" s="32">
        <x:f>IF(A422=1,0,IF(B422="Holiday",K421,0))</x:f>
      </x:c>
      <x:c r="E422" s="32">
        <x:f>C422+D422</x:f>
      </x:c>
      <x:c r="F422" s="32">
        <x:f>IF(B422="Holiday",IF(Dashboard!$B$14="Principal Only",MIN(Dashboard!$B$15,C422),0),0)</x:f>
      </x:c>
      <x:c r="G422" s="32" t="n">
        <x:f>IF(B422="Closed",0,IF(B422="Holiday",IF(Dashboard!$B$14="Interest Only",C422*Dashboard!$F$6,MAX(0,(C422-F422)*Dashboard!$F$6)),E422*Dashboard!$F$6))</x:f>
        <x:v>0</x:v>
      </x:c>
      <x:c r="H422" s="32" t="n">
        <x:f>IF(B422="Holiday",IF(Dashboard!$B$14="Interest Only",G422,F422),IF(B422="Closed",0,MIN(Dashboard!$F$10,E422+G422)))</x:f>
        <x:v>0</x:v>
      </x:c>
      <x:c r="I422" s="32" t="n">
        <x:f>IF(B422="Holiday",F422,IF(B422="Closed",0,MAX(0,H422-G422)))</x:f>
        <x:v>0</x:v>
      </x:c>
      <x:c r="J422" s="32" t="n">
        <x:f>IF(B422="Holiday",MAX(0,C422-F422),IF(B422="Closed",0,MAX(0,E422-I422)))</x:f>
        <x:v>0</x:v>
      </x:c>
      <x:c r="K422" s="32" t="n">
        <x:f>IF(B422="Holiday",IF(Dashboard!$B$14="Interest Only",D422,D422+G422),0)</x:f>
        <x:v>0</x:v>
      </x:c>
      <x:c r="L422" s="32" t="n">
        <x:f>J422+K422</x:f>
        <x:v>0</x:v>
      </x:c>
      <x:c r="M422" s="32" t="n">
        <x:f>IF(A422=1,H422,M421+H422)</x:f>
        <x:v>0</x:v>
      </x:c>
      <x:c r="N422" s="32" t="n">
        <x:f>IF(A422=1,I422,N421+I422)</x:f>
        <x:v>0</x:v>
      </x:c>
      <x:c r="O422" s="32" t="n">
        <x:f>IF(A422=1,G422,O421+G422)</x:f>
        <x:v>3671325</x:v>
      </x:c>
      <x:c r="P422" s="37" t="n">
        <x:f>EDATE(Dashboard!$B$10,A422)</x:f>
        <x:v>57831</x:v>
      </x:c>
    </x:row>
    <x:row r="423">
      <x:c r="A423" s="33" t="n">
        <x:v>422</x:v>
      </x:c>
      <x:c r="B423" s="33" t="str">
        <x:f>IF(A423&lt;=Dashboard!$F$8,"Holiday",IF(A423&lt;=Dashboard!$F$8+Dashboard!$F$7,"Repayment","Closed"))</x:f>
        <x:v>Closed</x:v>
      </x:c>
      <x:c r="C423" s="32">
        <x:f>IF(A423=1,Dashboard!$B$6,IF(B423="Holiday",J422,L422))</x:f>
      </x:c>
      <x:c r="D423" s="32">
        <x:f>IF(A423=1,0,IF(B423="Holiday",K422,0))</x:f>
      </x:c>
      <x:c r="E423" s="32">
        <x:f>C423+D423</x:f>
      </x:c>
      <x:c r="F423" s="32">
        <x:f>IF(B423="Holiday",IF(Dashboard!$B$14="Principal Only",MIN(Dashboard!$B$15,C423),0),0)</x:f>
      </x:c>
      <x:c r="G423" s="32" t="n">
        <x:f>IF(B423="Closed",0,IF(B423="Holiday",IF(Dashboard!$B$14="Interest Only",C423*Dashboard!$F$6,MAX(0,(C423-F423)*Dashboard!$F$6)),E423*Dashboard!$F$6))</x:f>
        <x:v>0</x:v>
      </x:c>
      <x:c r="H423" s="32" t="n">
        <x:f>IF(B423="Holiday",IF(Dashboard!$B$14="Interest Only",G423,F423),IF(B423="Closed",0,MIN(Dashboard!$F$10,E423+G423)))</x:f>
        <x:v>0</x:v>
      </x:c>
      <x:c r="I423" s="32" t="n">
        <x:f>IF(B423="Holiday",F423,IF(B423="Closed",0,MAX(0,H423-G423)))</x:f>
        <x:v>0</x:v>
      </x:c>
      <x:c r="J423" s="32" t="n">
        <x:f>IF(B423="Holiday",MAX(0,C423-F423),IF(B423="Closed",0,MAX(0,E423-I423)))</x:f>
        <x:v>0</x:v>
      </x:c>
      <x:c r="K423" s="32" t="n">
        <x:f>IF(B423="Holiday",IF(Dashboard!$B$14="Interest Only",D423,D423+G423),0)</x:f>
        <x:v>0</x:v>
      </x:c>
      <x:c r="L423" s="32" t="n">
        <x:f>J423+K423</x:f>
        <x:v>0</x:v>
      </x:c>
      <x:c r="M423" s="32" t="n">
        <x:f>IF(A423=1,H423,M422+H423)</x:f>
        <x:v>0</x:v>
      </x:c>
      <x:c r="N423" s="32" t="n">
        <x:f>IF(A423=1,I423,N422+I423)</x:f>
        <x:v>0</x:v>
      </x:c>
      <x:c r="O423" s="32" t="n">
        <x:f>IF(A423=1,G423,O422+G423)</x:f>
        <x:v>3671325</x:v>
      </x:c>
      <x:c r="P423" s="37" t="n">
        <x:f>EDATE(Dashboard!$B$10,A423)</x:f>
        <x:v>57862</x:v>
      </x:c>
    </x:row>
    <x:row r="424">
      <x:c r="A424" s="33" t="n">
        <x:v>423</x:v>
      </x:c>
      <x:c r="B424" s="33" t="str">
        <x:f>IF(A424&lt;=Dashboard!$F$8,"Holiday",IF(A424&lt;=Dashboard!$F$8+Dashboard!$F$7,"Repayment","Closed"))</x:f>
        <x:v>Closed</x:v>
      </x:c>
      <x:c r="C424" s="32">
        <x:f>IF(A424=1,Dashboard!$B$6,IF(B424="Holiday",J423,L423))</x:f>
      </x:c>
      <x:c r="D424" s="32">
        <x:f>IF(A424=1,0,IF(B424="Holiday",K423,0))</x:f>
      </x:c>
      <x:c r="E424" s="32">
        <x:f>C424+D424</x:f>
      </x:c>
      <x:c r="F424" s="32">
        <x:f>IF(B424="Holiday",IF(Dashboard!$B$14="Principal Only",MIN(Dashboard!$B$15,C424),0),0)</x:f>
      </x:c>
      <x:c r="G424" s="32" t="n">
        <x:f>IF(B424="Closed",0,IF(B424="Holiday",IF(Dashboard!$B$14="Interest Only",C424*Dashboard!$F$6,MAX(0,(C424-F424)*Dashboard!$F$6)),E424*Dashboard!$F$6))</x:f>
        <x:v>0</x:v>
      </x:c>
      <x:c r="H424" s="32" t="n">
        <x:f>IF(B424="Holiday",IF(Dashboard!$B$14="Interest Only",G424,F424),IF(B424="Closed",0,MIN(Dashboard!$F$10,E424+G424)))</x:f>
        <x:v>0</x:v>
      </x:c>
      <x:c r="I424" s="32" t="n">
        <x:f>IF(B424="Holiday",F424,IF(B424="Closed",0,MAX(0,H424-G424)))</x:f>
        <x:v>0</x:v>
      </x:c>
      <x:c r="J424" s="32" t="n">
        <x:f>IF(B424="Holiday",MAX(0,C424-F424),IF(B424="Closed",0,MAX(0,E424-I424)))</x:f>
        <x:v>0</x:v>
      </x:c>
      <x:c r="K424" s="32" t="n">
        <x:f>IF(B424="Holiday",IF(Dashboard!$B$14="Interest Only",D424,D424+G424),0)</x:f>
        <x:v>0</x:v>
      </x:c>
      <x:c r="L424" s="32" t="n">
        <x:f>J424+K424</x:f>
        <x:v>0</x:v>
      </x:c>
      <x:c r="M424" s="32" t="n">
        <x:f>IF(A424=1,H424,M423+H424)</x:f>
        <x:v>0</x:v>
      </x:c>
      <x:c r="N424" s="32" t="n">
        <x:f>IF(A424=1,I424,N423+I424)</x:f>
        <x:v>0</x:v>
      </x:c>
      <x:c r="O424" s="32" t="n">
        <x:f>IF(A424=1,G424,O423+G424)</x:f>
        <x:v>3671325</x:v>
      </x:c>
      <x:c r="P424" s="37" t="n">
        <x:f>EDATE(Dashboard!$B$10,A424)</x:f>
        <x:v>57892</x:v>
      </x:c>
    </x:row>
    <x:row r="425">
      <x:c r="A425" s="33" t="n">
        <x:v>424</x:v>
      </x:c>
      <x:c r="B425" s="33" t="str">
        <x:f>IF(A425&lt;=Dashboard!$F$8,"Holiday",IF(A425&lt;=Dashboard!$F$8+Dashboard!$F$7,"Repayment","Closed"))</x:f>
        <x:v>Closed</x:v>
      </x:c>
      <x:c r="C425" s="32">
        <x:f>IF(A425=1,Dashboard!$B$6,IF(B425="Holiday",J424,L424))</x:f>
      </x:c>
      <x:c r="D425" s="32">
        <x:f>IF(A425=1,0,IF(B425="Holiday",K424,0))</x:f>
      </x:c>
      <x:c r="E425" s="32">
        <x:f>C425+D425</x:f>
      </x:c>
      <x:c r="F425" s="32">
        <x:f>IF(B425="Holiday",IF(Dashboard!$B$14="Principal Only",MIN(Dashboard!$B$15,C425),0),0)</x:f>
      </x:c>
      <x:c r="G425" s="32" t="n">
        <x:f>IF(B425="Closed",0,IF(B425="Holiday",IF(Dashboard!$B$14="Interest Only",C425*Dashboard!$F$6,MAX(0,(C425-F425)*Dashboard!$F$6)),E425*Dashboard!$F$6))</x:f>
        <x:v>0</x:v>
      </x:c>
      <x:c r="H425" s="32" t="n">
        <x:f>IF(B425="Holiday",IF(Dashboard!$B$14="Interest Only",G425,F425),IF(B425="Closed",0,MIN(Dashboard!$F$10,E425+G425)))</x:f>
        <x:v>0</x:v>
      </x:c>
      <x:c r="I425" s="32" t="n">
        <x:f>IF(B425="Holiday",F425,IF(B425="Closed",0,MAX(0,H425-G425)))</x:f>
        <x:v>0</x:v>
      </x:c>
      <x:c r="J425" s="32" t="n">
        <x:f>IF(B425="Holiday",MAX(0,C425-F425),IF(B425="Closed",0,MAX(0,E425-I425)))</x:f>
        <x:v>0</x:v>
      </x:c>
      <x:c r="K425" s="32" t="n">
        <x:f>IF(B425="Holiday",IF(Dashboard!$B$14="Interest Only",D425,D425+G425),0)</x:f>
        <x:v>0</x:v>
      </x:c>
      <x:c r="L425" s="32" t="n">
        <x:f>J425+K425</x:f>
        <x:v>0</x:v>
      </x:c>
      <x:c r="M425" s="32" t="n">
        <x:f>IF(A425=1,H425,M424+H425)</x:f>
        <x:v>0</x:v>
      </x:c>
      <x:c r="N425" s="32" t="n">
        <x:f>IF(A425=1,I425,N424+I425)</x:f>
        <x:v>0</x:v>
      </x:c>
      <x:c r="O425" s="32" t="n">
        <x:f>IF(A425=1,G425,O424+G425)</x:f>
        <x:v>3671325</x:v>
      </x:c>
      <x:c r="P425" s="37" t="n">
        <x:f>EDATE(Dashboard!$B$10,A425)</x:f>
        <x:v>57923</x:v>
      </x:c>
    </x:row>
    <x:row r="426">
      <x:c r="A426" s="33" t="n">
        <x:v>425</x:v>
      </x:c>
      <x:c r="B426" s="33" t="str">
        <x:f>IF(A426&lt;=Dashboard!$F$8,"Holiday",IF(A426&lt;=Dashboard!$F$8+Dashboard!$F$7,"Repayment","Closed"))</x:f>
        <x:v>Closed</x:v>
      </x:c>
      <x:c r="C426" s="32">
        <x:f>IF(A426=1,Dashboard!$B$6,IF(B426="Holiday",J425,L425))</x:f>
      </x:c>
      <x:c r="D426" s="32">
        <x:f>IF(A426=1,0,IF(B426="Holiday",K425,0))</x:f>
      </x:c>
      <x:c r="E426" s="32">
        <x:f>C426+D426</x:f>
      </x:c>
      <x:c r="F426" s="32">
        <x:f>IF(B426="Holiday",IF(Dashboard!$B$14="Principal Only",MIN(Dashboard!$B$15,C426),0),0)</x:f>
      </x:c>
      <x:c r="G426" s="32" t="n">
        <x:f>IF(B426="Closed",0,IF(B426="Holiday",IF(Dashboard!$B$14="Interest Only",C426*Dashboard!$F$6,MAX(0,(C426-F426)*Dashboard!$F$6)),E426*Dashboard!$F$6))</x:f>
        <x:v>0</x:v>
      </x:c>
      <x:c r="H426" s="32" t="n">
        <x:f>IF(B426="Holiday",IF(Dashboard!$B$14="Interest Only",G426,F426),IF(B426="Closed",0,MIN(Dashboard!$F$10,E426+G426)))</x:f>
        <x:v>0</x:v>
      </x:c>
      <x:c r="I426" s="32" t="n">
        <x:f>IF(B426="Holiday",F426,IF(B426="Closed",0,MAX(0,H426-G426)))</x:f>
        <x:v>0</x:v>
      </x:c>
      <x:c r="J426" s="32" t="n">
        <x:f>IF(B426="Holiday",MAX(0,C426-F426),IF(B426="Closed",0,MAX(0,E426-I426)))</x:f>
        <x:v>0</x:v>
      </x:c>
      <x:c r="K426" s="32" t="n">
        <x:f>IF(B426="Holiday",IF(Dashboard!$B$14="Interest Only",D426,D426+G426),0)</x:f>
        <x:v>0</x:v>
      </x:c>
      <x:c r="L426" s="32" t="n">
        <x:f>J426+K426</x:f>
        <x:v>0</x:v>
      </x:c>
      <x:c r="M426" s="32" t="n">
        <x:f>IF(A426=1,H426,M425+H426)</x:f>
        <x:v>0</x:v>
      </x:c>
      <x:c r="N426" s="32" t="n">
        <x:f>IF(A426=1,I426,N425+I426)</x:f>
        <x:v>0</x:v>
      </x:c>
      <x:c r="O426" s="32" t="n">
        <x:f>IF(A426=1,G426,O425+G426)</x:f>
        <x:v>3671325</x:v>
      </x:c>
      <x:c r="P426" s="37" t="n">
        <x:f>EDATE(Dashboard!$B$10,A426)</x:f>
        <x:v>57954</x:v>
      </x:c>
    </x:row>
    <x:row r="427">
      <x:c r="A427" s="33" t="n">
        <x:v>426</x:v>
      </x:c>
      <x:c r="B427" s="33" t="str">
        <x:f>IF(A427&lt;=Dashboard!$F$8,"Holiday",IF(A427&lt;=Dashboard!$F$8+Dashboard!$F$7,"Repayment","Closed"))</x:f>
        <x:v>Closed</x:v>
      </x:c>
      <x:c r="C427" s="32">
        <x:f>IF(A427=1,Dashboard!$B$6,IF(B427="Holiday",J426,L426))</x:f>
      </x:c>
      <x:c r="D427" s="32">
        <x:f>IF(A427=1,0,IF(B427="Holiday",K426,0))</x:f>
      </x:c>
      <x:c r="E427" s="32">
        <x:f>C427+D427</x:f>
      </x:c>
      <x:c r="F427" s="32">
        <x:f>IF(B427="Holiday",IF(Dashboard!$B$14="Principal Only",MIN(Dashboard!$B$15,C427),0),0)</x:f>
      </x:c>
      <x:c r="G427" s="32" t="n">
        <x:f>IF(B427="Closed",0,IF(B427="Holiday",IF(Dashboard!$B$14="Interest Only",C427*Dashboard!$F$6,MAX(0,(C427-F427)*Dashboard!$F$6)),E427*Dashboard!$F$6))</x:f>
        <x:v>0</x:v>
      </x:c>
      <x:c r="H427" s="32" t="n">
        <x:f>IF(B427="Holiday",IF(Dashboard!$B$14="Interest Only",G427,F427),IF(B427="Closed",0,MIN(Dashboard!$F$10,E427+G427)))</x:f>
        <x:v>0</x:v>
      </x:c>
      <x:c r="I427" s="32" t="n">
        <x:f>IF(B427="Holiday",F427,IF(B427="Closed",0,MAX(0,H427-G427)))</x:f>
        <x:v>0</x:v>
      </x:c>
      <x:c r="J427" s="32" t="n">
        <x:f>IF(B427="Holiday",MAX(0,C427-F427),IF(B427="Closed",0,MAX(0,E427-I427)))</x:f>
        <x:v>0</x:v>
      </x:c>
      <x:c r="K427" s="32" t="n">
        <x:f>IF(B427="Holiday",IF(Dashboard!$B$14="Interest Only",D427,D427+G427),0)</x:f>
        <x:v>0</x:v>
      </x:c>
      <x:c r="L427" s="32" t="n">
        <x:f>J427+K427</x:f>
        <x:v>0</x:v>
      </x:c>
      <x:c r="M427" s="32" t="n">
        <x:f>IF(A427=1,H427,M426+H427)</x:f>
        <x:v>0</x:v>
      </x:c>
      <x:c r="N427" s="32" t="n">
        <x:f>IF(A427=1,I427,N426+I427)</x:f>
        <x:v>0</x:v>
      </x:c>
      <x:c r="O427" s="32" t="n">
        <x:f>IF(A427=1,G427,O426+G427)</x:f>
        <x:v>3671325</x:v>
      </x:c>
      <x:c r="P427" s="37" t="n">
        <x:f>EDATE(Dashboard!$B$10,A427)</x:f>
        <x:v>57984</x:v>
      </x:c>
    </x:row>
    <x:row r="428">
      <x:c r="A428" s="33" t="n">
        <x:v>427</x:v>
      </x:c>
      <x:c r="B428" s="33" t="str">
        <x:f>IF(A428&lt;=Dashboard!$F$8,"Holiday",IF(A428&lt;=Dashboard!$F$8+Dashboard!$F$7,"Repayment","Closed"))</x:f>
        <x:v>Closed</x:v>
      </x:c>
      <x:c r="C428" s="32">
        <x:f>IF(A428=1,Dashboard!$B$6,IF(B428="Holiday",J427,L427))</x:f>
      </x:c>
      <x:c r="D428" s="32">
        <x:f>IF(A428=1,0,IF(B428="Holiday",K427,0))</x:f>
      </x:c>
      <x:c r="E428" s="32">
        <x:f>C428+D428</x:f>
      </x:c>
      <x:c r="F428" s="32">
        <x:f>IF(B428="Holiday",IF(Dashboard!$B$14="Principal Only",MIN(Dashboard!$B$15,C428),0),0)</x:f>
      </x:c>
      <x:c r="G428" s="32" t="n">
        <x:f>IF(B428="Closed",0,IF(B428="Holiday",IF(Dashboard!$B$14="Interest Only",C428*Dashboard!$F$6,MAX(0,(C428-F428)*Dashboard!$F$6)),E428*Dashboard!$F$6))</x:f>
        <x:v>0</x:v>
      </x:c>
      <x:c r="H428" s="32" t="n">
        <x:f>IF(B428="Holiday",IF(Dashboard!$B$14="Interest Only",G428,F428),IF(B428="Closed",0,MIN(Dashboard!$F$10,E428+G428)))</x:f>
        <x:v>0</x:v>
      </x:c>
      <x:c r="I428" s="32" t="n">
        <x:f>IF(B428="Holiday",F428,IF(B428="Closed",0,MAX(0,H428-G428)))</x:f>
        <x:v>0</x:v>
      </x:c>
      <x:c r="J428" s="32" t="n">
        <x:f>IF(B428="Holiday",MAX(0,C428-F428),IF(B428="Closed",0,MAX(0,E428-I428)))</x:f>
        <x:v>0</x:v>
      </x:c>
      <x:c r="K428" s="32" t="n">
        <x:f>IF(B428="Holiday",IF(Dashboard!$B$14="Interest Only",D428,D428+G428),0)</x:f>
        <x:v>0</x:v>
      </x:c>
      <x:c r="L428" s="32" t="n">
        <x:f>J428+K428</x:f>
        <x:v>0</x:v>
      </x:c>
      <x:c r="M428" s="32" t="n">
        <x:f>IF(A428=1,H428,M427+H428)</x:f>
        <x:v>0</x:v>
      </x:c>
      <x:c r="N428" s="32" t="n">
        <x:f>IF(A428=1,I428,N427+I428)</x:f>
        <x:v>0</x:v>
      </x:c>
      <x:c r="O428" s="32" t="n">
        <x:f>IF(A428=1,G428,O427+G428)</x:f>
        <x:v>3671325</x:v>
      </x:c>
      <x:c r="P428" s="37" t="n">
        <x:f>EDATE(Dashboard!$B$10,A428)</x:f>
        <x:v>58015</x:v>
      </x:c>
    </x:row>
    <x:row r="429">
      <x:c r="A429" s="33" t="n">
        <x:v>428</x:v>
      </x:c>
      <x:c r="B429" s="33" t="str">
        <x:f>IF(A429&lt;=Dashboard!$F$8,"Holiday",IF(A429&lt;=Dashboard!$F$8+Dashboard!$F$7,"Repayment","Closed"))</x:f>
        <x:v>Closed</x:v>
      </x:c>
      <x:c r="C429" s="32">
        <x:f>IF(A429=1,Dashboard!$B$6,IF(B429="Holiday",J428,L428))</x:f>
      </x:c>
      <x:c r="D429" s="32">
        <x:f>IF(A429=1,0,IF(B429="Holiday",K428,0))</x:f>
      </x:c>
      <x:c r="E429" s="32">
        <x:f>C429+D429</x:f>
      </x:c>
      <x:c r="F429" s="32">
        <x:f>IF(B429="Holiday",IF(Dashboard!$B$14="Principal Only",MIN(Dashboard!$B$15,C429),0),0)</x:f>
      </x:c>
      <x:c r="G429" s="32" t="n">
        <x:f>IF(B429="Closed",0,IF(B429="Holiday",IF(Dashboard!$B$14="Interest Only",C429*Dashboard!$F$6,MAX(0,(C429-F429)*Dashboard!$F$6)),E429*Dashboard!$F$6))</x:f>
        <x:v>0</x:v>
      </x:c>
      <x:c r="H429" s="32" t="n">
        <x:f>IF(B429="Holiday",IF(Dashboard!$B$14="Interest Only",G429,F429),IF(B429="Closed",0,MIN(Dashboard!$F$10,E429+G429)))</x:f>
        <x:v>0</x:v>
      </x:c>
      <x:c r="I429" s="32" t="n">
        <x:f>IF(B429="Holiday",F429,IF(B429="Closed",0,MAX(0,H429-G429)))</x:f>
        <x:v>0</x:v>
      </x:c>
      <x:c r="J429" s="32" t="n">
        <x:f>IF(B429="Holiday",MAX(0,C429-F429),IF(B429="Closed",0,MAX(0,E429-I429)))</x:f>
        <x:v>0</x:v>
      </x:c>
      <x:c r="K429" s="32" t="n">
        <x:f>IF(B429="Holiday",IF(Dashboard!$B$14="Interest Only",D429,D429+G429),0)</x:f>
        <x:v>0</x:v>
      </x:c>
      <x:c r="L429" s="32" t="n">
        <x:f>J429+K429</x:f>
        <x:v>0</x:v>
      </x:c>
      <x:c r="M429" s="32" t="n">
        <x:f>IF(A429=1,H429,M428+H429)</x:f>
        <x:v>0</x:v>
      </x:c>
      <x:c r="N429" s="32" t="n">
        <x:f>IF(A429=1,I429,N428+I429)</x:f>
        <x:v>0</x:v>
      </x:c>
      <x:c r="O429" s="32" t="n">
        <x:f>IF(A429=1,G429,O428+G429)</x:f>
        <x:v>3671325</x:v>
      </x:c>
      <x:c r="P429" s="37" t="n">
        <x:f>EDATE(Dashboard!$B$10,A429)</x:f>
        <x:v>58045</x:v>
      </x:c>
    </x:row>
    <x:row r="430">
      <x:c r="A430" s="33" t="n">
        <x:v>429</x:v>
      </x:c>
      <x:c r="B430" s="33" t="str">
        <x:f>IF(A430&lt;=Dashboard!$F$8,"Holiday",IF(A430&lt;=Dashboard!$F$8+Dashboard!$F$7,"Repayment","Closed"))</x:f>
        <x:v>Closed</x:v>
      </x:c>
      <x:c r="C430" s="32">
        <x:f>IF(A430=1,Dashboard!$B$6,IF(B430="Holiday",J429,L429))</x:f>
      </x:c>
      <x:c r="D430" s="32">
        <x:f>IF(A430=1,0,IF(B430="Holiday",K429,0))</x:f>
      </x:c>
      <x:c r="E430" s="32">
        <x:f>C430+D430</x:f>
      </x:c>
      <x:c r="F430" s="32">
        <x:f>IF(B430="Holiday",IF(Dashboard!$B$14="Principal Only",MIN(Dashboard!$B$15,C430),0),0)</x:f>
      </x:c>
      <x:c r="G430" s="32" t="n">
        <x:f>IF(B430="Closed",0,IF(B430="Holiday",IF(Dashboard!$B$14="Interest Only",C430*Dashboard!$F$6,MAX(0,(C430-F430)*Dashboard!$F$6)),E430*Dashboard!$F$6))</x:f>
        <x:v>0</x:v>
      </x:c>
      <x:c r="H430" s="32" t="n">
        <x:f>IF(B430="Holiday",IF(Dashboard!$B$14="Interest Only",G430,F430),IF(B430="Closed",0,MIN(Dashboard!$F$10,E430+G430)))</x:f>
        <x:v>0</x:v>
      </x:c>
      <x:c r="I430" s="32" t="n">
        <x:f>IF(B430="Holiday",F430,IF(B430="Closed",0,MAX(0,H430-G430)))</x:f>
        <x:v>0</x:v>
      </x:c>
      <x:c r="J430" s="32" t="n">
        <x:f>IF(B430="Holiday",MAX(0,C430-F430),IF(B430="Closed",0,MAX(0,E430-I430)))</x:f>
        <x:v>0</x:v>
      </x:c>
      <x:c r="K430" s="32" t="n">
        <x:f>IF(B430="Holiday",IF(Dashboard!$B$14="Interest Only",D430,D430+G430),0)</x:f>
        <x:v>0</x:v>
      </x:c>
      <x:c r="L430" s="32" t="n">
        <x:f>J430+K430</x:f>
        <x:v>0</x:v>
      </x:c>
      <x:c r="M430" s="32" t="n">
        <x:f>IF(A430=1,H430,M429+H430)</x:f>
        <x:v>0</x:v>
      </x:c>
      <x:c r="N430" s="32" t="n">
        <x:f>IF(A430=1,I430,N429+I430)</x:f>
        <x:v>0</x:v>
      </x:c>
      <x:c r="O430" s="32" t="n">
        <x:f>IF(A430=1,G430,O429+G430)</x:f>
        <x:v>3671325</x:v>
      </x:c>
      <x:c r="P430" s="37" t="n">
        <x:f>EDATE(Dashboard!$B$10,A430)</x:f>
        <x:v>58076</x:v>
      </x:c>
    </x:row>
    <x:row r="431">
      <x:c r="A431" s="33" t="n">
        <x:v>430</x:v>
      </x:c>
      <x:c r="B431" s="33" t="str">
        <x:f>IF(A431&lt;=Dashboard!$F$8,"Holiday",IF(A431&lt;=Dashboard!$F$8+Dashboard!$F$7,"Repayment","Closed"))</x:f>
        <x:v>Closed</x:v>
      </x:c>
      <x:c r="C431" s="32">
        <x:f>IF(A431=1,Dashboard!$B$6,IF(B431="Holiday",J430,L430))</x:f>
      </x:c>
      <x:c r="D431" s="32">
        <x:f>IF(A431=1,0,IF(B431="Holiday",K430,0))</x:f>
      </x:c>
      <x:c r="E431" s="32">
        <x:f>C431+D431</x:f>
      </x:c>
      <x:c r="F431" s="32">
        <x:f>IF(B431="Holiday",IF(Dashboard!$B$14="Principal Only",MIN(Dashboard!$B$15,C431),0),0)</x:f>
      </x:c>
      <x:c r="G431" s="32" t="n">
        <x:f>IF(B431="Closed",0,IF(B431="Holiday",IF(Dashboard!$B$14="Interest Only",C431*Dashboard!$F$6,MAX(0,(C431-F431)*Dashboard!$F$6)),E431*Dashboard!$F$6))</x:f>
        <x:v>0</x:v>
      </x:c>
      <x:c r="H431" s="32" t="n">
        <x:f>IF(B431="Holiday",IF(Dashboard!$B$14="Interest Only",G431,F431),IF(B431="Closed",0,MIN(Dashboard!$F$10,E431+G431)))</x:f>
        <x:v>0</x:v>
      </x:c>
      <x:c r="I431" s="32" t="n">
        <x:f>IF(B431="Holiday",F431,IF(B431="Closed",0,MAX(0,H431-G431)))</x:f>
        <x:v>0</x:v>
      </x:c>
      <x:c r="J431" s="32" t="n">
        <x:f>IF(B431="Holiday",MAX(0,C431-F431),IF(B431="Closed",0,MAX(0,E431-I431)))</x:f>
        <x:v>0</x:v>
      </x:c>
      <x:c r="K431" s="32" t="n">
        <x:f>IF(B431="Holiday",IF(Dashboard!$B$14="Interest Only",D431,D431+G431),0)</x:f>
        <x:v>0</x:v>
      </x:c>
      <x:c r="L431" s="32" t="n">
        <x:f>J431+K431</x:f>
        <x:v>0</x:v>
      </x:c>
      <x:c r="M431" s="32" t="n">
        <x:f>IF(A431=1,H431,M430+H431)</x:f>
        <x:v>0</x:v>
      </x:c>
      <x:c r="N431" s="32" t="n">
        <x:f>IF(A431=1,I431,N430+I431)</x:f>
        <x:v>0</x:v>
      </x:c>
      <x:c r="O431" s="32" t="n">
        <x:f>IF(A431=1,G431,O430+G431)</x:f>
        <x:v>3671325</x:v>
      </x:c>
      <x:c r="P431" s="37" t="n">
        <x:f>EDATE(Dashboard!$B$10,A431)</x:f>
        <x:v>58107</x:v>
      </x:c>
    </x:row>
    <x:row r="432">
      <x:c r="A432" s="33" t="n">
        <x:v>431</x:v>
      </x:c>
      <x:c r="B432" s="33" t="str">
        <x:f>IF(A432&lt;=Dashboard!$F$8,"Holiday",IF(A432&lt;=Dashboard!$F$8+Dashboard!$F$7,"Repayment","Closed"))</x:f>
        <x:v>Closed</x:v>
      </x:c>
      <x:c r="C432" s="32">
        <x:f>IF(A432=1,Dashboard!$B$6,IF(B432="Holiday",J431,L431))</x:f>
      </x:c>
      <x:c r="D432" s="32">
        <x:f>IF(A432=1,0,IF(B432="Holiday",K431,0))</x:f>
      </x:c>
      <x:c r="E432" s="32">
        <x:f>C432+D432</x:f>
      </x:c>
      <x:c r="F432" s="32">
        <x:f>IF(B432="Holiday",IF(Dashboard!$B$14="Principal Only",MIN(Dashboard!$B$15,C432),0),0)</x:f>
      </x:c>
      <x:c r="G432" s="32" t="n">
        <x:f>IF(B432="Closed",0,IF(B432="Holiday",IF(Dashboard!$B$14="Interest Only",C432*Dashboard!$F$6,MAX(0,(C432-F432)*Dashboard!$F$6)),E432*Dashboard!$F$6))</x:f>
        <x:v>0</x:v>
      </x:c>
      <x:c r="H432" s="32" t="n">
        <x:f>IF(B432="Holiday",IF(Dashboard!$B$14="Interest Only",G432,F432),IF(B432="Closed",0,MIN(Dashboard!$F$10,E432+G432)))</x:f>
        <x:v>0</x:v>
      </x:c>
      <x:c r="I432" s="32" t="n">
        <x:f>IF(B432="Holiday",F432,IF(B432="Closed",0,MAX(0,H432-G432)))</x:f>
        <x:v>0</x:v>
      </x:c>
      <x:c r="J432" s="32" t="n">
        <x:f>IF(B432="Holiday",MAX(0,C432-F432),IF(B432="Closed",0,MAX(0,E432-I432)))</x:f>
        <x:v>0</x:v>
      </x:c>
      <x:c r="K432" s="32" t="n">
        <x:f>IF(B432="Holiday",IF(Dashboard!$B$14="Interest Only",D432,D432+G432),0)</x:f>
        <x:v>0</x:v>
      </x:c>
      <x:c r="L432" s="32" t="n">
        <x:f>J432+K432</x:f>
        <x:v>0</x:v>
      </x:c>
      <x:c r="M432" s="32" t="n">
        <x:f>IF(A432=1,H432,M431+H432)</x:f>
        <x:v>0</x:v>
      </x:c>
      <x:c r="N432" s="32" t="n">
        <x:f>IF(A432=1,I432,N431+I432)</x:f>
        <x:v>0</x:v>
      </x:c>
      <x:c r="O432" s="32" t="n">
        <x:f>IF(A432=1,G432,O431+G432)</x:f>
        <x:v>3671325</x:v>
      </x:c>
      <x:c r="P432" s="37" t="n">
        <x:f>EDATE(Dashboard!$B$10,A432)</x:f>
        <x:v>58135</x:v>
      </x:c>
    </x:row>
    <x:row r="433">
      <x:c r="A433" s="33" t="n">
        <x:v>432</x:v>
      </x:c>
      <x:c r="B433" s="33" t="str">
        <x:f>IF(A433&lt;=Dashboard!$F$8,"Holiday",IF(A433&lt;=Dashboard!$F$8+Dashboard!$F$7,"Repayment","Closed"))</x:f>
        <x:v>Closed</x:v>
      </x:c>
      <x:c r="C433" s="32">
        <x:f>IF(A433=1,Dashboard!$B$6,IF(B433="Holiday",J432,L432))</x:f>
      </x:c>
      <x:c r="D433" s="32">
        <x:f>IF(A433=1,0,IF(B433="Holiday",K432,0))</x:f>
      </x:c>
      <x:c r="E433" s="32">
        <x:f>C433+D433</x:f>
      </x:c>
      <x:c r="F433" s="32">
        <x:f>IF(B433="Holiday",IF(Dashboard!$B$14="Principal Only",MIN(Dashboard!$B$15,C433),0),0)</x:f>
      </x:c>
      <x:c r="G433" s="32" t="n">
        <x:f>IF(B433="Closed",0,IF(B433="Holiday",IF(Dashboard!$B$14="Interest Only",C433*Dashboard!$F$6,MAX(0,(C433-F433)*Dashboard!$F$6)),E433*Dashboard!$F$6))</x:f>
        <x:v>0</x:v>
      </x:c>
      <x:c r="H433" s="32" t="n">
        <x:f>IF(B433="Holiday",IF(Dashboard!$B$14="Interest Only",G433,F433),IF(B433="Closed",0,MIN(Dashboard!$F$10,E433+G433)))</x:f>
        <x:v>0</x:v>
      </x:c>
      <x:c r="I433" s="32" t="n">
        <x:f>IF(B433="Holiday",F433,IF(B433="Closed",0,MAX(0,H433-G433)))</x:f>
        <x:v>0</x:v>
      </x:c>
      <x:c r="J433" s="32" t="n">
        <x:f>IF(B433="Holiday",MAX(0,C433-F433),IF(B433="Closed",0,MAX(0,E433-I433)))</x:f>
        <x:v>0</x:v>
      </x:c>
      <x:c r="K433" s="32" t="n">
        <x:f>IF(B433="Holiday",IF(Dashboard!$B$14="Interest Only",D433,D433+G433),0)</x:f>
        <x:v>0</x:v>
      </x:c>
      <x:c r="L433" s="32" t="n">
        <x:f>J433+K433</x:f>
        <x:v>0</x:v>
      </x:c>
      <x:c r="M433" s="32" t="n">
        <x:f>IF(A433=1,H433,M432+H433)</x:f>
        <x:v>0</x:v>
      </x:c>
      <x:c r="N433" s="32" t="n">
        <x:f>IF(A433=1,I433,N432+I433)</x:f>
        <x:v>0</x:v>
      </x:c>
      <x:c r="O433" s="32" t="n">
        <x:f>IF(A433=1,G433,O432+G433)</x:f>
        <x:v>3671325</x:v>
      </x:c>
      <x:c r="P433" s="37" t="n">
        <x:f>EDATE(Dashboard!$B$10,A433)</x:f>
        <x:v>58166</x:v>
      </x:c>
    </x:row>
    <x:row r="434">
      <x:c r="A434" s="33" t="n">
        <x:v>433</x:v>
      </x:c>
      <x:c r="B434" s="33" t="str">
        <x:f>IF(A434&lt;=Dashboard!$F$8,"Holiday",IF(A434&lt;=Dashboard!$F$8+Dashboard!$F$7,"Repayment","Closed"))</x:f>
        <x:v>Closed</x:v>
      </x:c>
      <x:c r="C434" s="32">
        <x:f>IF(A434=1,Dashboard!$B$6,IF(B434="Holiday",J433,L433))</x:f>
      </x:c>
      <x:c r="D434" s="32">
        <x:f>IF(A434=1,0,IF(B434="Holiday",K433,0))</x:f>
      </x:c>
      <x:c r="E434" s="32">
        <x:f>C434+D434</x:f>
      </x:c>
      <x:c r="F434" s="32">
        <x:f>IF(B434="Holiday",IF(Dashboard!$B$14="Principal Only",MIN(Dashboard!$B$15,C434),0),0)</x:f>
      </x:c>
      <x:c r="G434" s="32" t="n">
        <x:f>IF(B434="Closed",0,IF(B434="Holiday",IF(Dashboard!$B$14="Interest Only",C434*Dashboard!$F$6,MAX(0,(C434-F434)*Dashboard!$F$6)),E434*Dashboard!$F$6))</x:f>
        <x:v>0</x:v>
      </x:c>
      <x:c r="H434" s="32" t="n">
        <x:f>IF(B434="Holiday",IF(Dashboard!$B$14="Interest Only",G434,F434),IF(B434="Closed",0,MIN(Dashboard!$F$10,E434+G434)))</x:f>
        <x:v>0</x:v>
      </x:c>
      <x:c r="I434" s="32" t="n">
        <x:f>IF(B434="Holiday",F434,IF(B434="Closed",0,MAX(0,H434-G434)))</x:f>
        <x:v>0</x:v>
      </x:c>
      <x:c r="J434" s="32" t="n">
        <x:f>IF(B434="Holiday",MAX(0,C434-F434),IF(B434="Closed",0,MAX(0,E434-I434)))</x:f>
        <x:v>0</x:v>
      </x:c>
      <x:c r="K434" s="32" t="n">
        <x:f>IF(B434="Holiday",IF(Dashboard!$B$14="Interest Only",D434,D434+G434),0)</x:f>
        <x:v>0</x:v>
      </x:c>
      <x:c r="L434" s="32" t="n">
        <x:f>J434+K434</x:f>
        <x:v>0</x:v>
      </x:c>
      <x:c r="M434" s="32" t="n">
        <x:f>IF(A434=1,H434,M433+H434)</x:f>
        <x:v>0</x:v>
      </x:c>
      <x:c r="N434" s="32" t="n">
        <x:f>IF(A434=1,I434,N433+I434)</x:f>
        <x:v>0</x:v>
      </x:c>
      <x:c r="O434" s="32" t="n">
        <x:f>IF(A434=1,G434,O433+G434)</x:f>
        <x:v>3671325</x:v>
      </x:c>
      <x:c r="P434" s="37" t="n">
        <x:f>EDATE(Dashboard!$B$10,A434)</x:f>
        <x:v>58196</x:v>
      </x:c>
    </x:row>
    <x:row r="435">
      <x:c r="A435" s="33" t="n">
        <x:v>434</x:v>
      </x:c>
      <x:c r="B435" s="33" t="str">
        <x:f>IF(A435&lt;=Dashboard!$F$8,"Holiday",IF(A435&lt;=Dashboard!$F$8+Dashboard!$F$7,"Repayment","Closed"))</x:f>
        <x:v>Closed</x:v>
      </x:c>
      <x:c r="C435" s="32">
        <x:f>IF(A435=1,Dashboard!$B$6,IF(B435="Holiday",J434,L434))</x:f>
      </x:c>
      <x:c r="D435" s="32">
        <x:f>IF(A435=1,0,IF(B435="Holiday",K434,0))</x:f>
      </x:c>
      <x:c r="E435" s="32">
        <x:f>C435+D435</x:f>
      </x:c>
      <x:c r="F435" s="32">
        <x:f>IF(B435="Holiday",IF(Dashboard!$B$14="Principal Only",MIN(Dashboard!$B$15,C435),0),0)</x:f>
      </x:c>
      <x:c r="G435" s="32" t="n">
        <x:f>IF(B435="Closed",0,IF(B435="Holiday",IF(Dashboard!$B$14="Interest Only",C435*Dashboard!$F$6,MAX(0,(C435-F435)*Dashboard!$F$6)),E435*Dashboard!$F$6))</x:f>
        <x:v>0</x:v>
      </x:c>
      <x:c r="H435" s="32" t="n">
        <x:f>IF(B435="Holiday",IF(Dashboard!$B$14="Interest Only",G435,F435),IF(B435="Closed",0,MIN(Dashboard!$F$10,E435+G435)))</x:f>
        <x:v>0</x:v>
      </x:c>
      <x:c r="I435" s="32" t="n">
        <x:f>IF(B435="Holiday",F435,IF(B435="Closed",0,MAX(0,H435-G435)))</x:f>
        <x:v>0</x:v>
      </x:c>
      <x:c r="J435" s="32" t="n">
        <x:f>IF(B435="Holiday",MAX(0,C435-F435),IF(B435="Closed",0,MAX(0,E435-I435)))</x:f>
        <x:v>0</x:v>
      </x:c>
      <x:c r="K435" s="32" t="n">
        <x:f>IF(B435="Holiday",IF(Dashboard!$B$14="Interest Only",D435,D435+G435),0)</x:f>
        <x:v>0</x:v>
      </x:c>
      <x:c r="L435" s="32" t="n">
        <x:f>J435+K435</x:f>
        <x:v>0</x:v>
      </x:c>
      <x:c r="M435" s="32" t="n">
        <x:f>IF(A435=1,H435,M434+H435)</x:f>
        <x:v>0</x:v>
      </x:c>
      <x:c r="N435" s="32" t="n">
        <x:f>IF(A435=1,I435,N434+I435)</x:f>
        <x:v>0</x:v>
      </x:c>
      <x:c r="O435" s="32" t="n">
        <x:f>IF(A435=1,G435,O434+G435)</x:f>
        <x:v>3671325</x:v>
      </x:c>
      <x:c r="P435" s="37" t="n">
        <x:f>EDATE(Dashboard!$B$10,A435)</x:f>
        <x:v>58227</x:v>
      </x:c>
    </x:row>
    <x:row r="436">
      <x:c r="A436" s="33" t="n">
        <x:v>435</x:v>
      </x:c>
      <x:c r="B436" s="33" t="str">
        <x:f>IF(A436&lt;=Dashboard!$F$8,"Holiday",IF(A436&lt;=Dashboard!$F$8+Dashboard!$F$7,"Repayment","Closed"))</x:f>
        <x:v>Closed</x:v>
      </x:c>
      <x:c r="C436" s="32">
        <x:f>IF(A436=1,Dashboard!$B$6,IF(B436="Holiday",J435,L435))</x:f>
      </x:c>
      <x:c r="D436" s="32">
        <x:f>IF(A436=1,0,IF(B436="Holiday",K435,0))</x:f>
      </x:c>
      <x:c r="E436" s="32">
        <x:f>C436+D436</x:f>
      </x:c>
      <x:c r="F436" s="32">
        <x:f>IF(B436="Holiday",IF(Dashboard!$B$14="Principal Only",MIN(Dashboard!$B$15,C436),0),0)</x:f>
      </x:c>
      <x:c r="G436" s="32" t="n">
        <x:f>IF(B436="Closed",0,IF(B436="Holiday",IF(Dashboard!$B$14="Interest Only",C436*Dashboard!$F$6,MAX(0,(C436-F436)*Dashboard!$F$6)),E436*Dashboard!$F$6))</x:f>
        <x:v>0</x:v>
      </x:c>
      <x:c r="H436" s="32" t="n">
        <x:f>IF(B436="Holiday",IF(Dashboard!$B$14="Interest Only",G436,F436),IF(B436="Closed",0,MIN(Dashboard!$F$10,E436+G436)))</x:f>
        <x:v>0</x:v>
      </x:c>
      <x:c r="I436" s="32" t="n">
        <x:f>IF(B436="Holiday",F436,IF(B436="Closed",0,MAX(0,H436-G436)))</x:f>
        <x:v>0</x:v>
      </x:c>
      <x:c r="J436" s="32" t="n">
        <x:f>IF(B436="Holiday",MAX(0,C436-F436),IF(B436="Closed",0,MAX(0,E436-I436)))</x:f>
        <x:v>0</x:v>
      </x:c>
      <x:c r="K436" s="32" t="n">
        <x:f>IF(B436="Holiday",IF(Dashboard!$B$14="Interest Only",D436,D436+G436),0)</x:f>
        <x:v>0</x:v>
      </x:c>
      <x:c r="L436" s="32" t="n">
        <x:f>J436+K436</x:f>
        <x:v>0</x:v>
      </x:c>
      <x:c r="M436" s="32" t="n">
        <x:f>IF(A436=1,H436,M435+H436)</x:f>
        <x:v>0</x:v>
      </x:c>
      <x:c r="N436" s="32" t="n">
        <x:f>IF(A436=1,I436,N435+I436)</x:f>
        <x:v>0</x:v>
      </x:c>
      <x:c r="O436" s="32" t="n">
        <x:f>IF(A436=1,G436,O435+G436)</x:f>
        <x:v>3671325</x:v>
      </x:c>
      <x:c r="P436" s="37" t="n">
        <x:f>EDATE(Dashboard!$B$10,A436)</x:f>
        <x:v>58257</x:v>
      </x:c>
    </x:row>
    <x:row r="437">
      <x:c r="A437" s="33" t="n">
        <x:v>436</x:v>
      </x:c>
      <x:c r="B437" s="33" t="str">
        <x:f>IF(A437&lt;=Dashboard!$F$8,"Holiday",IF(A437&lt;=Dashboard!$F$8+Dashboard!$F$7,"Repayment","Closed"))</x:f>
        <x:v>Closed</x:v>
      </x:c>
      <x:c r="C437" s="32">
        <x:f>IF(A437=1,Dashboard!$B$6,IF(B437="Holiday",J436,L436))</x:f>
      </x:c>
      <x:c r="D437" s="32">
        <x:f>IF(A437=1,0,IF(B437="Holiday",K436,0))</x:f>
      </x:c>
      <x:c r="E437" s="32">
        <x:f>C437+D437</x:f>
      </x:c>
      <x:c r="F437" s="32">
        <x:f>IF(B437="Holiday",IF(Dashboard!$B$14="Principal Only",MIN(Dashboard!$B$15,C437),0),0)</x:f>
      </x:c>
      <x:c r="G437" s="32" t="n">
        <x:f>IF(B437="Closed",0,IF(B437="Holiday",IF(Dashboard!$B$14="Interest Only",C437*Dashboard!$F$6,MAX(0,(C437-F437)*Dashboard!$F$6)),E437*Dashboard!$F$6))</x:f>
        <x:v>0</x:v>
      </x:c>
      <x:c r="H437" s="32" t="n">
        <x:f>IF(B437="Holiday",IF(Dashboard!$B$14="Interest Only",G437,F437),IF(B437="Closed",0,MIN(Dashboard!$F$10,E437+G437)))</x:f>
        <x:v>0</x:v>
      </x:c>
      <x:c r="I437" s="32" t="n">
        <x:f>IF(B437="Holiday",F437,IF(B437="Closed",0,MAX(0,H437-G437)))</x:f>
        <x:v>0</x:v>
      </x:c>
      <x:c r="J437" s="32" t="n">
        <x:f>IF(B437="Holiday",MAX(0,C437-F437),IF(B437="Closed",0,MAX(0,E437-I437)))</x:f>
        <x:v>0</x:v>
      </x:c>
      <x:c r="K437" s="32" t="n">
        <x:f>IF(B437="Holiday",IF(Dashboard!$B$14="Interest Only",D437,D437+G437),0)</x:f>
        <x:v>0</x:v>
      </x:c>
      <x:c r="L437" s="32" t="n">
        <x:f>J437+K437</x:f>
        <x:v>0</x:v>
      </x:c>
      <x:c r="M437" s="32" t="n">
        <x:f>IF(A437=1,H437,M436+H437)</x:f>
        <x:v>0</x:v>
      </x:c>
      <x:c r="N437" s="32" t="n">
        <x:f>IF(A437=1,I437,N436+I437)</x:f>
        <x:v>0</x:v>
      </x:c>
      <x:c r="O437" s="32" t="n">
        <x:f>IF(A437=1,G437,O436+G437)</x:f>
        <x:v>3671325</x:v>
      </x:c>
      <x:c r="P437" s="37" t="n">
        <x:f>EDATE(Dashboard!$B$10,A437)</x:f>
        <x:v>58288</x:v>
      </x:c>
    </x:row>
    <x:row r="438">
      <x:c r="A438" s="33" t="n">
        <x:v>437</x:v>
      </x:c>
      <x:c r="B438" s="33" t="str">
        <x:f>IF(A438&lt;=Dashboard!$F$8,"Holiday",IF(A438&lt;=Dashboard!$F$8+Dashboard!$F$7,"Repayment","Closed"))</x:f>
        <x:v>Closed</x:v>
      </x:c>
      <x:c r="C438" s="32">
        <x:f>IF(A438=1,Dashboard!$B$6,IF(B438="Holiday",J437,L437))</x:f>
      </x:c>
      <x:c r="D438" s="32">
        <x:f>IF(A438=1,0,IF(B438="Holiday",K437,0))</x:f>
      </x:c>
      <x:c r="E438" s="32">
        <x:f>C438+D438</x:f>
      </x:c>
      <x:c r="F438" s="32">
        <x:f>IF(B438="Holiday",IF(Dashboard!$B$14="Principal Only",MIN(Dashboard!$B$15,C438),0),0)</x:f>
      </x:c>
      <x:c r="G438" s="32" t="n">
        <x:f>IF(B438="Closed",0,IF(B438="Holiday",IF(Dashboard!$B$14="Interest Only",C438*Dashboard!$F$6,MAX(0,(C438-F438)*Dashboard!$F$6)),E438*Dashboard!$F$6))</x:f>
        <x:v>0</x:v>
      </x:c>
      <x:c r="H438" s="32" t="n">
        <x:f>IF(B438="Holiday",IF(Dashboard!$B$14="Interest Only",G438,F438),IF(B438="Closed",0,MIN(Dashboard!$F$10,E438+G438)))</x:f>
        <x:v>0</x:v>
      </x:c>
      <x:c r="I438" s="32" t="n">
        <x:f>IF(B438="Holiday",F438,IF(B438="Closed",0,MAX(0,H438-G438)))</x:f>
        <x:v>0</x:v>
      </x:c>
      <x:c r="J438" s="32" t="n">
        <x:f>IF(B438="Holiday",MAX(0,C438-F438),IF(B438="Closed",0,MAX(0,E438-I438)))</x:f>
        <x:v>0</x:v>
      </x:c>
      <x:c r="K438" s="32" t="n">
        <x:f>IF(B438="Holiday",IF(Dashboard!$B$14="Interest Only",D438,D438+G438),0)</x:f>
        <x:v>0</x:v>
      </x:c>
      <x:c r="L438" s="32" t="n">
        <x:f>J438+K438</x:f>
        <x:v>0</x:v>
      </x:c>
      <x:c r="M438" s="32" t="n">
        <x:f>IF(A438=1,H438,M437+H438)</x:f>
        <x:v>0</x:v>
      </x:c>
      <x:c r="N438" s="32" t="n">
        <x:f>IF(A438=1,I438,N437+I438)</x:f>
        <x:v>0</x:v>
      </x:c>
      <x:c r="O438" s="32" t="n">
        <x:f>IF(A438=1,G438,O437+G438)</x:f>
        <x:v>3671325</x:v>
      </x:c>
      <x:c r="P438" s="37" t="n">
        <x:f>EDATE(Dashboard!$B$10,A438)</x:f>
        <x:v>58319</x:v>
      </x:c>
    </x:row>
    <x:row r="439">
      <x:c r="A439" s="33" t="n">
        <x:v>438</x:v>
      </x:c>
      <x:c r="B439" s="33" t="str">
        <x:f>IF(A439&lt;=Dashboard!$F$8,"Holiday",IF(A439&lt;=Dashboard!$F$8+Dashboard!$F$7,"Repayment","Closed"))</x:f>
        <x:v>Closed</x:v>
      </x:c>
      <x:c r="C439" s="32">
        <x:f>IF(A439=1,Dashboard!$B$6,IF(B439="Holiday",J438,L438))</x:f>
      </x:c>
      <x:c r="D439" s="32">
        <x:f>IF(A439=1,0,IF(B439="Holiday",K438,0))</x:f>
      </x:c>
      <x:c r="E439" s="32">
        <x:f>C439+D439</x:f>
      </x:c>
      <x:c r="F439" s="32">
        <x:f>IF(B439="Holiday",IF(Dashboard!$B$14="Principal Only",MIN(Dashboard!$B$15,C439),0),0)</x:f>
      </x:c>
      <x:c r="G439" s="32" t="n">
        <x:f>IF(B439="Closed",0,IF(B439="Holiday",IF(Dashboard!$B$14="Interest Only",C439*Dashboard!$F$6,MAX(0,(C439-F439)*Dashboard!$F$6)),E439*Dashboard!$F$6))</x:f>
        <x:v>0</x:v>
      </x:c>
      <x:c r="H439" s="32" t="n">
        <x:f>IF(B439="Holiday",IF(Dashboard!$B$14="Interest Only",G439,F439),IF(B439="Closed",0,MIN(Dashboard!$F$10,E439+G439)))</x:f>
        <x:v>0</x:v>
      </x:c>
      <x:c r="I439" s="32" t="n">
        <x:f>IF(B439="Holiday",F439,IF(B439="Closed",0,MAX(0,H439-G439)))</x:f>
        <x:v>0</x:v>
      </x:c>
      <x:c r="J439" s="32" t="n">
        <x:f>IF(B439="Holiday",MAX(0,C439-F439),IF(B439="Closed",0,MAX(0,E439-I439)))</x:f>
        <x:v>0</x:v>
      </x:c>
      <x:c r="K439" s="32" t="n">
        <x:f>IF(B439="Holiday",IF(Dashboard!$B$14="Interest Only",D439,D439+G439),0)</x:f>
        <x:v>0</x:v>
      </x:c>
      <x:c r="L439" s="32" t="n">
        <x:f>J439+K439</x:f>
        <x:v>0</x:v>
      </x:c>
      <x:c r="M439" s="32" t="n">
        <x:f>IF(A439=1,H439,M438+H439)</x:f>
        <x:v>0</x:v>
      </x:c>
      <x:c r="N439" s="32" t="n">
        <x:f>IF(A439=1,I439,N438+I439)</x:f>
        <x:v>0</x:v>
      </x:c>
      <x:c r="O439" s="32" t="n">
        <x:f>IF(A439=1,G439,O438+G439)</x:f>
        <x:v>3671325</x:v>
      </x:c>
      <x:c r="P439" s="37" t="n">
        <x:f>EDATE(Dashboard!$B$10,A439)</x:f>
        <x:v>58349</x:v>
      </x:c>
    </x:row>
    <x:row r="440">
      <x:c r="A440" s="33" t="n">
        <x:v>439</x:v>
      </x:c>
      <x:c r="B440" s="33" t="str">
        <x:f>IF(A440&lt;=Dashboard!$F$8,"Holiday",IF(A440&lt;=Dashboard!$F$8+Dashboard!$F$7,"Repayment","Closed"))</x:f>
        <x:v>Closed</x:v>
      </x:c>
      <x:c r="C440" s="32">
        <x:f>IF(A440=1,Dashboard!$B$6,IF(B440="Holiday",J439,L439))</x:f>
      </x:c>
      <x:c r="D440" s="32">
        <x:f>IF(A440=1,0,IF(B440="Holiday",K439,0))</x:f>
      </x:c>
      <x:c r="E440" s="32">
        <x:f>C440+D440</x:f>
      </x:c>
      <x:c r="F440" s="32">
        <x:f>IF(B440="Holiday",IF(Dashboard!$B$14="Principal Only",MIN(Dashboard!$B$15,C440),0),0)</x:f>
      </x:c>
      <x:c r="G440" s="32" t="n">
        <x:f>IF(B440="Closed",0,IF(B440="Holiday",IF(Dashboard!$B$14="Interest Only",C440*Dashboard!$F$6,MAX(0,(C440-F440)*Dashboard!$F$6)),E440*Dashboard!$F$6))</x:f>
        <x:v>0</x:v>
      </x:c>
      <x:c r="H440" s="32" t="n">
        <x:f>IF(B440="Holiday",IF(Dashboard!$B$14="Interest Only",G440,F440),IF(B440="Closed",0,MIN(Dashboard!$F$10,E440+G440)))</x:f>
        <x:v>0</x:v>
      </x:c>
      <x:c r="I440" s="32" t="n">
        <x:f>IF(B440="Holiday",F440,IF(B440="Closed",0,MAX(0,H440-G440)))</x:f>
        <x:v>0</x:v>
      </x:c>
      <x:c r="J440" s="32" t="n">
        <x:f>IF(B440="Holiday",MAX(0,C440-F440),IF(B440="Closed",0,MAX(0,E440-I440)))</x:f>
        <x:v>0</x:v>
      </x:c>
      <x:c r="K440" s="32" t="n">
        <x:f>IF(B440="Holiday",IF(Dashboard!$B$14="Interest Only",D440,D440+G440),0)</x:f>
        <x:v>0</x:v>
      </x:c>
      <x:c r="L440" s="32" t="n">
        <x:f>J440+K440</x:f>
        <x:v>0</x:v>
      </x:c>
      <x:c r="M440" s="32" t="n">
        <x:f>IF(A440=1,H440,M439+H440)</x:f>
        <x:v>0</x:v>
      </x:c>
      <x:c r="N440" s="32" t="n">
        <x:f>IF(A440=1,I440,N439+I440)</x:f>
        <x:v>0</x:v>
      </x:c>
      <x:c r="O440" s="32" t="n">
        <x:f>IF(A440=1,G440,O439+G440)</x:f>
        <x:v>3671325</x:v>
      </x:c>
      <x:c r="P440" s="37" t="n">
        <x:f>EDATE(Dashboard!$B$10,A440)</x:f>
        <x:v>58380</x:v>
      </x:c>
    </x:row>
    <x:row r="441">
      <x:c r="A441" s="33" t="n">
        <x:v>440</x:v>
      </x:c>
      <x:c r="B441" s="33" t="str">
        <x:f>IF(A441&lt;=Dashboard!$F$8,"Holiday",IF(A441&lt;=Dashboard!$F$8+Dashboard!$F$7,"Repayment","Closed"))</x:f>
        <x:v>Closed</x:v>
      </x:c>
      <x:c r="C441" s="32">
        <x:f>IF(A441=1,Dashboard!$B$6,IF(B441="Holiday",J440,L440))</x:f>
      </x:c>
      <x:c r="D441" s="32">
        <x:f>IF(A441=1,0,IF(B441="Holiday",K440,0))</x:f>
      </x:c>
      <x:c r="E441" s="32">
        <x:f>C441+D441</x:f>
      </x:c>
      <x:c r="F441" s="32">
        <x:f>IF(B441="Holiday",IF(Dashboard!$B$14="Principal Only",MIN(Dashboard!$B$15,C441),0),0)</x:f>
      </x:c>
      <x:c r="G441" s="32" t="n">
        <x:f>IF(B441="Closed",0,IF(B441="Holiday",IF(Dashboard!$B$14="Interest Only",C441*Dashboard!$F$6,MAX(0,(C441-F441)*Dashboard!$F$6)),E441*Dashboard!$F$6))</x:f>
        <x:v>0</x:v>
      </x:c>
      <x:c r="H441" s="32" t="n">
        <x:f>IF(B441="Holiday",IF(Dashboard!$B$14="Interest Only",G441,F441),IF(B441="Closed",0,MIN(Dashboard!$F$10,E441+G441)))</x:f>
        <x:v>0</x:v>
      </x:c>
      <x:c r="I441" s="32" t="n">
        <x:f>IF(B441="Holiday",F441,IF(B441="Closed",0,MAX(0,H441-G441)))</x:f>
        <x:v>0</x:v>
      </x:c>
      <x:c r="J441" s="32" t="n">
        <x:f>IF(B441="Holiday",MAX(0,C441-F441),IF(B441="Closed",0,MAX(0,E441-I441)))</x:f>
        <x:v>0</x:v>
      </x:c>
      <x:c r="K441" s="32" t="n">
        <x:f>IF(B441="Holiday",IF(Dashboard!$B$14="Interest Only",D441,D441+G441),0)</x:f>
        <x:v>0</x:v>
      </x:c>
      <x:c r="L441" s="32" t="n">
        <x:f>J441+K441</x:f>
        <x:v>0</x:v>
      </x:c>
      <x:c r="M441" s="32" t="n">
        <x:f>IF(A441=1,H441,M440+H441)</x:f>
        <x:v>0</x:v>
      </x:c>
      <x:c r="N441" s="32" t="n">
        <x:f>IF(A441=1,I441,N440+I441)</x:f>
        <x:v>0</x:v>
      </x:c>
      <x:c r="O441" s="32" t="n">
        <x:f>IF(A441=1,G441,O440+G441)</x:f>
        <x:v>3671325</x:v>
      </x:c>
      <x:c r="P441" s="37" t="n">
        <x:f>EDATE(Dashboard!$B$10,A441)</x:f>
        <x:v>58410</x:v>
      </x:c>
    </x:row>
    <x:row r="442">
      <x:c r="A442" s="33" t="n">
        <x:v>441</x:v>
      </x:c>
      <x:c r="B442" s="33" t="str">
        <x:f>IF(A442&lt;=Dashboard!$F$8,"Holiday",IF(A442&lt;=Dashboard!$F$8+Dashboard!$F$7,"Repayment","Closed"))</x:f>
        <x:v>Closed</x:v>
      </x:c>
      <x:c r="C442" s="32">
        <x:f>IF(A442=1,Dashboard!$B$6,IF(B442="Holiday",J441,L441))</x:f>
      </x:c>
      <x:c r="D442" s="32">
        <x:f>IF(A442=1,0,IF(B442="Holiday",K441,0))</x:f>
      </x:c>
      <x:c r="E442" s="32">
        <x:f>C442+D442</x:f>
      </x:c>
      <x:c r="F442" s="32">
        <x:f>IF(B442="Holiday",IF(Dashboard!$B$14="Principal Only",MIN(Dashboard!$B$15,C442),0),0)</x:f>
      </x:c>
      <x:c r="G442" s="32" t="n">
        <x:f>IF(B442="Closed",0,IF(B442="Holiday",IF(Dashboard!$B$14="Interest Only",C442*Dashboard!$F$6,MAX(0,(C442-F442)*Dashboard!$F$6)),E442*Dashboard!$F$6))</x:f>
        <x:v>0</x:v>
      </x:c>
      <x:c r="H442" s="32" t="n">
        <x:f>IF(B442="Holiday",IF(Dashboard!$B$14="Interest Only",G442,F442),IF(B442="Closed",0,MIN(Dashboard!$F$10,E442+G442)))</x:f>
        <x:v>0</x:v>
      </x:c>
      <x:c r="I442" s="32" t="n">
        <x:f>IF(B442="Holiday",F442,IF(B442="Closed",0,MAX(0,H442-G442)))</x:f>
        <x:v>0</x:v>
      </x:c>
      <x:c r="J442" s="32" t="n">
        <x:f>IF(B442="Holiday",MAX(0,C442-F442),IF(B442="Closed",0,MAX(0,E442-I442)))</x:f>
        <x:v>0</x:v>
      </x:c>
      <x:c r="K442" s="32" t="n">
        <x:f>IF(B442="Holiday",IF(Dashboard!$B$14="Interest Only",D442,D442+G442),0)</x:f>
        <x:v>0</x:v>
      </x:c>
      <x:c r="L442" s="32" t="n">
        <x:f>J442+K442</x:f>
        <x:v>0</x:v>
      </x:c>
      <x:c r="M442" s="32" t="n">
        <x:f>IF(A442=1,H442,M441+H442)</x:f>
        <x:v>0</x:v>
      </x:c>
      <x:c r="N442" s="32" t="n">
        <x:f>IF(A442=1,I442,N441+I442)</x:f>
        <x:v>0</x:v>
      </x:c>
      <x:c r="O442" s="32" t="n">
        <x:f>IF(A442=1,G442,O441+G442)</x:f>
        <x:v>3671325</x:v>
      </x:c>
      <x:c r="P442" s="37" t="n">
        <x:f>EDATE(Dashboard!$B$10,A442)</x:f>
        <x:v>58441</x:v>
      </x:c>
    </x:row>
    <x:row r="443">
      <x:c r="A443" s="33" t="n">
        <x:v>442</x:v>
      </x:c>
      <x:c r="B443" s="33" t="str">
        <x:f>IF(A443&lt;=Dashboard!$F$8,"Holiday",IF(A443&lt;=Dashboard!$F$8+Dashboard!$F$7,"Repayment","Closed"))</x:f>
        <x:v>Closed</x:v>
      </x:c>
      <x:c r="C443" s="32">
        <x:f>IF(A443=1,Dashboard!$B$6,IF(B443="Holiday",J442,L442))</x:f>
      </x:c>
      <x:c r="D443" s="32">
        <x:f>IF(A443=1,0,IF(B443="Holiday",K442,0))</x:f>
      </x:c>
      <x:c r="E443" s="32">
        <x:f>C443+D443</x:f>
      </x:c>
      <x:c r="F443" s="32">
        <x:f>IF(B443="Holiday",IF(Dashboard!$B$14="Principal Only",MIN(Dashboard!$B$15,C443),0),0)</x:f>
      </x:c>
      <x:c r="G443" s="32" t="n">
        <x:f>IF(B443="Closed",0,IF(B443="Holiday",IF(Dashboard!$B$14="Interest Only",C443*Dashboard!$F$6,MAX(0,(C443-F443)*Dashboard!$F$6)),E443*Dashboard!$F$6))</x:f>
        <x:v>0</x:v>
      </x:c>
      <x:c r="H443" s="32" t="n">
        <x:f>IF(B443="Holiday",IF(Dashboard!$B$14="Interest Only",G443,F443),IF(B443="Closed",0,MIN(Dashboard!$F$10,E443+G443)))</x:f>
        <x:v>0</x:v>
      </x:c>
      <x:c r="I443" s="32" t="n">
        <x:f>IF(B443="Holiday",F443,IF(B443="Closed",0,MAX(0,H443-G443)))</x:f>
        <x:v>0</x:v>
      </x:c>
      <x:c r="J443" s="32" t="n">
        <x:f>IF(B443="Holiday",MAX(0,C443-F443),IF(B443="Closed",0,MAX(0,E443-I443)))</x:f>
        <x:v>0</x:v>
      </x:c>
      <x:c r="K443" s="32" t="n">
        <x:f>IF(B443="Holiday",IF(Dashboard!$B$14="Interest Only",D443,D443+G443),0)</x:f>
        <x:v>0</x:v>
      </x:c>
      <x:c r="L443" s="32" t="n">
        <x:f>J443+K443</x:f>
        <x:v>0</x:v>
      </x:c>
      <x:c r="M443" s="32" t="n">
        <x:f>IF(A443=1,H443,M442+H443)</x:f>
        <x:v>0</x:v>
      </x:c>
      <x:c r="N443" s="32" t="n">
        <x:f>IF(A443=1,I443,N442+I443)</x:f>
        <x:v>0</x:v>
      </x:c>
      <x:c r="O443" s="32" t="n">
        <x:f>IF(A443=1,G443,O442+G443)</x:f>
        <x:v>3671325</x:v>
      </x:c>
      <x:c r="P443" s="37" t="n">
        <x:f>EDATE(Dashboard!$B$10,A443)</x:f>
        <x:v>58472</x:v>
      </x:c>
    </x:row>
    <x:row r="444">
      <x:c r="A444" s="33" t="n">
        <x:v>443</x:v>
      </x:c>
      <x:c r="B444" s="33" t="str">
        <x:f>IF(A444&lt;=Dashboard!$F$8,"Holiday",IF(A444&lt;=Dashboard!$F$8+Dashboard!$F$7,"Repayment","Closed"))</x:f>
        <x:v>Closed</x:v>
      </x:c>
      <x:c r="C444" s="32">
        <x:f>IF(A444=1,Dashboard!$B$6,IF(B444="Holiday",J443,L443))</x:f>
      </x:c>
      <x:c r="D444" s="32">
        <x:f>IF(A444=1,0,IF(B444="Holiday",K443,0))</x:f>
      </x:c>
      <x:c r="E444" s="32">
        <x:f>C444+D444</x:f>
      </x:c>
      <x:c r="F444" s="32">
        <x:f>IF(B444="Holiday",IF(Dashboard!$B$14="Principal Only",MIN(Dashboard!$B$15,C444),0),0)</x:f>
      </x:c>
      <x:c r="G444" s="32" t="n">
        <x:f>IF(B444="Closed",0,IF(B444="Holiday",IF(Dashboard!$B$14="Interest Only",C444*Dashboard!$F$6,MAX(0,(C444-F444)*Dashboard!$F$6)),E444*Dashboard!$F$6))</x:f>
        <x:v>0</x:v>
      </x:c>
      <x:c r="H444" s="32" t="n">
        <x:f>IF(B444="Holiday",IF(Dashboard!$B$14="Interest Only",G444,F444),IF(B444="Closed",0,MIN(Dashboard!$F$10,E444+G444)))</x:f>
        <x:v>0</x:v>
      </x:c>
      <x:c r="I444" s="32" t="n">
        <x:f>IF(B444="Holiday",F444,IF(B444="Closed",0,MAX(0,H444-G444)))</x:f>
        <x:v>0</x:v>
      </x:c>
      <x:c r="J444" s="32" t="n">
        <x:f>IF(B444="Holiday",MAX(0,C444-F444),IF(B444="Closed",0,MAX(0,E444-I444)))</x:f>
        <x:v>0</x:v>
      </x:c>
      <x:c r="K444" s="32" t="n">
        <x:f>IF(B444="Holiday",IF(Dashboard!$B$14="Interest Only",D444,D444+G444),0)</x:f>
        <x:v>0</x:v>
      </x:c>
      <x:c r="L444" s="32" t="n">
        <x:f>J444+K444</x:f>
        <x:v>0</x:v>
      </x:c>
      <x:c r="M444" s="32" t="n">
        <x:f>IF(A444=1,H444,M443+H444)</x:f>
        <x:v>0</x:v>
      </x:c>
      <x:c r="N444" s="32" t="n">
        <x:f>IF(A444=1,I444,N443+I444)</x:f>
        <x:v>0</x:v>
      </x:c>
      <x:c r="O444" s="32" t="n">
        <x:f>IF(A444=1,G444,O443+G444)</x:f>
        <x:v>3671325</x:v>
      </x:c>
      <x:c r="P444" s="37" t="n">
        <x:f>EDATE(Dashboard!$B$10,A444)</x:f>
        <x:v>58501</x:v>
      </x:c>
    </x:row>
    <x:row r="445">
      <x:c r="A445" s="33" t="n">
        <x:v>444</x:v>
      </x:c>
      <x:c r="B445" s="33" t="str">
        <x:f>IF(A445&lt;=Dashboard!$F$8,"Holiday",IF(A445&lt;=Dashboard!$F$8+Dashboard!$F$7,"Repayment","Closed"))</x:f>
        <x:v>Closed</x:v>
      </x:c>
      <x:c r="C445" s="32">
        <x:f>IF(A445=1,Dashboard!$B$6,IF(B445="Holiday",J444,L444))</x:f>
      </x:c>
      <x:c r="D445" s="32">
        <x:f>IF(A445=1,0,IF(B445="Holiday",K444,0))</x:f>
      </x:c>
      <x:c r="E445" s="32">
        <x:f>C445+D445</x:f>
      </x:c>
      <x:c r="F445" s="32">
        <x:f>IF(B445="Holiday",IF(Dashboard!$B$14="Principal Only",MIN(Dashboard!$B$15,C445),0),0)</x:f>
      </x:c>
      <x:c r="G445" s="32" t="n">
        <x:f>IF(B445="Closed",0,IF(B445="Holiday",IF(Dashboard!$B$14="Interest Only",C445*Dashboard!$F$6,MAX(0,(C445-F445)*Dashboard!$F$6)),E445*Dashboard!$F$6))</x:f>
        <x:v>0</x:v>
      </x:c>
      <x:c r="H445" s="32" t="n">
        <x:f>IF(B445="Holiday",IF(Dashboard!$B$14="Interest Only",G445,F445),IF(B445="Closed",0,MIN(Dashboard!$F$10,E445+G445)))</x:f>
        <x:v>0</x:v>
      </x:c>
      <x:c r="I445" s="32" t="n">
        <x:f>IF(B445="Holiday",F445,IF(B445="Closed",0,MAX(0,H445-G445)))</x:f>
        <x:v>0</x:v>
      </x:c>
      <x:c r="J445" s="32" t="n">
        <x:f>IF(B445="Holiday",MAX(0,C445-F445),IF(B445="Closed",0,MAX(0,E445-I445)))</x:f>
        <x:v>0</x:v>
      </x:c>
      <x:c r="K445" s="32" t="n">
        <x:f>IF(B445="Holiday",IF(Dashboard!$B$14="Interest Only",D445,D445+G445),0)</x:f>
        <x:v>0</x:v>
      </x:c>
      <x:c r="L445" s="32" t="n">
        <x:f>J445+K445</x:f>
        <x:v>0</x:v>
      </x:c>
      <x:c r="M445" s="32" t="n">
        <x:f>IF(A445=1,H445,M444+H445)</x:f>
        <x:v>0</x:v>
      </x:c>
      <x:c r="N445" s="32" t="n">
        <x:f>IF(A445=1,I445,N444+I445)</x:f>
        <x:v>0</x:v>
      </x:c>
      <x:c r="O445" s="32" t="n">
        <x:f>IF(A445=1,G445,O444+G445)</x:f>
        <x:v>3671325</x:v>
      </x:c>
      <x:c r="P445" s="37" t="n">
        <x:f>EDATE(Dashboard!$B$10,A445)</x:f>
        <x:v>58532</x:v>
      </x:c>
    </x:row>
    <x:row r="446">
      <x:c r="A446" s="33" t="n">
        <x:v>445</x:v>
      </x:c>
      <x:c r="B446" s="33" t="str">
        <x:f>IF(A446&lt;=Dashboard!$F$8,"Holiday",IF(A446&lt;=Dashboard!$F$8+Dashboard!$F$7,"Repayment","Closed"))</x:f>
        <x:v>Closed</x:v>
      </x:c>
      <x:c r="C446" s="32">
        <x:f>IF(A446=1,Dashboard!$B$6,IF(B446="Holiday",J445,L445))</x:f>
      </x:c>
      <x:c r="D446" s="32">
        <x:f>IF(A446=1,0,IF(B446="Holiday",K445,0))</x:f>
      </x:c>
      <x:c r="E446" s="32">
        <x:f>C446+D446</x:f>
      </x:c>
      <x:c r="F446" s="32">
        <x:f>IF(B446="Holiday",IF(Dashboard!$B$14="Principal Only",MIN(Dashboard!$B$15,C446),0),0)</x:f>
      </x:c>
      <x:c r="G446" s="32" t="n">
        <x:f>IF(B446="Closed",0,IF(B446="Holiday",IF(Dashboard!$B$14="Interest Only",C446*Dashboard!$F$6,MAX(0,(C446-F446)*Dashboard!$F$6)),E446*Dashboard!$F$6))</x:f>
        <x:v>0</x:v>
      </x:c>
      <x:c r="H446" s="32" t="n">
        <x:f>IF(B446="Holiday",IF(Dashboard!$B$14="Interest Only",G446,F446),IF(B446="Closed",0,MIN(Dashboard!$F$10,E446+G446)))</x:f>
        <x:v>0</x:v>
      </x:c>
      <x:c r="I446" s="32" t="n">
        <x:f>IF(B446="Holiday",F446,IF(B446="Closed",0,MAX(0,H446-G446)))</x:f>
        <x:v>0</x:v>
      </x:c>
      <x:c r="J446" s="32" t="n">
        <x:f>IF(B446="Holiday",MAX(0,C446-F446),IF(B446="Closed",0,MAX(0,E446-I446)))</x:f>
        <x:v>0</x:v>
      </x:c>
      <x:c r="K446" s="32" t="n">
        <x:f>IF(B446="Holiday",IF(Dashboard!$B$14="Interest Only",D446,D446+G446),0)</x:f>
        <x:v>0</x:v>
      </x:c>
      <x:c r="L446" s="32" t="n">
        <x:f>J446+K446</x:f>
        <x:v>0</x:v>
      </x:c>
      <x:c r="M446" s="32" t="n">
        <x:f>IF(A446=1,H446,M445+H446)</x:f>
        <x:v>0</x:v>
      </x:c>
      <x:c r="N446" s="32" t="n">
        <x:f>IF(A446=1,I446,N445+I446)</x:f>
        <x:v>0</x:v>
      </x:c>
      <x:c r="O446" s="32" t="n">
        <x:f>IF(A446=1,G446,O445+G446)</x:f>
        <x:v>3671325</x:v>
      </x:c>
      <x:c r="P446" s="37" t="n">
        <x:f>EDATE(Dashboard!$B$10,A446)</x:f>
        <x:v>58562</x:v>
      </x:c>
    </x:row>
    <x:row r="447">
      <x:c r="A447" s="33" t="n">
        <x:v>446</x:v>
      </x:c>
      <x:c r="B447" s="33" t="str">
        <x:f>IF(A447&lt;=Dashboard!$F$8,"Holiday",IF(A447&lt;=Dashboard!$F$8+Dashboard!$F$7,"Repayment","Closed"))</x:f>
        <x:v>Closed</x:v>
      </x:c>
      <x:c r="C447" s="32">
        <x:f>IF(A447=1,Dashboard!$B$6,IF(B447="Holiday",J446,L446))</x:f>
      </x:c>
      <x:c r="D447" s="32">
        <x:f>IF(A447=1,0,IF(B447="Holiday",K446,0))</x:f>
      </x:c>
      <x:c r="E447" s="32">
        <x:f>C447+D447</x:f>
      </x:c>
      <x:c r="F447" s="32">
        <x:f>IF(B447="Holiday",IF(Dashboard!$B$14="Principal Only",MIN(Dashboard!$B$15,C447),0),0)</x:f>
      </x:c>
      <x:c r="G447" s="32" t="n">
        <x:f>IF(B447="Closed",0,IF(B447="Holiday",IF(Dashboard!$B$14="Interest Only",C447*Dashboard!$F$6,MAX(0,(C447-F447)*Dashboard!$F$6)),E447*Dashboard!$F$6))</x:f>
        <x:v>0</x:v>
      </x:c>
      <x:c r="H447" s="32" t="n">
        <x:f>IF(B447="Holiday",IF(Dashboard!$B$14="Interest Only",G447,F447),IF(B447="Closed",0,MIN(Dashboard!$F$10,E447+G447)))</x:f>
        <x:v>0</x:v>
      </x:c>
      <x:c r="I447" s="32" t="n">
        <x:f>IF(B447="Holiday",F447,IF(B447="Closed",0,MAX(0,H447-G447)))</x:f>
        <x:v>0</x:v>
      </x:c>
      <x:c r="J447" s="32" t="n">
        <x:f>IF(B447="Holiday",MAX(0,C447-F447),IF(B447="Closed",0,MAX(0,E447-I447)))</x:f>
        <x:v>0</x:v>
      </x:c>
      <x:c r="K447" s="32" t="n">
        <x:f>IF(B447="Holiday",IF(Dashboard!$B$14="Interest Only",D447,D447+G447),0)</x:f>
        <x:v>0</x:v>
      </x:c>
      <x:c r="L447" s="32" t="n">
        <x:f>J447+K447</x:f>
        <x:v>0</x:v>
      </x:c>
      <x:c r="M447" s="32" t="n">
        <x:f>IF(A447=1,H447,M446+H447)</x:f>
        <x:v>0</x:v>
      </x:c>
      <x:c r="N447" s="32" t="n">
        <x:f>IF(A447=1,I447,N446+I447)</x:f>
        <x:v>0</x:v>
      </x:c>
      <x:c r="O447" s="32" t="n">
        <x:f>IF(A447=1,G447,O446+G447)</x:f>
        <x:v>3671325</x:v>
      </x:c>
      <x:c r="P447" s="37" t="n">
        <x:f>EDATE(Dashboard!$B$10,A447)</x:f>
        <x:v>58593</x:v>
      </x:c>
    </x:row>
    <x:row r="448">
      <x:c r="A448" s="33" t="n">
        <x:v>447</x:v>
      </x:c>
      <x:c r="B448" s="33" t="str">
        <x:f>IF(A448&lt;=Dashboard!$F$8,"Holiday",IF(A448&lt;=Dashboard!$F$8+Dashboard!$F$7,"Repayment","Closed"))</x:f>
        <x:v>Closed</x:v>
      </x:c>
      <x:c r="C448" s="32">
        <x:f>IF(A448=1,Dashboard!$B$6,IF(B448="Holiday",J447,L447))</x:f>
      </x:c>
      <x:c r="D448" s="32">
        <x:f>IF(A448=1,0,IF(B448="Holiday",K447,0))</x:f>
      </x:c>
      <x:c r="E448" s="32">
        <x:f>C448+D448</x:f>
      </x:c>
      <x:c r="F448" s="32">
        <x:f>IF(B448="Holiday",IF(Dashboard!$B$14="Principal Only",MIN(Dashboard!$B$15,C448),0),0)</x:f>
      </x:c>
      <x:c r="G448" s="32" t="n">
        <x:f>IF(B448="Closed",0,IF(B448="Holiday",IF(Dashboard!$B$14="Interest Only",C448*Dashboard!$F$6,MAX(0,(C448-F448)*Dashboard!$F$6)),E448*Dashboard!$F$6))</x:f>
        <x:v>0</x:v>
      </x:c>
      <x:c r="H448" s="32" t="n">
        <x:f>IF(B448="Holiday",IF(Dashboard!$B$14="Interest Only",G448,F448),IF(B448="Closed",0,MIN(Dashboard!$F$10,E448+G448)))</x:f>
        <x:v>0</x:v>
      </x:c>
      <x:c r="I448" s="32" t="n">
        <x:f>IF(B448="Holiday",F448,IF(B448="Closed",0,MAX(0,H448-G448)))</x:f>
        <x:v>0</x:v>
      </x:c>
      <x:c r="J448" s="32" t="n">
        <x:f>IF(B448="Holiday",MAX(0,C448-F448),IF(B448="Closed",0,MAX(0,E448-I448)))</x:f>
        <x:v>0</x:v>
      </x:c>
      <x:c r="K448" s="32" t="n">
        <x:f>IF(B448="Holiday",IF(Dashboard!$B$14="Interest Only",D448,D448+G448),0)</x:f>
        <x:v>0</x:v>
      </x:c>
      <x:c r="L448" s="32" t="n">
        <x:f>J448+K448</x:f>
        <x:v>0</x:v>
      </x:c>
      <x:c r="M448" s="32" t="n">
        <x:f>IF(A448=1,H448,M447+H448)</x:f>
        <x:v>0</x:v>
      </x:c>
      <x:c r="N448" s="32" t="n">
        <x:f>IF(A448=1,I448,N447+I448)</x:f>
        <x:v>0</x:v>
      </x:c>
      <x:c r="O448" s="32" t="n">
        <x:f>IF(A448=1,G448,O447+G448)</x:f>
        <x:v>3671325</x:v>
      </x:c>
      <x:c r="P448" s="37" t="n">
        <x:f>EDATE(Dashboard!$B$10,A448)</x:f>
        <x:v>58623</x:v>
      </x:c>
    </x:row>
    <x:row r="449">
      <x:c r="A449" s="33" t="n">
        <x:v>448</x:v>
      </x:c>
      <x:c r="B449" s="33" t="str">
        <x:f>IF(A449&lt;=Dashboard!$F$8,"Holiday",IF(A449&lt;=Dashboard!$F$8+Dashboard!$F$7,"Repayment","Closed"))</x:f>
        <x:v>Closed</x:v>
      </x:c>
      <x:c r="C449" s="32">
        <x:f>IF(A449=1,Dashboard!$B$6,IF(B449="Holiday",J448,L448))</x:f>
      </x:c>
      <x:c r="D449" s="32">
        <x:f>IF(A449=1,0,IF(B449="Holiday",K448,0))</x:f>
      </x:c>
      <x:c r="E449" s="32">
        <x:f>C449+D449</x:f>
      </x:c>
      <x:c r="F449" s="32">
        <x:f>IF(B449="Holiday",IF(Dashboard!$B$14="Principal Only",MIN(Dashboard!$B$15,C449),0),0)</x:f>
      </x:c>
      <x:c r="G449" s="32" t="n">
        <x:f>IF(B449="Closed",0,IF(B449="Holiday",IF(Dashboard!$B$14="Interest Only",C449*Dashboard!$F$6,MAX(0,(C449-F449)*Dashboard!$F$6)),E449*Dashboard!$F$6))</x:f>
        <x:v>0</x:v>
      </x:c>
      <x:c r="H449" s="32" t="n">
        <x:f>IF(B449="Holiday",IF(Dashboard!$B$14="Interest Only",G449,F449),IF(B449="Closed",0,MIN(Dashboard!$F$10,E449+G449)))</x:f>
        <x:v>0</x:v>
      </x:c>
      <x:c r="I449" s="32" t="n">
        <x:f>IF(B449="Holiday",F449,IF(B449="Closed",0,MAX(0,H449-G449)))</x:f>
        <x:v>0</x:v>
      </x:c>
      <x:c r="J449" s="32" t="n">
        <x:f>IF(B449="Holiday",MAX(0,C449-F449),IF(B449="Closed",0,MAX(0,E449-I449)))</x:f>
        <x:v>0</x:v>
      </x:c>
      <x:c r="K449" s="32" t="n">
        <x:f>IF(B449="Holiday",IF(Dashboard!$B$14="Interest Only",D449,D449+G449),0)</x:f>
        <x:v>0</x:v>
      </x:c>
      <x:c r="L449" s="32" t="n">
        <x:f>J449+K449</x:f>
        <x:v>0</x:v>
      </x:c>
      <x:c r="M449" s="32" t="n">
        <x:f>IF(A449=1,H449,M448+H449)</x:f>
        <x:v>0</x:v>
      </x:c>
      <x:c r="N449" s="32" t="n">
        <x:f>IF(A449=1,I449,N448+I449)</x:f>
        <x:v>0</x:v>
      </x:c>
      <x:c r="O449" s="32" t="n">
        <x:f>IF(A449=1,G449,O448+G449)</x:f>
        <x:v>3671325</x:v>
      </x:c>
      <x:c r="P449" s="37" t="n">
        <x:f>EDATE(Dashboard!$B$10,A449)</x:f>
        <x:v>58654</x:v>
      </x:c>
    </x:row>
    <x:row r="450">
      <x:c r="A450" s="33" t="n">
        <x:v>449</x:v>
      </x:c>
      <x:c r="B450" s="33" t="str">
        <x:f>IF(A450&lt;=Dashboard!$F$8,"Holiday",IF(A450&lt;=Dashboard!$F$8+Dashboard!$F$7,"Repayment","Closed"))</x:f>
        <x:v>Closed</x:v>
      </x:c>
      <x:c r="C450" s="32">
        <x:f>IF(A450=1,Dashboard!$B$6,IF(B450="Holiday",J449,L449))</x:f>
      </x:c>
      <x:c r="D450" s="32">
        <x:f>IF(A450=1,0,IF(B450="Holiday",K449,0))</x:f>
      </x:c>
      <x:c r="E450" s="32">
        <x:f>C450+D450</x:f>
      </x:c>
      <x:c r="F450" s="32">
        <x:f>IF(B450="Holiday",IF(Dashboard!$B$14="Principal Only",MIN(Dashboard!$B$15,C450),0),0)</x:f>
      </x:c>
      <x:c r="G450" s="32" t="n">
        <x:f>IF(B450="Closed",0,IF(B450="Holiday",IF(Dashboard!$B$14="Interest Only",C450*Dashboard!$F$6,MAX(0,(C450-F450)*Dashboard!$F$6)),E450*Dashboard!$F$6))</x:f>
        <x:v>0</x:v>
      </x:c>
      <x:c r="H450" s="32" t="n">
        <x:f>IF(B450="Holiday",IF(Dashboard!$B$14="Interest Only",G450,F450),IF(B450="Closed",0,MIN(Dashboard!$F$10,E450+G450)))</x:f>
        <x:v>0</x:v>
      </x:c>
      <x:c r="I450" s="32" t="n">
        <x:f>IF(B450="Holiday",F450,IF(B450="Closed",0,MAX(0,H450-G450)))</x:f>
        <x:v>0</x:v>
      </x:c>
      <x:c r="J450" s="32" t="n">
        <x:f>IF(B450="Holiday",MAX(0,C450-F450),IF(B450="Closed",0,MAX(0,E450-I450)))</x:f>
        <x:v>0</x:v>
      </x:c>
      <x:c r="K450" s="32" t="n">
        <x:f>IF(B450="Holiday",IF(Dashboard!$B$14="Interest Only",D450,D450+G450),0)</x:f>
        <x:v>0</x:v>
      </x:c>
      <x:c r="L450" s="32" t="n">
        <x:f>J450+K450</x:f>
        <x:v>0</x:v>
      </x:c>
      <x:c r="M450" s="32" t="n">
        <x:f>IF(A450=1,H450,M449+H450)</x:f>
        <x:v>0</x:v>
      </x:c>
      <x:c r="N450" s="32" t="n">
        <x:f>IF(A450=1,I450,N449+I450)</x:f>
        <x:v>0</x:v>
      </x:c>
      <x:c r="O450" s="32" t="n">
        <x:f>IF(A450=1,G450,O449+G450)</x:f>
        <x:v>3671325</x:v>
      </x:c>
      <x:c r="P450" s="37" t="n">
        <x:f>EDATE(Dashboard!$B$10,A450)</x:f>
        <x:v>58685</x:v>
      </x:c>
    </x:row>
    <x:row r="451">
      <x:c r="A451" s="33" t="n">
        <x:v>450</x:v>
      </x:c>
      <x:c r="B451" s="33" t="str">
        <x:f>IF(A451&lt;=Dashboard!$F$8,"Holiday",IF(A451&lt;=Dashboard!$F$8+Dashboard!$F$7,"Repayment","Closed"))</x:f>
        <x:v>Closed</x:v>
      </x:c>
      <x:c r="C451" s="32">
        <x:f>IF(A451=1,Dashboard!$B$6,IF(B451="Holiday",J450,L450))</x:f>
      </x:c>
      <x:c r="D451" s="32">
        <x:f>IF(A451=1,0,IF(B451="Holiday",K450,0))</x:f>
      </x:c>
      <x:c r="E451" s="32">
        <x:f>C451+D451</x:f>
      </x:c>
      <x:c r="F451" s="32">
        <x:f>IF(B451="Holiday",IF(Dashboard!$B$14="Principal Only",MIN(Dashboard!$B$15,C451),0),0)</x:f>
      </x:c>
      <x:c r="G451" s="32" t="n">
        <x:f>IF(B451="Closed",0,IF(B451="Holiday",IF(Dashboard!$B$14="Interest Only",C451*Dashboard!$F$6,MAX(0,(C451-F451)*Dashboard!$F$6)),E451*Dashboard!$F$6))</x:f>
        <x:v>0</x:v>
      </x:c>
      <x:c r="H451" s="32" t="n">
        <x:f>IF(B451="Holiday",IF(Dashboard!$B$14="Interest Only",G451,F451),IF(B451="Closed",0,MIN(Dashboard!$F$10,E451+G451)))</x:f>
        <x:v>0</x:v>
      </x:c>
      <x:c r="I451" s="32" t="n">
        <x:f>IF(B451="Holiday",F451,IF(B451="Closed",0,MAX(0,H451-G451)))</x:f>
        <x:v>0</x:v>
      </x:c>
      <x:c r="J451" s="32" t="n">
        <x:f>IF(B451="Holiday",MAX(0,C451-F451),IF(B451="Closed",0,MAX(0,E451-I451)))</x:f>
        <x:v>0</x:v>
      </x:c>
      <x:c r="K451" s="32" t="n">
        <x:f>IF(B451="Holiday",IF(Dashboard!$B$14="Interest Only",D451,D451+G451),0)</x:f>
        <x:v>0</x:v>
      </x:c>
      <x:c r="L451" s="32" t="n">
        <x:f>J451+K451</x:f>
        <x:v>0</x:v>
      </x:c>
      <x:c r="M451" s="32" t="n">
        <x:f>IF(A451=1,H451,M450+H451)</x:f>
        <x:v>0</x:v>
      </x:c>
      <x:c r="N451" s="32" t="n">
        <x:f>IF(A451=1,I451,N450+I451)</x:f>
        <x:v>0</x:v>
      </x:c>
      <x:c r="O451" s="32" t="n">
        <x:f>IF(A451=1,G451,O450+G451)</x:f>
        <x:v>3671325</x:v>
      </x:c>
      <x:c r="P451" s="37" t="n">
        <x:f>EDATE(Dashboard!$B$10,A451)</x:f>
        <x:v>58715</x:v>
      </x:c>
    </x:row>
    <x:row r="452">
      <x:c r="A452" s="33" t="n">
        <x:v>451</x:v>
      </x:c>
      <x:c r="B452" s="33" t="str">
        <x:f>IF(A452&lt;=Dashboard!$F$8,"Holiday",IF(A452&lt;=Dashboard!$F$8+Dashboard!$F$7,"Repayment","Closed"))</x:f>
        <x:v>Closed</x:v>
      </x:c>
      <x:c r="C452" s="32">
        <x:f>IF(A452=1,Dashboard!$B$6,IF(B452="Holiday",J451,L451))</x:f>
      </x:c>
      <x:c r="D452" s="32">
        <x:f>IF(A452=1,0,IF(B452="Holiday",K451,0))</x:f>
      </x:c>
      <x:c r="E452" s="32">
        <x:f>C452+D452</x:f>
      </x:c>
      <x:c r="F452" s="32">
        <x:f>IF(B452="Holiday",IF(Dashboard!$B$14="Principal Only",MIN(Dashboard!$B$15,C452),0),0)</x:f>
      </x:c>
      <x:c r="G452" s="32" t="n">
        <x:f>IF(B452="Closed",0,IF(B452="Holiday",IF(Dashboard!$B$14="Interest Only",C452*Dashboard!$F$6,MAX(0,(C452-F452)*Dashboard!$F$6)),E452*Dashboard!$F$6))</x:f>
        <x:v>0</x:v>
      </x:c>
      <x:c r="H452" s="32" t="n">
        <x:f>IF(B452="Holiday",IF(Dashboard!$B$14="Interest Only",G452,F452),IF(B452="Closed",0,MIN(Dashboard!$F$10,E452+G452)))</x:f>
        <x:v>0</x:v>
      </x:c>
      <x:c r="I452" s="32" t="n">
        <x:f>IF(B452="Holiday",F452,IF(B452="Closed",0,MAX(0,H452-G452)))</x:f>
        <x:v>0</x:v>
      </x:c>
      <x:c r="J452" s="32" t="n">
        <x:f>IF(B452="Holiday",MAX(0,C452-F452),IF(B452="Closed",0,MAX(0,E452-I452)))</x:f>
        <x:v>0</x:v>
      </x:c>
      <x:c r="K452" s="32" t="n">
        <x:f>IF(B452="Holiday",IF(Dashboard!$B$14="Interest Only",D452,D452+G452),0)</x:f>
        <x:v>0</x:v>
      </x:c>
      <x:c r="L452" s="32" t="n">
        <x:f>J452+K452</x:f>
        <x:v>0</x:v>
      </x:c>
      <x:c r="M452" s="32" t="n">
        <x:f>IF(A452=1,H452,M451+H452)</x:f>
        <x:v>0</x:v>
      </x:c>
      <x:c r="N452" s="32" t="n">
        <x:f>IF(A452=1,I452,N451+I452)</x:f>
        <x:v>0</x:v>
      </x:c>
      <x:c r="O452" s="32" t="n">
        <x:f>IF(A452=1,G452,O451+G452)</x:f>
        <x:v>3671325</x:v>
      </x:c>
      <x:c r="P452" s="37" t="n">
        <x:f>EDATE(Dashboard!$B$10,A452)</x:f>
        <x:v>58746</x:v>
      </x:c>
    </x:row>
    <x:row r="453">
      <x:c r="A453" s="33" t="n">
        <x:v>452</x:v>
      </x:c>
      <x:c r="B453" s="33" t="str">
        <x:f>IF(A453&lt;=Dashboard!$F$8,"Holiday",IF(A453&lt;=Dashboard!$F$8+Dashboard!$F$7,"Repayment","Closed"))</x:f>
        <x:v>Closed</x:v>
      </x:c>
      <x:c r="C453" s="32">
        <x:f>IF(A453=1,Dashboard!$B$6,IF(B453="Holiday",J452,L452))</x:f>
      </x:c>
      <x:c r="D453" s="32">
        <x:f>IF(A453=1,0,IF(B453="Holiday",K452,0))</x:f>
      </x:c>
      <x:c r="E453" s="32">
        <x:f>C453+D453</x:f>
      </x:c>
      <x:c r="F453" s="32">
        <x:f>IF(B453="Holiday",IF(Dashboard!$B$14="Principal Only",MIN(Dashboard!$B$15,C453),0),0)</x:f>
      </x:c>
      <x:c r="G453" s="32" t="n">
        <x:f>IF(B453="Closed",0,IF(B453="Holiday",IF(Dashboard!$B$14="Interest Only",C453*Dashboard!$F$6,MAX(0,(C453-F453)*Dashboard!$F$6)),E453*Dashboard!$F$6))</x:f>
        <x:v>0</x:v>
      </x:c>
      <x:c r="H453" s="32" t="n">
        <x:f>IF(B453="Holiday",IF(Dashboard!$B$14="Interest Only",G453,F453),IF(B453="Closed",0,MIN(Dashboard!$F$10,E453+G453)))</x:f>
        <x:v>0</x:v>
      </x:c>
      <x:c r="I453" s="32" t="n">
        <x:f>IF(B453="Holiday",F453,IF(B453="Closed",0,MAX(0,H453-G453)))</x:f>
        <x:v>0</x:v>
      </x:c>
      <x:c r="J453" s="32" t="n">
        <x:f>IF(B453="Holiday",MAX(0,C453-F453),IF(B453="Closed",0,MAX(0,E453-I453)))</x:f>
        <x:v>0</x:v>
      </x:c>
      <x:c r="K453" s="32" t="n">
        <x:f>IF(B453="Holiday",IF(Dashboard!$B$14="Interest Only",D453,D453+G453),0)</x:f>
        <x:v>0</x:v>
      </x:c>
      <x:c r="L453" s="32" t="n">
        <x:f>J453+K453</x:f>
        <x:v>0</x:v>
      </x:c>
      <x:c r="M453" s="32" t="n">
        <x:f>IF(A453=1,H453,M452+H453)</x:f>
        <x:v>0</x:v>
      </x:c>
      <x:c r="N453" s="32" t="n">
        <x:f>IF(A453=1,I453,N452+I453)</x:f>
        <x:v>0</x:v>
      </x:c>
      <x:c r="O453" s="32" t="n">
        <x:f>IF(A453=1,G453,O452+G453)</x:f>
        <x:v>3671325</x:v>
      </x:c>
      <x:c r="P453" s="37" t="n">
        <x:f>EDATE(Dashboard!$B$10,A453)</x:f>
        <x:v>58776</x:v>
      </x:c>
    </x:row>
    <x:row r="454">
      <x:c r="A454" s="33" t="n">
        <x:v>453</x:v>
      </x:c>
      <x:c r="B454" s="33" t="str">
        <x:f>IF(A454&lt;=Dashboard!$F$8,"Holiday",IF(A454&lt;=Dashboard!$F$8+Dashboard!$F$7,"Repayment","Closed"))</x:f>
        <x:v>Closed</x:v>
      </x:c>
      <x:c r="C454" s="32">
        <x:f>IF(A454=1,Dashboard!$B$6,IF(B454="Holiday",J453,L453))</x:f>
      </x:c>
      <x:c r="D454" s="32">
        <x:f>IF(A454=1,0,IF(B454="Holiday",K453,0))</x:f>
      </x:c>
      <x:c r="E454" s="32">
        <x:f>C454+D454</x:f>
      </x:c>
      <x:c r="F454" s="32">
        <x:f>IF(B454="Holiday",IF(Dashboard!$B$14="Principal Only",MIN(Dashboard!$B$15,C454),0),0)</x:f>
      </x:c>
      <x:c r="G454" s="32" t="n">
        <x:f>IF(B454="Closed",0,IF(B454="Holiday",IF(Dashboard!$B$14="Interest Only",C454*Dashboard!$F$6,MAX(0,(C454-F454)*Dashboard!$F$6)),E454*Dashboard!$F$6))</x:f>
        <x:v>0</x:v>
      </x:c>
      <x:c r="H454" s="32" t="n">
        <x:f>IF(B454="Holiday",IF(Dashboard!$B$14="Interest Only",G454,F454),IF(B454="Closed",0,MIN(Dashboard!$F$10,E454+G454)))</x:f>
        <x:v>0</x:v>
      </x:c>
      <x:c r="I454" s="32" t="n">
        <x:f>IF(B454="Holiday",F454,IF(B454="Closed",0,MAX(0,H454-G454)))</x:f>
        <x:v>0</x:v>
      </x:c>
      <x:c r="J454" s="32" t="n">
        <x:f>IF(B454="Holiday",MAX(0,C454-F454),IF(B454="Closed",0,MAX(0,E454-I454)))</x:f>
        <x:v>0</x:v>
      </x:c>
      <x:c r="K454" s="32" t="n">
        <x:f>IF(B454="Holiday",IF(Dashboard!$B$14="Interest Only",D454,D454+G454),0)</x:f>
        <x:v>0</x:v>
      </x:c>
      <x:c r="L454" s="32" t="n">
        <x:f>J454+K454</x:f>
        <x:v>0</x:v>
      </x:c>
      <x:c r="M454" s="32" t="n">
        <x:f>IF(A454=1,H454,M453+H454)</x:f>
        <x:v>0</x:v>
      </x:c>
      <x:c r="N454" s="32" t="n">
        <x:f>IF(A454=1,I454,N453+I454)</x:f>
        <x:v>0</x:v>
      </x:c>
      <x:c r="O454" s="32" t="n">
        <x:f>IF(A454=1,G454,O453+G454)</x:f>
        <x:v>3671325</x:v>
      </x:c>
      <x:c r="P454" s="37" t="n">
        <x:f>EDATE(Dashboard!$B$10,A454)</x:f>
        <x:v>58807</x:v>
      </x:c>
    </x:row>
    <x:row r="455">
      <x:c r="A455" s="33" t="n">
        <x:v>454</x:v>
      </x:c>
      <x:c r="B455" s="33" t="str">
        <x:f>IF(A455&lt;=Dashboard!$F$8,"Holiday",IF(A455&lt;=Dashboard!$F$8+Dashboard!$F$7,"Repayment","Closed"))</x:f>
        <x:v>Closed</x:v>
      </x:c>
      <x:c r="C455" s="32">
        <x:f>IF(A455=1,Dashboard!$B$6,IF(B455="Holiday",J454,L454))</x:f>
      </x:c>
      <x:c r="D455" s="32">
        <x:f>IF(A455=1,0,IF(B455="Holiday",K454,0))</x:f>
      </x:c>
      <x:c r="E455" s="32">
        <x:f>C455+D455</x:f>
      </x:c>
      <x:c r="F455" s="32">
        <x:f>IF(B455="Holiday",IF(Dashboard!$B$14="Principal Only",MIN(Dashboard!$B$15,C455),0),0)</x:f>
      </x:c>
      <x:c r="G455" s="32" t="n">
        <x:f>IF(B455="Closed",0,IF(B455="Holiday",IF(Dashboard!$B$14="Interest Only",C455*Dashboard!$F$6,MAX(0,(C455-F455)*Dashboard!$F$6)),E455*Dashboard!$F$6))</x:f>
        <x:v>0</x:v>
      </x:c>
      <x:c r="H455" s="32" t="n">
        <x:f>IF(B455="Holiday",IF(Dashboard!$B$14="Interest Only",G455,F455),IF(B455="Closed",0,MIN(Dashboard!$F$10,E455+G455)))</x:f>
        <x:v>0</x:v>
      </x:c>
      <x:c r="I455" s="32" t="n">
        <x:f>IF(B455="Holiday",F455,IF(B455="Closed",0,MAX(0,H455-G455)))</x:f>
        <x:v>0</x:v>
      </x:c>
      <x:c r="J455" s="32" t="n">
        <x:f>IF(B455="Holiday",MAX(0,C455-F455),IF(B455="Closed",0,MAX(0,E455-I455)))</x:f>
        <x:v>0</x:v>
      </x:c>
      <x:c r="K455" s="32" t="n">
        <x:f>IF(B455="Holiday",IF(Dashboard!$B$14="Interest Only",D455,D455+G455),0)</x:f>
        <x:v>0</x:v>
      </x:c>
      <x:c r="L455" s="32" t="n">
        <x:f>J455+K455</x:f>
        <x:v>0</x:v>
      </x:c>
      <x:c r="M455" s="32" t="n">
        <x:f>IF(A455=1,H455,M454+H455)</x:f>
        <x:v>0</x:v>
      </x:c>
      <x:c r="N455" s="32" t="n">
        <x:f>IF(A455=1,I455,N454+I455)</x:f>
        <x:v>0</x:v>
      </x:c>
      <x:c r="O455" s="32" t="n">
        <x:f>IF(A455=1,G455,O454+G455)</x:f>
        <x:v>3671325</x:v>
      </x:c>
      <x:c r="P455" s="37" t="n">
        <x:f>EDATE(Dashboard!$B$10,A455)</x:f>
        <x:v>58838</x:v>
      </x:c>
    </x:row>
    <x:row r="456">
      <x:c r="A456" s="33" t="n">
        <x:v>455</x:v>
      </x:c>
      <x:c r="B456" s="33" t="str">
        <x:f>IF(A456&lt;=Dashboard!$F$8,"Holiday",IF(A456&lt;=Dashboard!$F$8+Dashboard!$F$7,"Repayment","Closed"))</x:f>
        <x:v>Closed</x:v>
      </x:c>
      <x:c r="C456" s="32">
        <x:f>IF(A456=1,Dashboard!$B$6,IF(B456="Holiday",J455,L455))</x:f>
      </x:c>
      <x:c r="D456" s="32">
        <x:f>IF(A456=1,0,IF(B456="Holiday",K455,0))</x:f>
      </x:c>
      <x:c r="E456" s="32">
        <x:f>C456+D456</x:f>
      </x:c>
      <x:c r="F456" s="32">
        <x:f>IF(B456="Holiday",IF(Dashboard!$B$14="Principal Only",MIN(Dashboard!$B$15,C456),0),0)</x:f>
      </x:c>
      <x:c r="G456" s="32" t="n">
        <x:f>IF(B456="Closed",0,IF(B456="Holiday",IF(Dashboard!$B$14="Interest Only",C456*Dashboard!$F$6,MAX(0,(C456-F456)*Dashboard!$F$6)),E456*Dashboard!$F$6))</x:f>
        <x:v>0</x:v>
      </x:c>
      <x:c r="H456" s="32" t="n">
        <x:f>IF(B456="Holiday",IF(Dashboard!$B$14="Interest Only",G456,F456),IF(B456="Closed",0,MIN(Dashboard!$F$10,E456+G456)))</x:f>
        <x:v>0</x:v>
      </x:c>
      <x:c r="I456" s="32" t="n">
        <x:f>IF(B456="Holiday",F456,IF(B456="Closed",0,MAX(0,H456-G456)))</x:f>
        <x:v>0</x:v>
      </x:c>
      <x:c r="J456" s="32" t="n">
        <x:f>IF(B456="Holiday",MAX(0,C456-F456),IF(B456="Closed",0,MAX(0,E456-I456)))</x:f>
        <x:v>0</x:v>
      </x:c>
      <x:c r="K456" s="32" t="n">
        <x:f>IF(B456="Holiday",IF(Dashboard!$B$14="Interest Only",D456,D456+G456),0)</x:f>
        <x:v>0</x:v>
      </x:c>
      <x:c r="L456" s="32" t="n">
        <x:f>J456+K456</x:f>
        <x:v>0</x:v>
      </x:c>
      <x:c r="M456" s="32" t="n">
        <x:f>IF(A456=1,H456,M455+H456)</x:f>
        <x:v>0</x:v>
      </x:c>
      <x:c r="N456" s="32" t="n">
        <x:f>IF(A456=1,I456,N455+I456)</x:f>
        <x:v>0</x:v>
      </x:c>
      <x:c r="O456" s="32" t="n">
        <x:f>IF(A456=1,G456,O455+G456)</x:f>
        <x:v>3671325</x:v>
      </x:c>
      <x:c r="P456" s="37" t="n">
        <x:f>EDATE(Dashboard!$B$10,A456)</x:f>
        <x:v>58866</x:v>
      </x:c>
    </x:row>
    <x:row r="457">
      <x:c r="A457" s="33" t="n">
        <x:v>456</x:v>
      </x:c>
      <x:c r="B457" s="33" t="str">
        <x:f>IF(A457&lt;=Dashboard!$F$8,"Holiday",IF(A457&lt;=Dashboard!$F$8+Dashboard!$F$7,"Repayment","Closed"))</x:f>
        <x:v>Closed</x:v>
      </x:c>
      <x:c r="C457" s="32">
        <x:f>IF(A457=1,Dashboard!$B$6,IF(B457="Holiday",J456,L456))</x:f>
      </x:c>
      <x:c r="D457" s="32">
        <x:f>IF(A457=1,0,IF(B457="Holiday",K456,0))</x:f>
      </x:c>
      <x:c r="E457" s="32">
        <x:f>C457+D457</x:f>
      </x:c>
      <x:c r="F457" s="32">
        <x:f>IF(B457="Holiday",IF(Dashboard!$B$14="Principal Only",MIN(Dashboard!$B$15,C457),0),0)</x:f>
      </x:c>
      <x:c r="G457" s="32" t="n">
        <x:f>IF(B457="Closed",0,IF(B457="Holiday",IF(Dashboard!$B$14="Interest Only",C457*Dashboard!$F$6,MAX(0,(C457-F457)*Dashboard!$F$6)),E457*Dashboard!$F$6))</x:f>
        <x:v>0</x:v>
      </x:c>
      <x:c r="H457" s="32" t="n">
        <x:f>IF(B457="Holiday",IF(Dashboard!$B$14="Interest Only",G457,F457),IF(B457="Closed",0,MIN(Dashboard!$F$10,E457+G457)))</x:f>
        <x:v>0</x:v>
      </x:c>
      <x:c r="I457" s="32" t="n">
        <x:f>IF(B457="Holiday",F457,IF(B457="Closed",0,MAX(0,H457-G457)))</x:f>
        <x:v>0</x:v>
      </x:c>
      <x:c r="J457" s="32" t="n">
        <x:f>IF(B457="Holiday",MAX(0,C457-F457),IF(B457="Closed",0,MAX(0,E457-I457)))</x:f>
        <x:v>0</x:v>
      </x:c>
      <x:c r="K457" s="32" t="n">
        <x:f>IF(B457="Holiday",IF(Dashboard!$B$14="Interest Only",D457,D457+G457),0)</x:f>
        <x:v>0</x:v>
      </x:c>
      <x:c r="L457" s="32" t="n">
        <x:f>J457+K457</x:f>
        <x:v>0</x:v>
      </x:c>
      <x:c r="M457" s="32" t="n">
        <x:f>IF(A457=1,H457,M456+H457)</x:f>
        <x:v>0</x:v>
      </x:c>
      <x:c r="N457" s="32" t="n">
        <x:f>IF(A457=1,I457,N456+I457)</x:f>
        <x:v>0</x:v>
      </x:c>
      <x:c r="O457" s="32" t="n">
        <x:f>IF(A457=1,G457,O456+G457)</x:f>
        <x:v>3671325</x:v>
      </x:c>
      <x:c r="P457" s="37" t="n">
        <x:f>EDATE(Dashboard!$B$10,A457)</x:f>
        <x:v>58897</x:v>
      </x:c>
    </x:row>
    <x:row r="458">
      <x:c r="A458" s="33" t="n">
        <x:v>457</x:v>
      </x:c>
      <x:c r="B458" s="33" t="str">
        <x:f>IF(A458&lt;=Dashboard!$F$8,"Holiday",IF(A458&lt;=Dashboard!$F$8+Dashboard!$F$7,"Repayment","Closed"))</x:f>
        <x:v>Closed</x:v>
      </x:c>
      <x:c r="C458" s="32">
        <x:f>IF(A458=1,Dashboard!$B$6,IF(B458="Holiday",J457,L457))</x:f>
      </x:c>
      <x:c r="D458" s="32">
        <x:f>IF(A458=1,0,IF(B458="Holiday",K457,0))</x:f>
      </x:c>
      <x:c r="E458" s="32">
        <x:f>C458+D458</x:f>
      </x:c>
      <x:c r="F458" s="32">
        <x:f>IF(B458="Holiday",IF(Dashboard!$B$14="Principal Only",MIN(Dashboard!$B$15,C458),0),0)</x:f>
      </x:c>
      <x:c r="G458" s="32" t="n">
        <x:f>IF(B458="Closed",0,IF(B458="Holiday",IF(Dashboard!$B$14="Interest Only",C458*Dashboard!$F$6,MAX(0,(C458-F458)*Dashboard!$F$6)),E458*Dashboard!$F$6))</x:f>
        <x:v>0</x:v>
      </x:c>
      <x:c r="H458" s="32" t="n">
        <x:f>IF(B458="Holiday",IF(Dashboard!$B$14="Interest Only",G458,F458),IF(B458="Closed",0,MIN(Dashboard!$F$10,E458+G458)))</x:f>
        <x:v>0</x:v>
      </x:c>
      <x:c r="I458" s="32" t="n">
        <x:f>IF(B458="Holiday",F458,IF(B458="Closed",0,MAX(0,H458-G458)))</x:f>
        <x:v>0</x:v>
      </x:c>
      <x:c r="J458" s="32" t="n">
        <x:f>IF(B458="Holiday",MAX(0,C458-F458),IF(B458="Closed",0,MAX(0,E458-I458)))</x:f>
        <x:v>0</x:v>
      </x:c>
      <x:c r="K458" s="32" t="n">
        <x:f>IF(B458="Holiday",IF(Dashboard!$B$14="Interest Only",D458,D458+G458),0)</x:f>
        <x:v>0</x:v>
      </x:c>
      <x:c r="L458" s="32" t="n">
        <x:f>J458+K458</x:f>
        <x:v>0</x:v>
      </x:c>
      <x:c r="M458" s="32" t="n">
        <x:f>IF(A458=1,H458,M457+H458)</x:f>
        <x:v>0</x:v>
      </x:c>
      <x:c r="N458" s="32" t="n">
        <x:f>IF(A458=1,I458,N457+I458)</x:f>
        <x:v>0</x:v>
      </x:c>
      <x:c r="O458" s="32" t="n">
        <x:f>IF(A458=1,G458,O457+G458)</x:f>
        <x:v>3671325</x:v>
      </x:c>
      <x:c r="P458" s="37" t="n">
        <x:f>EDATE(Dashboard!$B$10,A458)</x:f>
        <x:v>58927</x:v>
      </x:c>
    </x:row>
    <x:row r="459">
      <x:c r="A459" s="33" t="n">
        <x:v>458</x:v>
      </x:c>
      <x:c r="B459" s="33" t="str">
        <x:f>IF(A459&lt;=Dashboard!$F$8,"Holiday",IF(A459&lt;=Dashboard!$F$8+Dashboard!$F$7,"Repayment","Closed"))</x:f>
        <x:v>Closed</x:v>
      </x:c>
      <x:c r="C459" s="32">
        <x:f>IF(A459=1,Dashboard!$B$6,IF(B459="Holiday",J458,L458))</x:f>
      </x:c>
      <x:c r="D459" s="32">
        <x:f>IF(A459=1,0,IF(B459="Holiday",K458,0))</x:f>
      </x:c>
      <x:c r="E459" s="32">
        <x:f>C459+D459</x:f>
      </x:c>
      <x:c r="F459" s="32">
        <x:f>IF(B459="Holiday",IF(Dashboard!$B$14="Principal Only",MIN(Dashboard!$B$15,C459),0),0)</x:f>
      </x:c>
      <x:c r="G459" s="32" t="n">
        <x:f>IF(B459="Closed",0,IF(B459="Holiday",IF(Dashboard!$B$14="Interest Only",C459*Dashboard!$F$6,MAX(0,(C459-F459)*Dashboard!$F$6)),E459*Dashboard!$F$6))</x:f>
        <x:v>0</x:v>
      </x:c>
      <x:c r="H459" s="32" t="n">
        <x:f>IF(B459="Holiday",IF(Dashboard!$B$14="Interest Only",G459,F459),IF(B459="Closed",0,MIN(Dashboard!$F$10,E459+G459)))</x:f>
        <x:v>0</x:v>
      </x:c>
      <x:c r="I459" s="32" t="n">
        <x:f>IF(B459="Holiday",F459,IF(B459="Closed",0,MAX(0,H459-G459)))</x:f>
        <x:v>0</x:v>
      </x:c>
      <x:c r="J459" s="32" t="n">
        <x:f>IF(B459="Holiday",MAX(0,C459-F459),IF(B459="Closed",0,MAX(0,E459-I459)))</x:f>
        <x:v>0</x:v>
      </x:c>
      <x:c r="K459" s="32" t="n">
        <x:f>IF(B459="Holiday",IF(Dashboard!$B$14="Interest Only",D459,D459+G459),0)</x:f>
        <x:v>0</x:v>
      </x:c>
      <x:c r="L459" s="32" t="n">
        <x:f>J459+K459</x:f>
        <x:v>0</x:v>
      </x:c>
      <x:c r="M459" s="32" t="n">
        <x:f>IF(A459=1,H459,M458+H459)</x:f>
        <x:v>0</x:v>
      </x:c>
      <x:c r="N459" s="32" t="n">
        <x:f>IF(A459=1,I459,N458+I459)</x:f>
        <x:v>0</x:v>
      </x:c>
      <x:c r="O459" s="32" t="n">
        <x:f>IF(A459=1,G459,O458+G459)</x:f>
        <x:v>3671325</x:v>
      </x:c>
      <x:c r="P459" s="37" t="n">
        <x:f>EDATE(Dashboard!$B$10,A459)</x:f>
        <x:v>58958</x:v>
      </x:c>
    </x:row>
    <x:row r="460">
      <x:c r="A460" s="33" t="n">
        <x:v>459</x:v>
      </x:c>
      <x:c r="B460" s="33" t="str">
        <x:f>IF(A460&lt;=Dashboard!$F$8,"Holiday",IF(A460&lt;=Dashboard!$F$8+Dashboard!$F$7,"Repayment","Closed"))</x:f>
        <x:v>Closed</x:v>
      </x:c>
      <x:c r="C460" s="32">
        <x:f>IF(A460=1,Dashboard!$B$6,IF(B460="Holiday",J459,L459))</x:f>
      </x:c>
      <x:c r="D460" s="32">
        <x:f>IF(A460=1,0,IF(B460="Holiday",K459,0))</x:f>
      </x:c>
      <x:c r="E460" s="32">
        <x:f>C460+D460</x:f>
      </x:c>
      <x:c r="F460" s="32">
        <x:f>IF(B460="Holiday",IF(Dashboard!$B$14="Principal Only",MIN(Dashboard!$B$15,C460),0),0)</x:f>
      </x:c>
      <x:c r="G460" s="32" t="n">
        <x:f>IF(B460="Closed",0,IF(B460="Holiday",IF(Dashboard!$B$14="Interest Only",C460*Dashboard!$F$6,MAX(0,(C460-F460)*Dashboard!$F$6)),E460*Dashboard!$F$6))</x:f>
        <x:v>0</x:v>
      </x:c>
      <x:c r="H460" s="32" t="n">
        <x:f>IF(B460="Holiday",IF(Dashboard!$B$14="Interest Only",G460,F460),IF(B460="Closed",0,MIN(Dashboard!$F$10,E460+G460)))</x:f>
        <x:v>0</x:v>
      </x:c>
      <x:c r="I460" s="32" t="n">
        <x:f>IF(B460="Holiday",F460,IF(B460="Closed",0,MAX(0,H460-G460)))</x:f>
        <x:v>0</x:v>
      </x:c>
      <x:c r="J460" s="32" t="n">
        <x:f>IF(B460="Holiday",MAX(0,C460-F460),IF(B460="Closed",0,MAX(0,E460-I460)))</x:f>
        <x:v>0</x:v>
      </x:c>
      <x:c r="K460" s="32" t="n">
        <x:f>IF(B460="Holiday",IF(Dashboard!$B$14="Interest Only",D460,D460+G460),0)</x:f>
        <x:v>0</x:v>
      </x:c>
      <x:c r="L460" s="32" t="n">
        <x:f>J460+K460</x:f>
        <x:v>0</x:v>
      </x:c>
      <x:c r="M460" s="32" t="n">
        <x:f>IF(A460=1,H460,M459+H460)</x:f>
        <x:v>0</x:v>
      </x:c>
      <x:c r="N460" s="32" t="n">
        <x:f>IF(A460=1,I460,N459+I460)</x:f>
        <x:v>0</x:v>
      </x:c>
      <x:c r="O460" s="32" t="n">
        <x:f>IF(A460=1,G460,O459+G460)</x:f>
        <x:v>3671325</x:v>
      </x:c>
      <x:c r="P460" s="37" t="n">
        <x:f>EDATE(Dashboard!$B$10,A460)</x:f>
        <x:v>58988</x:v>
      </x:c>
    </x:row>
    <x:row r="461">
      <x:c r="A461" s="33" t="n">
        <x:v>460</x:v>
      </x:c>
      <x:c r="B461" s="33" t="str">
        <x:f>IF(A461&lt;=Dashboard!$F$8,"Holiday",IF(A461&lt;=Dashboard!$F$8+Dashboard!$F$7,"Repayment","Closed"))</x:f>
        <x:v>Closed</x:v>
      </x:c>
      <x:c r="C461" s="32">
        <x:f>IF(A461=1,Dashboard!$B$6,IF(B461="Holiday",J460,L460))</x:f>
      </x:c>
      <x:c r="D461" s="32">
        <x:f>IF(A461=1,0,IF(B461="Holiday",K460,0))</x:f>
      </x:c>
      <x:c r="E461" s="32">
        <x:f>C461+D461</x:f>
      </x:c>
      <x:c r="F461" s="32">
        <x:f>IF(B461="Holiday",IF(Dashboard!$B$14="Principal Only",MIN(Dashboard!$B$15,C461),0),0)</x:f>
      </x:c>
      <x:c r="G461" s="32" t="n">
        <x:f>IF(B461="Closed",0,IF(B461="Holiday",IF(Dashboard!$B$14="Interest Only",C461*Dashboard!$F$6,MAX(0,(C461-F461)*Dashboard!$F$6)),E461*Dashboard!$F$6))</x:f>
        <x:v>0</x:v>
      </x:c>
      <x:c r="H461" s="32" t="n">
        <x:f>IF(B461="Holiday",IF(Dashboard!$B$14="Interest Only",G461,F461),IF(B461="Closed",0,MIN(Dashboard!$F$10,E461+G461)))</x:f>
        <x:v>0</x:v>
      </x:c>
      <x:c r="I461" s="32" t="n">
        <x:f>IF(B461="Holiday",F461,IF(B461="Closed",0,MAX(0,H461-G461)))</x:f>
        <x:v>0</x:v>
      </x:c>
      <x:c r="J461" s="32" t="n">
        <x:f>IF(B461="Holiday",MAX(0,C461-F461),IF(B461="Closed",0,MAX(0,E461-I461)))</x:f>
        <x:v>0</x:v>
      </x:c>
      <x:c r="K461" s="32" t="n">
        <x:f>IF(B461="Holiday",IF(Dashboard!$B$14="Interest Only",D461,D461+G461),0)</x:f>
        <x:v>0</x:v>
      </x:c>
      <x:c r="L461" s="32" t="n">
        <x:f>J461+K461</x:f>
        <x:v>0</x:v>
      </x:c>
      <x:c r="M461" s="32" t="n">
        <x:f>IF(A461=1,H461,M460+H461)</x:f>
        <x:v>0</x:v>
      </x:c>
      <x:c r="N461" s="32" t="n">
        <x:f>IF(A461=1,I461,N460+I461)</x:f>
        <x:v>0</x:v>
      </x:c>
      <x:c r="O461" s="32" t="n">
        <x:f>IF(A461=1,G461,O460+G461)</x:f>
        <x:v>3671325</x:v>
      </x:c>
      <x:c r="P461" s="37" t="n">
        <x:f>EDATE(Dashboard!$B$10,A461)</x:f>
        <x:v>59019</x:v>
      </x:c>
    </x:row>
    <x:row r="462">
      <x:c r="A462" s="33" t="n">
        <x:v>461</x:v>
      </x:c>
      <x:c r="B462" s="33" t="str">
        <x:f>IF(A462&lt;=Dashboard!$F$8,"Holiday",IF(A462&lt;=Dashboard!$F$8+Dashboard!$F$7,"Repayment","Closed"))</x:f>
        <x:v>Closed</x:v>
      </x:c>
      <x:c r="C462" s="32">
        <x:f>IF(A462=1,Dashboard!$B$6,IF(B462="Holiday",J461,L461))</x:f>
      </x:c>
      <x:c r="D462" s="32">
        <x:f>IF(A462=1,0,IF(B462="Holiday",K461,0))</x:f>
      </x:c>
      <x:c r="E462" s="32">
        <x:f>C462+D462</x:f>
      </x:c>
      <x:c r="F462" s="32">
        <x:f>IF(B462="Holiday",IF(Dashboard!$B$14="Principal Only",MIN(Dashboard!$B$15,C462),0),0)</x:f>
      </x:c>
      <x:c r="G462" s="32" t="n">
        <x:f>IF(B462="Closed",0,IF(B462="Holiday",IF(Dashboard!$B$14="Interest Only",C462*Dashboard!$F$6,MAX(0,(C462-F462)*Dashboard!$F$6)),E462*Dashboard!$F$6))</x:f>
        <x:v>0</x:v>
      </x:c>
      <x:c r="H462" s="32" t="n">
        <x:f>IF(B462="Holiday",IF(Dashboard!$B$14="Interest Only",G462,F462),IF(B462="Closed",0,MIN(Dashboard!$F$10,E462+G462)))</x:f>
        <x:v>0</x:v>
      </x:c>
      <x:c r="I462" s="32" t="n">
        <x:f>IF(B462="Holiday",F462,IF(B462="Closed",0,MAX(0,H462-G462)))</x:f>
        <x:v>0</x:v>
      </x:c>
      <x:c r="J462" s="32" t="n">
        <x:f>IF(B462="Holiday",MAX(0,C462-F462),IF(B462="Closed",0,MAX(0,E462-I462)))</x:f>
        <x:v>0</x:v>
      </x:c>
      <x:c r="K462" s="32" t="n">
        <x:f>IF(B462="Holiday",IF(Dashboard!$B$14="Interest Only",D462,D462+G462),0)</x:f>
        <x:v>0</x:v>
      </x:c>
      <x:c r="L462" s="32" t="n">
        <x:f>J462+K462</x:f>
        <x:v>0</x:v>
      </x:c>
      <x:c r="M462" s="32" t="n">
        <x:f>IF(A462=1,H462,M461+H462)</x:f>
        <x:v>0</x:v>
      </x:c>
      <x:c r="N462" s="32" t="n">
        <x:f>IF(A462=1,I462,N461+I462)</x:f>
        <x:v>0</x:v>
      </x:c>
      <x:c r="O462" s="32" t="n">
        <x:f>IF(A462=1,G462,O461+G462)</x:f>
        <x:v>3671325</x:v>
      </x:c>
      <x:c r="P462" s="37" t="n">
        <x:f>EDATE(Dashboard!$B$10,A462)</x:f>
        <x:v>59050</x:v>
      </x:c>
    </x:row>
    <x:row r="463">
      <x:c r="A463" s="33" t="n">
        <x:v>462</x:v>
      </x:c>
      <x:c r="B463" s="33" t="str">
        <x:f>IF(A463&lt;=Dashboard!$F$8,"Holiday",IF(A463&lt;=Dashboard!$F$8+Dashboard!$F$7,"Repayment","Closed"))</x:f>
        <x:v>Closed</x:v>
      </x:c>
      <x:c r="C463" s="32">
        <x:f>IF(A463=1,Dashboard!$B$6,IF(B463="Holiday",J462,L462))</x:f>
      </x:c>
      <x:c r="D463" s="32">
        <x:f>IF(A463=1,0,IF(B463="Holiday",K462,0))</x:f>
      </x:c>
      <x:c r="E463" s="32">
        <x:f>C463+D463</x:f>
      </x:c>
      <x:c r="F463" s="32">
        <x:f>IF(B463="Holiday",IF(Dashboard!$B$14="Principal Only",MIN(Dashboard!$B$15,C463),0),0)</x:f>
      </x:c>
      <x:c r="G463" s="32" t="n">
        <x:f>IF(B463="Closed",0,IF(B463="Holiday",IF(Dashboard!$B$14="Interest Only",C463*Dashboard!$F$6,MAX(0,(C463-F463)*Dashboard!$F$6)),E463*Dashboard!$F$6))</x:f>
        <x:v>0</x:v>
      </x:c>
      <x:c r="H463" s="32" t="n">
        <x:f>IF(B463="Holiday",IF(Dashboard!$B$14="Interest Only",G463,F463),IF(B463="Closed",0,MIN(Dashboard!$F$10,E463+G463)))</x:f>
        <x:v>0</x:v>
      </x:c>
      <x:c r="I463" s="32" t="n">
        <x:f>IF(B463="Holiday",F463,IF(B463="Closed",0,MAX(0,H463-G463)))</x:f>
        <x:v>0</x:v>
      </x:c>
      <x:c r="J463" s="32" t="n">
        <x:f>IF(B463="Holiday",MAX(0,C463-F463),IF(B463="Closed",0,MAX(0,E463-I463)))</x:f>
        <x:v>0</x:v>
      </x:c>
      <x:c r="K463" s="32" t="n">
        <x:f>IF(B463="Holiday",IF(Dashboard!$B$14="Interest Only",D463,D463+G463),0)</x:f>
        <x:v>0</x:v>
      </x:c>
      <x:c r="L463" s="32" t="n">
        <x:f>J463+K463</x:f>
        <x:v>0</x:v>
      </x:c>
      <x:c r="M463" s="32" t="n">
        <x:f>IF(A463=1,H463,M462+H463)</x:f>
        <x:v>0</x:v>
      </x:c>
      <x:c r="N463" s="32" t="n">
        <x:f>IF(A463=1,I463,N462+I463)</x:f>
        <x:v>0</x:v>
      </x:c>
      <x:c r="O463" s="32" t="n">
        <x:f>IF(A463=1,G463,O462+G463)</x:f>
        <x:v>3671325</x:v>
      </x:c>
      <x:c r="P463" s="37" t="n">
        <x:f>EDATE(Dashboard!$B$10,A463)</x:f>
        <x:v>59080</x:v>
      </x:c>
    </x:row>
    <x:row r="464">
      <x:c r="A464" s="33" t="n">
        <x:v>463</x:v>
      </x:c>
      <x:c r="B464" s="33" t="str">
        <x:f>IF(A464&lt;=Dashboard!$F$8,"Holiday",IF(A464&lt;=Dashboard!$F$8+Dashboard!$F$7,"Repayment","Closed"))</x:f>
        <x:v>Closed</x:v>
      </x:c>
      <x:c r="C464" s="32">
        <x:f>IF(A464=1,Dashboard!$B$6,IF(B464="Holiday",J463,L463))</x:f>
      </x:c>
      <x:c r="D464" s="32">
        <x:f>IF(A464=1,0,IF(B464="Holiday",K463,0))</x:f>
      </x:c>
      <x:c r="E464" s="32">
        <x:f>C464+D464</x:f>
      </x:c>
      <x:c r="F464" s="32">
        <x:f>IF(B464="Holiday",IF(Dashboard!$B$14="Principal Only",MIN(Dashboard!$B$15,C464),0),0)</x:f>
      </x:c>
      <x:c r="G464" s="32" t="n">
        <x:f>IF(B464="Closed",0,IF(B464="Holiday",IF(Dashboard!$B$14="Interest Only",C464*Dashboard!$F$6,MAX(0,(C464-F464)*Dashboard!$F$6)),E464*Dashboard!$F$6))</x:f>
        <x:v>0</x:v>
      </x:c>
      <x:c r="H464" s="32" t="n">
        <x:f>IF(B464="Holiday",IF(Dashboard!$B$14="Interest Only",G464,F464),IF(B464="Closed",0,MIN(Dashboard!$F$10,E464+G464)))</x:f>
        <x:v>0</x:v>
      </x:c>
      <x:c r="I464" s="32" t="n">
        <x:f>IF(B464="Holiday",F464,IF(B464="Closed",0,MAX(0,H464-G464)))</x:f>
        <x:v>0</x:v>
      </x:c>
      <x:c r="J464" s="32" t="n">
        <x:f>IF(B464="Holiday",MAX(0,C464-F464),IF(B464="Closed",0,MAX(0,E464-I464)))</x:f>
        <x:v>0</x:v>
      </x:c>
      <x:c r="K464" s="32" t="n">
        <x:f>IF(B464="Holiday",IF(Dashboard!$B$14="Interest Only",D464,D464+G464),0)</x:f>
        <x:v>0</x:v>
      </x:c>
      <x:c r="L464" s="32" t="n">
        <x:f>J464+K464</x:f>
        <x:v>0</x:v>
      </x:c>
      <x:c r="M464" s="32" t="n">
        <x:f>IF(A464=1,H464,M463+H464)</x:f>
        <x:v>0</x:v>
      </x:c>
      <x:c r="N464" s="32" t="n">
        <x:f>IF(A464=1,I464,N463+I464)</x:f>
        <x:v>0</x:v>
      </x:c>
      <x:c r="O464" s="32" t="n">
        <x:f>IF(A464=1,G464,O463+G464)</x:f>
        <x:v>3671325</x:v>
      </x:c>
      <x:c r="P464" s="37" t="n">
        <x:f>EDATE(Dashboard!$B$10,A464)</x:f>
        <x:v>59111</x:v>
      </x:c>
    </x:row>
    <x:row r="465">
      <x:c r="A465" s="33" t="n">
        <x:v>464</x:v>
      </x:c>
      <x:c r="B465" s="33" t="str">
        <x:f>IF(A465&lt;=Dashboard!$F$8,"Holiday",IF(A465&lt;=Dashboard!$F$8+Dashboard!$F$7,"Repayment","Closed"))</x:f>
        <x:v>Closed</x:v>
      </x:c>
      <x:c r="C465" s="32">
        <x:f>IF(A465=1,Dashboard!$B$6,IF(B465="Holiday",J464,L464))</x:f>
      </x:c>
      <x:c r="D465" s="32">
        <x:f>IF(A465=1,0,IF(B465="Holiday",K464,0))</x:f>
      </x:c>
      <x:c r="E465" s="32">
        <x:f>C465+D465</x:f>
      </x:c>
      <x:c r="F465" s="32">
        <x:f>IF(B465="Holiday",IF(Dashboard!$B$14="Principal Only",MIN(Dashboard!$B$15,C465),0),0)</x:f>
      </x:c>
      <x:c r="G465" s="32" t="n">
        <x:f>IF(B465="Closed",0,IF(B465="Holiday",IF(Dashboard!$B$14="Interest Only",C465*Dashboard!$F$6,MAX(0,(C465-F465)*Dashboard!$F$6)),E465*Dashboard!$F$6))</x:f>
        <x:v>0</x:v>
      </x:c>
      <x:c r="H465" s="32" t="n">
        <x:f>IF(B465="Holiday",IF(Dashboard!$B$14="Interest Only",G465,F465),IF(B465="Closed",0,MIN(Dashboard!$F$10,E465+G465)))</x:f>
        <x:v>0</x:v>
      </x:c>
      <x:c r="I465" s="32" t="n">
        <x:f>IF(B465="Holiday",F465,IF(B465="Closed",0,MAX(0,H465-G465)))</x:f>
        <x:v>0</x:v>
      </x:c>
      <x:c r="J465" s="32" t="n">
        <x:f>IF(B465="Holiday",MAX(0,C465-F465),IF(B465="Closed",0,MAX(0,E465-I465)))</x:f>
        <x:v>0</x:v>
      </x:c>
      <x:c r="K465" s="32" t="n">
        <x:f>IF(B465="Holiday",IF(Dashboard!$B$14="Interest Only",D465,D465+G465),0)</x:f>
        <x:v>0</x:v>
      </x:c>
      <x:c r="L465" s="32" t="n">
        <x:f>J465+K465</x:f>
        <x:v>0</x:v>
      </x:c>
      <x:c r="M465" s="32" t="n">
        <x:f>IF(A465=1,H465,M464+H465)</x:f>
        <x:v>0</x:v>
      </x:c>
      <x:c r="N465" s="32" t="n">
        <x:f>IF(A465=1,I465,N464+I465)</x:f>
        <x:v>0</x:v>
      </x:c>
      <x:c r="O465" s="32" t="n">
        <x:f>IF(A465=1,G465,O464+G465)</x:f>
        <x:v>3671325</x:v>
      </x:c>
      <x:c r="P465" s="37" t="n">
        <x:f>EDATE(Dashboard!$B$10,A465)</x:f>
        <x:v>59141</x:v>
      </x:c>
    </x:row>
    <x:row r="466">
      <x:c r="A466" s="33" t="n">
        <x:v>465</x:v>
      </x:c>
      <x:c r="B466" s="33" t="str">
        <x:f>IF(A466&lt;=Dashboard!$F$8,"Holiday",IF(A466&lt;=Dashboard!$F$8+Dashboard!$F$7,"Repayment","Closed"))</x:f>
        <x:v>Closed</x:v>
      </x:c>
      <x:c r="C466" s="32">
        <x:f>IF(A466=1,Dashboard!$B$6,IF(B466="Holiday",J465,L465))</x:f>
      </x:c>
      <x:c r="D466" s="32">
        <x:f>IF(A466=1,0,IF(B466="Holiday",K465,0))</x:f>
      </x:c>
      <x:c r="E466" s="32">
        <x:f>C466+D466</x:f>
      </x:c>
      <x:c r="F466" s="32">
        <x:f>IF(B466="Holiday",IF(Dashboard!$B$14="Principal Only",MIN(Dashboard!$B$15,C466),0),0)</x:f>
      </x:c>
      <x:c r="G466" s="32" t="n">
        <x:f>IF(B466="Closed",0,IF(B466="Holiday",IF(Dashboard!$B$14="Interest Only",C466*Dashboard!$F$6,MAX(0,(C466-F466)*Dashboard!$F$6)),E466*Dashboard!$F$6))</x:f>
        <x:v>0</x:v>
      </x:c>
      <x:c r="H466" s="32" t="n">
        <x:f>IF(B466="Holiday",IF(Dashboard!$B$14="Interest Only",G466,F466),IF(B466="Closed",0,MIN(Dashboard!$F$10,E466+G466)))</x:f>
        <x:v>0</x:v>
      </x:c>
      <x:c r="I466" s="32" t="n">
        <x:f>IF(B466="Holiday",F466,IF(B466="Closed",0,MAX(0,H466-G466)))</x:f>
        <x:v>0</x:v>
      </x:c>
      <x:c r="J466" s="32" t="n">
        <x:f>IF(B466="Holiday",MAX(0,C466-F466),IF(B466="Closed",0,MAX(0,E466-I466)))</x:f>
        <x:v>0</x:v>
      </x:c>
      <x:c r="K466" s="32" t="n">
        <x:f>IF(B466="Holiday",IF(Dashboard!$B$14="Interest Only",D466,D466+G466),0)</x:f>
        <x:v>0</x:v>
      </x:c>
      <x:c r="L466" s="32" t="n">
        <x:f>J466+K466</x:f>
        <x:v>0</x:v>
      </x:c>
      <x:c r="M466" s="32" t="n">
        <x:f>IF(A466=1,H466,M465+H466)</x:f>
        <x:v>0</x:v>
      </x:c>
      <x:c r="N466" s="32" t="n">
        <x:f>IF(A466=1,I466,N465+I466)</x:f>
        <x:v>0</x:v>
      </x:c>
      <x:c r="O466" s="32" t="n">
        <x:f>IF(A466=1,G466,O465+G466)</x:f>
        <x:v>3671325</x:v>
      </x:c>
      <x:c r="P466" s="37" t="n">
        <x:f>EDATE(Dashboard!$B$10,A466)</x:f>
        <x:v>59172</x:v>
      </x:c>
    </x:row>
    <x:row r="467">
      <x:c r="A467" s="33" t="n">
        <x:v>466</x:v>
      </x:c>
      <x:c r="B467" s="33" t="str">
        <x:f>IF(A467&lt;=Dashboard!$F$8,"Holiday",IF(A467&lt;=Dashboard!$F$8+Dashboard!$F$7,"Repayment","Closed"))</x:f>
        <x:v>Closed</x:v>
      </x:c>
      <x:c r="C467" s="32">
        <x:f>IF(A467=1,Dashboard!$B$6,IF(B467="Holiday",J466,L466))</x:f>
      </x:c>
      <x:c r="D467" s="32">
        <x:f>IF(A467=1,0,IF(B467="Holiday",K466,0))</x:f>
      </x:c>
      <x:c r="E467" s="32">
        <x:f>C467+D467</x:f>
      </x:c>
      <x:c r="F467" s="32">
        <x:f>IF(B467="Holiday",IF(Dashboard!$B$14="Principal Only",MIN(Dashboard!$B$15,C467),0),0)</x:f>
      </x:c>
      <x:c r="G467" s="32" t="n">
        <x:f>IF(B467="Closed",0,IF(B467="Holiday",IF(Dashboard!$B$14="Interest Only",C467*Dashboard!$F$6,MAX(0,(C467-F467)*Dashboard!$F$6)),E467*Dashboard!$F$6))</x:f>
        <x:v>0</x:v>
      </x:c>
      <x:c r="H467" s="32" t="n">
        <x:f>IF(B467="Holiday",IF(Dashboard!$B$14="Interest Only",G467,F467),IF(B467="Closed",0,MIN(Dashboard!$F$10,E467+G467)))</x:f>
        <x:v>0</x:v>
      </x:c>
      <x:c r="I467" s="32" t="n">
        <x:f>IF(B467="Holiday",F467,IF(B467="Closed",0,MAX(0,H467-G467)))</x:f>
        <x:v>0</x:v>
      </x:c>
      <x:c r="J467" s="32" t="n">
        <x:f>IF(B467="Holiday",MAX(0,C467-F467),IF(B467="Closed",0,MAX(0,E467-I467)))</x:f>
        <x:v>0</x:v>
      </x:c>
      <x:c r="K467" s="32" t="n">
        <x:f>IF(B467="Holiday",IF(Dashboard!$B$14="Interest Only",D467,D467+G467),0)</x:f>
        <x:v>0</x:v>
      </x:c>
      <x:c r="L467" s="32" t="n">
        <x:f>J467+K467</x:f>
        <x:v>0</x:v>
      </x:c>
      <x:c r="M467" s="32" t="n">
        <x:f>IF(A467=1,H467,M466+H467)</x:f>
        <x:v>0</x:v>
      </x:c>
      <x:c r="N467" s="32" t="n">
        <x:f>IF(A467=1,I467,N466+I467)</x:f>
        <x:v>0</x:v>
      </x:c>
      <x:c r="O467" s="32" t="n">
        <x:f>IF(A467=1,G467,O466+G467)</x:f>
        <x:v>3671325</x:v>
      </x:c>
      <x:c r="P467" s="37" t="n">
        <x:f>EDATE(Dashboard!$B$10,A467)</x:f>
        <x:v>59203</x:v>
      </x:c>
    </x:row>
    <x:row r="468">
      <x:c r="A468" s="33" t="n">
        <x:v>467</x:v>
      </x:c>
      <x:c r="B468" s="33" t="str">
        <x:f>IF(A468&lt;=Dashboard!$F$8,"Holiday",IF(A468&lt;=Dashboard!$F$8+Dashboard!$F$7,"Repayment","Closed"))</x:f>
        <x:v>Closed</x:v>
      </x:c>
      <x:c r="C468" s="32">
        <x:f>IF(A468=1,Dashboard!$B$6,IF(B468="Holiday",J467,L467))</x:f>
      </x:c>
      <x:c r="D468" s="32">
        <x:f>IF(A468=1,0,IF(B468="Holiday",K467,0))</x:f>
      </x:c>
      <x:c r="E468" s="32">
        <x:f>C468+D468</x:f>
      </x:c>
      <x:c r="F468" s="32">
        <x:f>IF(B468="Holiday",IF(Dashboard!$B$14="Principal Only",MIN(Dashboard!$B$15,C468),0),0)</x:f>
      </x:c>
      <x:c r="G468" s="32" t="n">
        <x:f>IF(B468="Closed",0,IF(B468="Holiday",IF(Dashboard!$B$14="Interest Only",C468*Dashboard!$F$6,MAX(0,(C468-F468)*Dashboard!$F$6)),E468*Dashboard!$F$6))</x:f>
        <x:v>0</x:v>
      </x:c>
      <x:c r="H468" s="32" t="n">
        <x:f>IF(B468="Holiday",IF(Dashboard!$B$14="Interest Only",G468,F468),IF(B468="Closed",0,MIN(Dashboard!$F$10,E468+G468)))</x:f>
        <x:v>0</x:v>
      </x:c>
      <x:c r="I468" s="32" t="n">
        <x:f>IF(B468="Holiday",F468,IF(B468="Closed",0,MAX(0,H468-G468)))</x:f>
        <x:v>0</x:v>
      </x:c>
      <x:c r="J468" s="32" t="n">
        <x:f>IF(B468="Holiday",MAX(0,C468-F468),IF(B468="Closed",0,MAX(0,E468-I468)))</x:f>
        <x:v>0</x:v>
      </x:c>
      <x:c r="K468" s="32" t="n">
        <x:f>IF(B468="Holiday",IF(Dashboard!$B$14="Interest Only",D468,D468+G468),0)</x:f>
        <x:v>0</x:v>
      </x:c>
      <x:c r="L468" s="32" t="n">
        <x:f>J468+K468</x:f>
        <x:v>0</x:v>
      </x:c>
      <x:c r="M468" s="32" t="n">
        <x:f>IF(A468=1,H468,M467+H468)</x:f>
        <x:v>0</x:v>
      </x:c>
      <x:c r="N468" s="32" t="n">
        <x:f>IF(A468=1,I468,N467+I468)</x:f>
        <x:v>0</x:v>
      </x:c>
      <x:c r="O468" s="32" t="n">
        <x:f>IF(A468=1,G468,O467+G468)</x:f>
        <x:v>3671325</x:v>
      </x:c>
      <x:c r="P468" s="37" t="n">
        <x:f>EDATE(Dashboard!$B$10,A468)</x:f>
        <x:v>59231</x:v>
      </x:c>
    </x:row>
    <x:row r="469">
      <x:c r="A469" s="33" t="n">
        <x:v>468</x:v>
      </x:c>
      <x:c r="B469" s="33" t="str">
        <x:f>IF(A469&lt;=Dashboard!$F$8,"Holiday",IF(A469&lt;=Dashboard!$F$8+Dashboard!$F$7,"Repayment","Closed"))</x:f>
        <x:v>Closed</x:v>
      </x:c>
      <x:c r="C469" s="32">
        <x:f>IF(A469=1,Dashboard!$B$6,IF(B469="Holiday",J468,L468))</x:f>
      </x:c>
      <x:c r="D469" s="32">
        <x:f>IF(A469=1,0,IF(B469="Holiday",K468,0))</x:f>
      </x:c>
      <x:c r="E469" s="32">
        <x:f>C469+D469</x:f>
      </x:c>
      <x:c r="F469" s="32">
        <x:f>IF(B469="Holiday",IF(Dashboard!$B$14="Principal Only",MIN(Dashboard!$B$15,C469),0),0)</x:f>
      </x:c>
      <x:c r="G469" s="32" t="n">
        <x:f>IF(B469="Closed",0,IF(B469="Holiday",IF(Dashboard!$B$14="Interest Only",C469*Dashboard!$F$6,MAX(0,(C469-F469)*Dashboard!$F$6)),E469*Dashboard!$F$6))</x:f>
        <x:v>0</x:v>
      </x:c>
      <x:c r="H469" s="32" t="n">
        <x:f>IF(B469="Holiday",IF(Dashboard!$B$14="Interest Only",G469,F469),IF(B469="Closed",0,MIN(Dashboard!$F$10,E469+G469)))</x:f>
        <x:v>0</x:v>
      </x:c>
      <x:c r="I469" s="32" t="n">
        <x:f>IF(B469="Holiday",F469,IF(B469="Closed",0,MAX(0,H469-G469)))</x:f>
        <x:v>0</x:v>
      </x:c>
      <x:c r="J469" s="32" t="n">
        <x:f>IF(B469="Holiday",MAX(0,C469-F469),IF(B469="Closed",0,MAX(0,E469-I469)))</x:f>
        <x:v>0</x:v>
      </x:c>
      <x:c r="K469" s="32" t="n">
        <x:f>IF(B469="Holiday",IF(Dashboard!$B$14="Interest Only",D469,D469+G469),0)</x:f>
        <x:v>0</x:v>
      </x:c>
      <x:c r="L469" s="32" t="n">
        <x:f>J469+K469</x:f>
        <x:v>0</x:v>
      </x:c>
      <x:c r="M469" s="32" t="n">
        <x:f>IF(A469=1,H469,M468+H469)</x:f>
        <x:v>0</x:v>
      </x:c>
      <x:c r="N469" s="32" t="n">
        <x:f>IF(A469=1,I469,N468+I469)</x:f>
        <x:v>0</x:v>
      </x:c>
      <x:c r="O469" s="32" t="n">
        <x:f>IF(A469=1,G469,O468+G469)</x:f>
        <x:v>3671325</x:v>
      </x:c>
      <x:c r="P469" s="37" t="n">
        <x:f>EDATE(Dashboard!$B$10,A469)</x:f>
        <x:v>59262</x:v>
      </x:c>
    </x:row>
    <x:row r="470">
      <x:c r="A470" s="33" t="n">
        <x:v>469</x:v>
      </x:c>
      <x:c r="B470" s="33" t="str">
        <x:f>IF(A470&lt;=Dashboard!$F$8,"Holiday",IF(A470&lt;=Dashboard!$F$8+Dashboard!$F$7,"Repayment","Closed"))</x:f>
        <x:v>Closed</x:v>
      </x:c>
      <x:c r="C470" s="32">
        <x:f>IF(A470=1,Dashboard!$B$6,IF(B470="Holiday",J469,L469))</x:f>
      </x:c>
      <x:c r="D470" s="32">
        <x:f>IF(A470=1,0,IF(B470="Holiday",K469,0))</x:f>
      </x:c>
      <x:c r="E470" s="32">
        <x:f>C470+D470</x:f>
      </x:c>
      <x:c r="F470" s="32">
        <x:f>IF(B470="Holiday",IF(Dashboard!$B$14="Principal Only",MIN(Dashboard!$B$15,C470),0),0)</x:f>
      </x:c>
      <x:c r="G470" s="32" t="n">
        <x:f>IF(B470="Closed",0,IF(B470="Holiday",IF(Dashboard!$B$14="Interest Only",C470*Dashboard!$F$6,MAX(0,(C470-F470)*Dashboard!$F$6)),E470*Dashboard!$F$6))</x:f>
        <x:v>0</x:v>
      </x:c>
      <x:c r="H470" s="32" t="n">
        <x:f>IF(B470="Holiday",IF(Dashboard!$B$14="Interest Only",G470,F470),IF(B470="Closed",0,MIN(Dashboard!$F$10,E470+G470)))</x:f>
        <x:v>0</x:v>
      </x:c>
      <x:c r="I470" s="32" t="n">
        <x:f>IF(B470="Holiday",F470,IF(B470="Closed",0,MAX(0,H470-G470)))</x:f>
        <x:v>0</x:v>
      </x:c>
      <x:c r="J470" s="32" t="n">
        <x:f>IF(B470="Holiday",MAX(0,C470-F470),IF(B470="Closed",0,MAX(0,E470-I470)))</x:f>
        <x:v>0</x:v>
      </x:c>
      <x:c r="K470" s="32" t="n">
        <x:f>IF(B470="Holiday",IF(Dashboard!$B$14="Interest Only",D470,D470+G470),0)</x:f>
        <x:v>0</x:v>
      </x:c>
      <x:c r="L470" s="32" t="n">
        <x:f>J470+K470</x:f>
        <x:v>0</x:v>
      </x:c>
      <x:c r="M470" s="32" t="n">
        <x:f>IF(A470=1,H470,M469+H470)</x:f>
        <x:v>0</x:v>
      </x:c>
      <x:c r="N470" s="32" t="n">
        <x:f>IF(A470=1,I470,N469+I470)</x:f>
        <x:v>0</x:v>
      </x:c>
      <x:c r="O470" s="32" t="n">
        <x:f>IF(A470=1,G470,O469+G470)</x:f>
        <x:v>3671325</x:v>
      </x:c>
      <x:c r="P470" s="37" t="n">
        <x:f>EDATE(Dashboard!$B$10,A470)</x:f>
        <x:v>59292</x:v>
      </x:c>
    </x:row>
    <x:row r="471">
      <x:c r="A471" s="33" t="n">
        <x:v>470</x:v>
      </x:c>
      <x:c r="B471" s="33" t="str">
        <x:f>IF(A471&lt;=Dashboard!$F$8,"Holiday",IF(A471&lt;=Dashboard!$F$8+Dashboard!$F$7,"Repayment","Closed"))</x:f>
        <x:v>Closed</x:v>
      </x:c>
      <x:c r="C471" s="32">
        <x:f>IF(A471=1,Dashboard!$B$6,IF(B471="Holiday",J470,L470))</x:f>
      </x:c>
      <x:c r="D471" s="32">
        <x:f>IF(A471=1,0,IF(B471="Holiday",K470,0))</x:f>
      </x:c>
      <x:c r="E471" s="32">
        <x:f>C471+D471</x:f>
      </x:c>
      <x:c r="F471" s="32">
        <x:f>IF(B471="Holiday",IF(Dashboard!$B$14="Principal Only",MIN(Dashboard!$B$15,C471),0),0)</x:f>
      </x:c>
      <x:c r="G471" s="32" t="n">
        <x:f>IF(B471="Closed",0,IF(B471="Holiday",IF(Dashboard!$B$14="Interest Only",C471*Dashboard!$F$6,MAX(0,(C471-F471)*Dashboard!$F$6)),E471*Dashboard!$F$6))</x:f>
        <x:v>0</x:v>
      </x:c>
      <x:c r="H471" s="32" t="n">
        <x:f>IF(B471="Holiday",IF(Dashboard!$B$14="Interest Only",G471,F471),IF(B471="Closed",0,MIN(Dashboard!$F$10,E471+G471)))</x:f>
        <x:v>0</x:v>
      </x:c>
      <x:c r="I471" s="32" t="n">
        <x:f>IF(B471="Holiday",F471,IF(B471="Closed",0,MAX(0,H471-G471)))</x:f>
        <x:v>0</x:v>
      </x:c>
      <x:c r="J471" s="32" t="n">
        <x:f>IF(B471="Holiday",MAX(0,C471-F471),IF(B471="Closed",0,MAX(0,E471-I471)))</x:f>
        <x:v>0</x:v>
      </x:c>
      <x:c r="K471" s="32" t="n">
        <x:f>IF(B471="Holiday",IF(Dashboard!$B$14="Interest Only",D471,D471+G471),0)</x:f>
        <x:v>0</x:v>
      </x:c>
      <x:c r="L471" s="32" t="n">
        <x:f>J471+K471</x:f>
        <x:v>0</x:v>
      </x:c>
      <x:c r="M471" s="32" t="n">
        <x:f>IF(A471=1,H471,M470+H471)</x:f>
        <x:v>0</x:v>
      </x:c>
      <x:c r="N471" s="32" t="n">
        <x:f>IF(A471=1,I471,N470+I471)</x:f>
        <x:v>0</x:v>
      </x:c>
      <x:c r="O471" s="32" t="n">
        <x:f>IF(A471=1,G471,O470+G471)</x:f>
        <x:v>3671325</x:v>
      </x:c>
      <x:c r="P471" s="37" t="n">
        <x:f>EDATE(Dashboard!$B$10,A471)</x:f>
        <x:v>59323</x:v>
      </x:c>
    </x:row>
    <x:row r="472">
      <x:c r="A472" s="33" t="n">
        <x:v>471</x:v>
      </x:c>
      <x:c r="B472" s="33" t="str">
        <x:f>IF(A472&lt;=Dashboard!$F$8,"Holiday",IF(A472&lt;=Dashboard!$F$8+Dashboard!$F$7,"Repayment","Closed"))</x:f>
        <x:v>Closed</x:v>
      </x:c>
      <x:c r="C472" s="32">
        <x:f>IF(A472=1,Dashboard!$B$6,IF(B472="Holiday",J471,L471))</x:f>
      </x:c>
      <x:c r="D472" s="32">
        <x:f>IF(A472=1,0,IF(B472="Holiday",K471,0))</x:f>
      </x:c>
      <x:c r="E472" s="32">
        <x:f>C472+D472</x:f>
      </x:c>
      <x:c r="F472" s="32">
        <x:f>IF(B472="Holiday",IF(Dashboard!$B$14="Principal Only",MIN(Dashboard!$B$15,C472),0),0)</x:f>
      </x:c>
      <x:c r="G472" s="32" t="n">
        <x:f>IF(B472="Closed",0,IF(B472="Holiday",IF(Dashboard!$B$14="Interest Only",C472*Dashboard!$F$6,MAX(0,(C472-F472)*Dashboard!$F$6)),E472*Dashboard!$F$6))</x:f>
        <x:v>0</x:v>
      </x:c>
      <x:c r="H472" s="32" t="n">
        <x:f>IF(B472="Holiday",IF(Dashboard!$B$14="Interest Only",G472,F472),IF(B472="Closed",0,MIN(Dashboard!$F$10,E472+G472)))</x:f>
        <x:v>0</x:v>
      </x:c>
      <x:c r="I472" s="32" t="n">
        <x:f>IF(B472="Holiday",F472,IF(B472="Closed",0,MAX(0,H472-G472)))</x:f>
        <x:v>0</x:v>
      </x:c>
      <x:c r="J472" s="32" t="n">
        <x:f>IF(B472="Holiday",MAX(0,C472-F472),IF(B472="Closed",0,MAX(0,E472-I472)))</x:f>
        <x:v>0</x:v>
      </x:c>
      <x:c r="K472" s="32" t="n">
        <x:f>IF(B472="Holiday",IF(Dashboard!$B$14="Interest Only",D472,D472+G472),0)</x:f>
        <x:v>0</x:v>
      </x:c>
      <x:c r="L472" s="32" t="n">
        <x:f>J472+K472</x:f>
        <x:v>0</x:v>
      </x:c>
      <x:c r="M472" s="32" t="n">
        <x:f>IF(A472=1,H472,M471+H472)</x:f>
        <x:v>0</x:v>
      </x:c>
      <x:c r="N472" s="32" t="n">
        <x:f>IF(A472=1,I472,N471+I472)</x:f>
        <x:v>0</x:v>
      </x:c>
      <x:c r="O472" s="32" t="n">
        <x:f>IF(A472=1,G472,O471+G472)</x:f>
        <x:v>3671325</x:v>
      </x:c>
      <x:c r="P472" s="37" t="n">
        <x:f>EDATE(Dashboard!$B$10,A472)</x:f>
        <x:v>59353</x:v>
      </x:c>
    </x:row>
    <x:row r="473">
      <x:c r="A473" s="33" t="n">
        <x:v>472</x:v>
      </x:c>
      <x:c r="B473" s="33" t="str">
        <x:f>IF(A473&lt;=Dashboard!$F$8,"Holiday",IF(A473&lt;=Dashboard!$F$8+Dashboard!$F$7,"Repayment","Closed"))</x:f>
        <x:v>Closed</x:v>
      </x:c>
      <x:c r="C473" s="32">
        <x:f>IF(A473=1,Dashboard!$B$6,IF(B473="Holiday",J472,L472))</x:f>
      </x:c>
      <x:c r="D473" s="32">
        <x:f>IF(A473=1,0,IF(B473="Holiday",K472,0))</x:f>
      </x:c>
      <x:c r="E473" s="32">
        <x:f>C473+D473</x:f>
      </x:c>
      <x:c r="F473" s="32">
        <x:f>IF(B473="Holiday",IF(Dashboard!$B$14="Principal Only",MIN(Dashboard!$B$15,C473),0),0)</x:f>
      </x:c>
      <x:c r="G473" s="32" t="n">
        <x:f>IF(B473="Closed",0,IF(B473="Holiday",IF(Dashboard!$B$14="Interest Only",C473*Dashboard!$F$6,MAX(0,(C473-F473)*Dashboard!$F$6)),E473*Dashboard!$F$6))</x:f>
        <x:v>0</x:v>
      </x:c>
      <x:c r="H473" s="32" t="n">
        <x:f>IF(B473="Holiday",IF(Dashboard!$B$14="Interest Only",G473,F473),IF(B473="Closed",0,MIN(Dashboard!$F$10,E473+G473)))</x:f>
        <x:v>0</x:v>
      </x:c>
      <x:c r="I473" s="32" t="n">
        <x:f>IF(B473="Holiday",F473,IF(B473="Closed",0,MAX(0,H473-G473)))</x:f>
        <x:v>0</x:v>
      </x:c>
      <x:c r="J473" s="32" t="n">
        <x:f>IF(B473="Holiday",MAX(0,C473-F473),IF(B473="Closed",0,MAX(0,E473-I473)))</x:f>
        <x:v>0</x:v>
      </x:c>
      <x:c r="K473" s="32" t="n">
        <x:f>IF(B473="Holiday",IF(Dashboard!$B$14="Interest Only",D473,D473+G473),0)</x:f>
        <x:v>0</x:v>
      </x:c>
      <x:c r="L473" s="32" t="n">
        <x:f>J473+K473</x:f>
        <x:v>0</x:v>
      </x:c>
      <x:c r="M473" s="32" t="n">
        <x:f>IF(A473=1,H473,M472+H473)</x:f>
        <x:v>0</x:v>
      </x:c>
      <x:c r="N473" s="32" t="n">
        <x:f>IF(A473=1,I473,N472+I473)</x:f>
        <x:v>0</x:v>
      </x:c>
      <x:c r="O473" s="32" t="n">
        <x:f>IF(A473=1,G473,O472+G473)</x:f>
        <x:v>3671325</x:v>
      </x:c>
      <x:c r="P473" s="37" t="n">
        <x:f>EDATE(Dashboard!$B$10,A473)</x:f>
        <x:v>59384</x:v>
      </x:c>
    </x:row>
    <x:row r="474">
      <x:c r="A474" s="33" t="n">
        <x:v>473</x:v>
      </x:c>
      <x:c r="B474" s="33" t="str">
        <x:f>IF(A474&lt;=Dashboard!$F$8,"Holiday",IF(A474&lt;=Dashboard!$F$8+Dashboard!$F$7,"Repayment","Closed"))</x:f>
        <x:v>Closed</x:v>
      </x:c>
      <x:c r="C474" s="32">
        <x:f>IF(A474=1,Dashboard!$B$6,IF(B474="Holiday",J473,L473))</x:f>
      </x:c>
      <x:c r="D474" s="32">
        <x:f>IF(A474=1,0,IF(B474="Holiday",K473,0))</x:f>
      </x:c>
      <x:c r="E474" s="32">
        <x:f>C474+D474</x:f>
      </x:c>
      <x:c r="F474" s="32">
        <x:f>IF(B474="Holiday",IF(Dashboard!$B$14="Principal Only",MIN(Dashboard!$B$15,C474),0),0)</x:f>
      </x:c>
      <x:c r="G474" s="32" t="n">
        <x:f>IF(B474="Closed",0,IF(B474="Holiday",IF(Dashboard!$B$14="Interest Only",C474*Dashboard!$F$6,MAX(0,(C474-F474)*Dashboard!$F$6)),E474*Dashboard!$F$6))</x:f>
        <x:v>0</x:v>
      </x:c>
      <x:c r="H474" s="32" t="n">
        <x:f>IF(B474="Holiday",IF(Dashboard!$B$14="Interest Only",G474,F474),IF(B474="Closed",0,MIN(Dashboard!$F$10,E474+G474)))</x:f>
        <x:v>0</x:v>
      </x:c>
      <x:c r="I474" s="32" t="n">
        <x:f>IF(B474="Holiday",F474,IF(B474="Closed",0,MAX(0,H474-G474)))</x:f>
        <x:v>0</x:v>
      </x:c>
      <x:c r="J474" s="32" t="n">
        <x:f>IF(B474="Holiday",MAX(0,C474-F474),IF(B474="Closed",0,MAX(0,E474-I474)))</x:f>
        <x:v>0</x:v>
      </x:c>
      <x:c r="K474" s="32" t="n">
        <x:f>IF(B474="Holiday",IF(Dashboard!$B$14="Interest Only",D474,D474+G474),0)</x:f>
        <x:v>0</x:v>
      </x:c>
      <x:c r="L474" s="32" t="n">
        <x:f>J474+K474</x:f>
        <x:v>0</x:v>
      </x:c>
      <x:c r="M474" s="32" t="n">
        <x:f>IF(A474=1,H474,M473+H474)</x:f>
        <x:v>0</x:v>
      </x:c>
      <x:c r="N474" s="32" t="n">
        <x:f>IF(A474=1,I474,N473+I474)</x:f>
        <x:v>0</x:v>
      </x:c>
      <x:c r="O474" s="32" t="n">
        <x:f>IF(A474=1,G474,O473+G474)</x:f>
        <x:v>3671325</x:v>
      </x:c>
      <x:c r="P474" s="37" t="n">
        <x:f>EDATE(Dashboard!$B$10,A474)</x:f>
        <x:v>59415</x:v>
      </x:c>
    </x:row>
    <x:row r="475">
      <x:c r="A475" s="33" t="n">
        <x:v>474</x:v>
      </x:c>
      <x:c r="B475" s="33" t="str">
        <x:f>IF(A475&lt;=Dashboard!$F$8,"Holiday",IF(A475&lt;=Dashboard!$F$8+Dashboard!$F$7,"Repayment","Closed"))</x:f>
        <x:v>Closed</x:v>
      </x:c>
      <x:c r="C475" s="32">
        <x:f>IF(A475=1,Dashboard!$B$6,IF(B475="Holiday",J474,L474))</x:f>
      </x:c>
      <x:c r="D475" s="32">
        <x:f>IF(A475=1,0,IF(B475="Holiday",K474,0))</x:f>
      </x:c>
      <x:c r="E475" s="32">
        <x:f>C475+D475</x:f>
      </x:c>
      <x:c r="F475" s="32">
        <x:f>IF(B475="Holiday",IF(Dashboard!$B$14="Principal Only",MIN(Dashboard!$B$15,C475),0),0)</x:f>
      </x:c>
      <x:c r="G475" s="32" t="n">
        <x:f>IF(B475="Closed",0,IF(B475="Holiday",IF(Dashboard!$B$14="Interest Only",C475*Dashboard!$F$6,MAX(0,(C475-F475)*Dashboard!$F$6)),E475*Dashboard!$F$6))</x:f>
        <x:v>0</x:v>
      </x:c>
      <x:c r="H475" s="32" t="n">
        <x:f>IF(B475="Holiday",IF(Dashboard!$B$14="Interest Only",G475,F475),IF(B475="Closed",0,MIN(Dashboard!$F$10,E475+G475)))</x:f>
        <x:v>0</x:v>
      </x:c>
      <x:c r="I475" s="32" t="n">
        <x:f>IF(B475="Holiday",F475,IF(B475="Closed",0,MAX(0,H475-G475)))</x:f>
        <x:v>0</x:v>
      </x:c>
      <x:c r="J475" s="32" t="n">
        <x:f>IF(B475="Holiday",MAX(0,C475-F475),IF(B475="Closed",0,MAX(0,E475-I475)))</x:f>
        <x:v>0</x:v>
      </x:c>
      <x:c r="K475" s="32" t="n">
        <x:f>IF(B475="Holiday",IF(Dashboard!$B$14="Interest Only",D475,D475+G475),0)</x:f>
        <x:v>0</x:v>
      </x:c>
      <x:c r="L475" s="32" t="n">
        <x:f>J475+K475</x:f>
        <x:v>0</x:v>
      </x:c>
      <x:c r="M475" s="32" t="n">
        <x:f>IF(A475=1,H475,M474+H475)</x:f>
        <x:v>0</x:v>
      </x:c>
      <x:c r="N475" s="32" t="n">
        <x:f>IF(A475=1,I475,N474+I475)</x:f>
        <x:v>0</x:v>
      </x:c>
      <x:c r="O475" s="32" t="n">
        <x:f>IF(A475=1,G475,O474+G475)</x:f>
        <x:v>3671325</x:v>
      </x:c>
      <x:c r="P475" s="37" t="n">
        <x:f>EDATE(Dashboard!$B$10,A475)</x:f>
        <x:v>59445</x:v>
      </x:c>
    </x:row>
    <x:row r="476">
      <x:c r="A476" s="33" t="n">
        <x:v>475</x:v>
      </x:c>
      <x:c r="B476" s="33" t="str">
        <x:f>IF(A476&lt;=Dashboard!$F$8,"Holiday",IF(A476&lt;=Dashboard!$F$8+Dashboard!$F$7,"Repayment","Closed"))</x:f>
        <x:v>Closed</x:v>
      </x:c>
      <x:c r="C476" s="32">
        <x:f>IF(A476=1,Dashboard!$B$6,IF(B476="Holiday",J475,L475))</x:f>
      </x:c>
      <x:c r="D476" s="32">
        <x:f>IF(A476=1,0,IF(B476="Holiday",K475,0))</x:f>
      </x:c>
      <x:c r="E476" s="32">
        <x:f>C476+D476</x:f>
      </x:c>
      <x:c r="F476" s="32">
        <x:f>IF(B476="Holiday",IF(Dashboard!$B$14="Principal Only",MIN(Dashboard!$B$15,C476),0),0)</x:f>
      </x:c>
      <x:c r="G476" s="32" t="n">
        <x:f>IF(B476="Closed",0,IF(B476="Holiday",IF(Dashboard!$B$14="Interest Only",C476*Dashboard!$F$6,MAX(0,(C476-F476)*Dashboard!$F$6)),E476*Dashboard!$F$6))</x:f>
        <x:v>0</x:v>
      </x:c>
      <x:c r="H476" s="32" t="n">
        <x:f>IF(B476="Holiday",IF(Dashboard!$B$14="Interest Only",G476,F476),IF(B476="Closed",0,MIN(Dashboard!$F$10,E476+G476)))</x:f>
        <x:v>0</x:v>
      </x:c>
      <x:c r="I476" s="32" t="n">
        <x:f>IF(B476="Holiday",F476,IF(B476="Closed",0,MAX(0,H476-G476)))</x:f>
        <x:v>0</x:v>
      </x:c>
      <x:c r="J476" s="32" t="n">
        <x:f>IF(B476="Holiday",MAX(0,C476-F476),IF(B476="Closed",0,MAX(0,E476-I476)))</x:f>
        <x:v>0</x:v>
      </x:c>
      <x:c r="K476" s="32" t="n">
        <x:f>IF(B476="Holiday",IF(Dashboard!$B$14="Interest Only",D476,D476+G476),0)</x:f>
        <x:v>0</x:v>
      </x:c>
      <x:c r="L476" s="32" t="n">
        <x:f>J476+K476</x:f>
        <x:v>0</x:v>
      </x:c>
      <x:c r="M476" s="32" t="n">
        <x:f>IF(A476=1,H476,M475+H476)</x:f>
        <x:v>0</x:v>
      </x:c>
      <x:c r="N476" s="32" t="n">
        <x:f>IF(A476=1,I476,N475+I476)</x:f>
        <x:v>0</x:v>
      </x:c>
      <x:c r="O476" s="32" t="n">
        <x:f>IF(A476=1,G476,O475+G476)</x:f>
        <x:v>3671325</x:v>
      </x:c>
      <x:c r="P476" s="37" t="n">
        <x:f>EDATE(Dashboard!$B$10,A476)</x:f>
        <x:v>59476</x:v>
      </x:c>
    </x:row>
    <x:row r="477">
      <x:c r="A477" s="33" t="n">
        <x:v>476</x:v>
      </x:c>
      <x:c r="B477" s="33" t="str">
        <x:f>IF(A477&lt;=Dashboard!$F$8,"Holiday",IF(A477&lt;=Dashboard!$F$8+Dashboard!$F$7,"Repayment","Closed"))</x:f>
        <x:v>Closed</x:v>
      </x:c>
      <x:c r="C477" s="32">
        <x:f>IF(A477=1,Dashboard!$B$6,IF(B477="Holiday",J476,L476))</x:f>
      </x:c>
      <x:c r="D477" s="32">
        <x:f>IF(A477=1,0,IF(B477="Holiday",K476,0))</x:f>
      </x:c>
      <x:c r="E477" s="32">
        <x:f>C477+D477</x:f>
      </x:c>
      <x:c r="F477" s="32">
        <x:f>IF(B477="Holiday",IF(Dashboard!$B$14="Principal Only",MIN(Dashboard!$B$15,C477),0),0)</x:f>
      </x:c>
      <x:c r="G477" s="32" t="n">
        <x:f>IF(B477="Closed",0,IF(B477="Holiday",IF(Dashboard!$B$14="Interest Only",C477*Dashboard!$F$6,MAX(0,(C477-F477)*Dashboard!$F$6)),E477*Dashboard!$F$6))</x:f>
        <x:v>0</x:v>
      </x:c>
      <x:c r="H477" s="32" t="n">
        <x:f>IF(B477="Holiday",IF(Dashboard!$B$14="Interest Only",G477,F477),IF(B477="Closed",0,MIN(Dashboard!$F$10,E477+G477)))</x:f>
        <x:v>0</x:v>
      </x:c>
      <x:c r="I477" s="32" t="n">
        <x:f>IF(B477="Holiday",F477,IF(B477="Closed",0,MAX(0,H477-G477)))</x:f>
        <x:v>0</x:v>
      </x:c>
      <x:c r="J477" s="32" t="n">
        <x:f>IF(B477="Holiday",MAX(0,C477-F477),IF(B477="Closed",0,MAX(0,E477-I477)))</x:f>
        <x:v>0</x:v>
      </x:c>
      <x:c r="K477" s="32" t="n">
        <x:f>IF(B477="Holiday",IF(Dashboard!$B$14="Interest Only",D477,D477+G477),0)</x:f>
        <x:v>0</x:v>
      </x:c>
      <x:c r="L477" s="32" t="n">
        <x:f>J477+K477</x:f>
        <x:v>0</x:v>
      </x:c>
      <x:c r="M477" s="32" t="n">
        <x:f>IF(A477=1,H477,M476+H477)</x:f>
        <x:v>0</x:v>
      </x:c>
      <x:c r="N477" s="32" t="n">
        <x:f>IF(A477=1,I477,N476+I477)</x:f>
        <x:v>0</x:v>
      </x:c>
      <x:c r="O477" s="32" t="n">
        <x:f>IF(A477=1,G477,O476+G477)</x:f>
        <x:v>3671325</x:v>
      </x:c>
      <x:c r="P477" s="37" t="n">
        <x:f>EDATE(Dashboard!$B$10,A477)</x:f>
        <x:v>59506</x:v>
      </x:c>
    </x:row>
    <x:row r="478">
      <x:c r="A478" s="33" t="n">
        <x:v>477</x:v>
      </x:c>
      <x:c r="B478" s="33" t="str">
        <x:f>IF(A478&lt;=Dashboard!$F$8,"Holiday",IF(A478&lt;=Dashboard!$F$8+Dashboard!$F$7,"Repayment","Closed"))</x:f>
        <x:v>Closed</x:v>
      </x:c>
      <x:c r="C478" s="32">
        <x:f>IF(A478=1,Dashboard!$B$6,IF(B478="Holiday",J477,L477))</x:f>
      </x:c>
      <x:c r="D478" s="32">
        <x:f>IF(A478=1,0,IF(B478="Holiday",K477,0))</x:f>
      </x:c>
      <x:c r="E478" s="32">
        <x:f>C478+D478</x:f>
      </x:c>
      <x:c r="F478" s="32">
        <x:f>IF(B478="Holiday",IF(Dashboard!$B$14="Principal Only",MIN(Dashboard!$B$15,C478),0),0)</x:f>
      </x:c>
      <x:c r="G478" s="32" t="n">
        <x:f>IF(B478="Closed",0,IF(B478="Holiday",IF(Dashboard!$B$14="Interest Only",C478*Dashboard!$F$6,MAX(0,(C478-F478)*Dashboard!$F$6)),E478*Dashboard!$F$6))</x:f>
        <x:v>0</x:v>
      </x:c>
      <x:c r="H478" s="32" t="n">
        <x:f>IF(B478="Holiday",IF(Dashboard!$B$14="Interest Only",G478,F478),IF(B478="Closed",0,MIN(Dashboard!$F$10,E478+G478)))</x:f>
        <x:v>0</x:v>
      </x:c>
      <x:c r="I478" s="32" t="n">
        <x:f>IF(B478="Holiday",F478,IF(B478="Closed",0,MAX(0,H478-G478)))</x:f>
        <x:v>0</x:v>
      </x:c>
      <x:c r="J478" s="32" t="n">
        <x:f>IF(B478="Holiday",MAX(0,C478-F478),IF(B478="Closed",0,MAX(0,E478-I478)))</x:f>
        <x:v>0</x:v>
      </x:c>
      <x:c r="K478" s="32" t="n">
        <x:f>IF(B478="Holiday",IF(Dashboard!$B$14="Interest Only",D478,D478+G478),0)</x:f>
        <x:v>0</x:v>
      </x:c>
      <x:c r="L478" s="32" t="n">
        <x:f>J478+K478</x:f>
        <x:v>0</x:v>
      </x:c>
      <x:c r="M478" s="32" t="n">
        <x:f>IF(A478=1,H478,M477+H478)</x:f>
        <x:v>0</x:v>
      </x:c>
      <x:c r="N478" s="32" t="n">
        <x:f>IF(A478=1,I478,N477+I478)</x:f>
        <x:v>0</x:v>
      </x:c>
      <x:c r="O478" s="32" t="n">
        <x:f>IF(A478=1,G478,O477+G478)</x:f>
        <x:v>3671325</x:v>
      </x:c>
      <x:c r="P478" s="37" t="n">
        <x:f>EDATE(Dashboard!$B$10,A478)</x:f>
        <x:v>59537</x:v>
      </x:c>
    </x:row>
    <x:row r="479">
      <x:c r="A479" s="33" t="n">
        <x:v>478</x:v>
      </x:c>
      <x:c r="B479" s="33" t="str">
        <x:f>IF(A479&lt;=Dashboard!$F$8,"Holiday",IF(A479&lt;=Dashboard!$F$8+Dashboard!$F$7,"Repayment","Closed"))</x:f>
        <x:v>Closed</x:v>
      </x:c>
      <x:c r="C479" s="32">
        <x:f>IF(A479=1,Dashboard!$B$6,IF(B479="Holiday",J478,L478))</x:f>
      </x:c>
      <x:c r="D479" s="32">
        <x:f>IF(A479=1,0,IF(B479="Holiday",K478,0))</x:f>
      </x:c>
      <x:c r="E479" s="32">
        <x:f>C479+D479</x:f>
      </x:c>
      <x:c r="F479" s="32">
        <x:f>IF(B479="Holiday",IF(Dashboard!$B$14="Principal Only",MIN(Dashboard!$B$15,C479),0),0)</x:f>
      </x:c>
      <x:c r="G479" s="32" t="n">
        <x:f>IF(B479="Closed",0,IF(B479="Holiday",IF(Dashboard!$B$14="Interest Only",C479*Dashboard!$F$6,MAX(0,(C479-F479)*Dashboard!$F$6)),E479*Dashboard!$F$6))</x:f>
        <x:v>0</x:v>
      </x:c>
      <x:c r="H479" s="32" t="n">
        <x:f>IF(B479="Holiday",IF(Dashboard!$B$14="Interest Only",G479,F479),IF(B479="Closed",0,MIN(Dashboard!$F$10,E479+G479)))</x:f>
        <x:v>0</x:v>
      </x:c>
      <x:c r="I479" s="32" t="n">
        <x:f>IF(B479="Holiday",F479,IF(B479="Closed",0,MAX(0,H479-G479)))</x:f>
        <x:v>0</x:v>
      </x:c>
      <x:c r="J479" s="32" t="n">
        <x:f>IF(B479="Holiday",MAX(0,C479-F479),IF(B479="Closed",0,MAX(0,E479-I479)))</x:f>
        <x:v>0</x:v>
      </x:c>
      <x:c r="K479" s="32" t="n">
        <x:f>IF(B479="Holiday",IF(Dashboard!$B$14="Interest Only",D479,D479+G479),0)</x:f>
        <x:v>0</x:v>
      </x:c>
      <x:c r="L479" s="32" t="n">
        <x:f>J479+K479</x:f>
        <x:v>0</x:v>
      </x:c>
      <x:c r="M479" s="32" t="n">
        <x:f>IF(A479=1,H479,M478+H479)</x:f>
        <x:v>0</x:v>
      </x:c>
      <x:c r="N479" s="32" t="n">
        <x:f>IF(A479=1,I479,N478+I479)</x:f>
        <x:v>0</x:v>
      </x:c>
      <x:c r="O479" s="32" t="n">
        <x:f>IF(A479=1,G479,O478+G479)</x:f>
        <x:v>3671325</x:v>
      </x:c>
      <x:c r="P479" s="37" t="n">
        <x:f>EDATE(Dashboard!$B$10,A479)</x:f>
        <x:v>59568</x:v>
      </x:c>
    </x:row>
    <x:row r="480">
      <x:c r="A480" s="33" t="n">
        <x:v>479</x:v>
      </x:c>
      <x:c r="B480" s="33" t="str">
        <x:f>IF(A480&lt;=Dashboard!$F$8,"Holiday",IF(A480&lt;=Dashboard!$F$8+Dashboard!$F$7,"Repayment","Closed"))</x:f>
        <x:v>Closed</x:v>
      </x:c>
      <x:c r="C480" s="32">
        <x:f>IF(A480=1,Dashboard!$B$6,IF(B480="Holiday",J479,L479))</x:f>
      </x:c>
      <x:c r="D480" s="32">
        <x:f>IF(A480=1,0,IF(B480="Holiday",K479,0))</x:f>
      </x:c>
      <x:c r="E480" s="32">
        <x:f>C480+D480</x:f>
      </x:c>
      <x:c r="F480" s="32">
        <x:f>IF(B480="Holiday",IF(Dashboard!$B$14="Principal Only",MIN(Dashboard!$B$15,C480),0),0)</x:f>
      </x:c>
      <x:c r="G480" s="32" t="n">
        <x:f>IF(B480="Closed",0,IF(B480="Holiday",IF(Dashboard!$B$14="Interest Only",C480*Dashboard!$F$6,MAX(0,(C480-F480)*Dashboard!$F$6)),E480*Dashboard!$F$6))</x:f>
        <x:v>0</x:v>
      </x:c>
      <x:c r="H480" s="32" t="n">
        <x:f>IF(B480="Holiday",IF(Dashboard!$B$14="Interest Only",G480,F480),IF(B480="Closed",0,MIN(Dashboard!$F$10,E480+G480)))</x:f>
        <x:v>0</x:v>
      </x:c>
      <x:c r="I480" s="32" t="n">
        <x:f>IF(B480="Holiday",F480,IF(B480="Closed",0,MAX(0,H480-G480)))</x:f>
        <x:v>0</x:v>
      </x:c>
      <x:c r="J480" s="32" t="n">
        <x:f>IF(B480="Holiday",MAX(0,C480-F480),IF(B480="Closed",0,MAX(0,E480-I480)))</x:f>
        <x:v>0</x:v>
      </x:c>
      <x:c r="K480" s="32" t="n">
        <x:f>IF(B480="Holiday",IF(Dashboard!$B$14="Interest Only",D480,D480+G480),0)</x:f>
        <x:v>0</x:v>
      </x:c>
      <x:c r="L480" s="32" t="n">
        <x:f>J480+K480</x:f>
        <x:v>0</x:v>
      </x:c>
      <x:c r="M480" s="32" t="n">
        <x:f>IF(A480=1,H480,M479+H480)</x:f>
        <x:v>0</x:v>
      </x:c>
      <x:c r="N480" s="32" t="n">
        <x:f>IF(A480=1,I480,N479+I480)</x:f>
        <x:v>0</x:v>
      </x:c>
      <x:c r="O480" s="32" t="n">
        <x:f>IF(A480=1,G480,O479+G480)</x:f>
        <x:v>3671325</x:v>
      </x:c>
      <x:c r="P480" s="37" t="n">
        <x:f>EDATE(Dashboard!$B$10,A480)</x:f>
        <x:v>59596</x:v>
      </x:c>
    </x:row>
    <x:row r="481">
      <x:c r="A481" s="33" t="n">
        <x:v>480</x:v>
      </x:c>
      <x:c r="B481" s="33" t="str">
        <x:f>IF(A481&lt;=Dashboard!$F$8,"Holiday",IF(A481&lt;=Dashboard!$F$8+Dashboard!$F$7,"Repayment","Closed"))</x:f>
        <x:v>Closed</x:v>
      </x:c>
      <x:c r="C481" s="32">
        <x:f>IF(A481=1,Dashboard!$B$6,IF(B481="Holiday",J480,L480))</x:f>
      </x:c>
      <x:c r="D481" s="32">
        <x:f>IF(A481=1,0,IF(B481="Holiday",K480,0))</x:f>
      </x:c>
      <x:c r="E481" s="32">
        <x:f>C481+D481</x:f>
      </x:c>
      <x:c r="F481" s="32">
        <x:f>IF(B481="Holiday",IF(Dashboard!$B$14="Principal Only",MIN(Dashboard!$B$15,C481),0),0)</x:f>
      </x:c>
      <x:c r="G481" s="32" t="n">
        <x:f>IF(B481="Closed",0,IF(B481="Holiday",IF(Dashboard!$B$14="Interest Only",C481*Dashboard!$F$6,MAX(0,(C481-F481)*Dashboard!$F$6)),E481*Dashboard!$F$6))</x:f>
        <x:v>0</x:v>
      </x:c>
      <x:c r="H481" s="32" t="n">
        <x:f>IF(B481="Holiday",IF(Dashboard!$B$14="Interest Only",G481,F481),IF(B481="Closed",0,MIN(Dashboard!$F$10,E481+G481)))</x:f>
        <x:v>0</x:v>
      </x:c>
      <x:c r="I481" s="32" t="n">
        <x:f>IF(B481="Holiday",F481,IF(B481="Closed",0,MAX(0,H481-G481)))</x:f>
        <x:v>0</x:v>
      </x:c>
      <x:c r="J481" s="32" t="n">
        <x:f>IF(B481="Holiday",MAX(0,C481-F481),IF(B481="Closed",0,MAX(0,E481-I481)))</x:f>
        <x:v>0</x:v>
      </x:c>
      <x:c r="K481" s="32" t="n">
        <x:f>IF(B481="Holiday",IF(Dashboard!$B$14="Interest Only",D481,D481+G481),0)</x:f>
        <x:v>0</x:v>
      </x:c>
      <x:c r="L481" s="32" t="n">
        <x:f>J481+K481</x:f>
        <x:v>0</x:v>
      </x:c>
      <x:c r="M481" s="32" t="n">
        <x:f>IF(A481=1,H481,M480+H481)</x:f>
        <x:v>0</x:v>
      </x:c>
      <x:c r="N481" s="32" t="n">
        <x:f>IF(A481=1,I481,N480+I481)</x:f>
        <x:v>0</x:v>
      </x:c>
      <x:c r="O481" s="32" t="n">
        <x:f>IF(A481=1,G481,O480+G481)</x:f>
        <x:v>3671325</x:v>
      </x:c>
      <x:c r="P481" s="37" t="n">
        <x:f>EDATE(Dashboard!$B$10,A481)</x:f>
        <x:v>59627</x:v>
      </x:c>
    </x:row>
    <x:row r="482">
      <x:c r="A482" s="33" t="n">
        <x:v>481</x:v>
      </x:c>
      <x:c r="B482" s="33" t="str">
        <x:f>IF(A482&lt;=Dashboard!$F$8,"Holiday",IF(A482&lt;=Dashboard!$F$8+Dashboard!$F$7,"Repayment","Closed"))</x:f>
        <x:v>Closed</x:v>
      </x:c>
      <x:c r="C482" s="32">
        <x:f>IF(A482=1,Dashboard!$B$6,IF(B482="Holiday",J481,L481))</x:f>
      </x:c>
      <x:c r="D482" s="32">
        <x:f>IF(A482=1,0,IF(B482="Holiday",K481,0))</x:f>
      </x:c>
      <x:c r="E482" s="32">
        <x:f>C482+D482</x:f>
      </x:c>
      <x:c r="F482" s="32">
        <x:f>IF(B482="Holiday",IF(Dashboard!$B$14="Principal Only",MIN(Dashboard!$B$15,C482),0),0)</x:f>
      </x:c>
      <x:c r="G482" s="32" t="n">
        <x:f>IF(B482="Closed",0,IF(B482="Holiday",IF(Dashboard!$B$14="Interest Only",C482*Dashboard!$F$6,MAX(0,(C482-F482)*Dashboard!$F$6)),E482*Dashboard!$F$6))</x:f>
        <x:v>0</x:v>
      </x:c>
      <x:c r="H482" s="32" t="n">
        <x:f>IF(B482="Holiday",IF(Dashboard!$B$14="Interest Only",G482,F482),IF(B482="Closed",0,MIN(Dashboard!$F$10,E482+G482)))</x:f>
        <x:v>0</x:v>
      </x:c>
      <x:c r="I482" s="32" t="n">
        <x:f>IF(B482="Holiday",F482,IF(B482="Closed",0,MAX(0,H482-G482)))</x:f>
        <x:v>0</x:v>
      </x:c>
      <x:c r="J482" s="32" t="n">
        <x:f>IF(B482="Holiday",MAX(0,C482-F482),IF(B482="Closed",0,MAX(0,E482-I482)))</x:f>
        <x:v>0</x:v>
      </x:c>
      <x:c r="K482" s="32" t="n">
        <x:f>IF(B482="Holiday",IF(Dashboard!$B$14="Interest Only",D482,D482+G482),0)</x:f>
        <x:v>0</x:v>
      </x:c>
      <x:c r="L482" s="32" t="n">
        <x:f>J482+K482</x:f>
        <x:v>0</x:v>
      </x:c>
      <x:c r="M482" s="32" t="n">
        <x:f>IF(A482=1,H482,M481+H482)</x:f>
        <x:v>0</x:v>
      </x:c>
      <x:c r="N482" s="32" t="n">
        <x:f>IF(A482=1,I482,N481+I482)</x:f>
        <x:v>0</x:v>
      </x:c>
      <x:c r="O482" s="32" t="n">
        <x:f>IF(A482=1,G482,O481+G482)</x:f>
        <x:v>3671325</x:v>
      </x:c>
      <x:c r="P482" s="37" t="n">
        <x:f>EDATE(Dashboard!$B$10,A482)</x:f>
        <x:v>59657</x:v>
      </x:c>
    </x:row>
    <x:row r="483">
      <x:c r="A483" s="33" t="n">
        <x:v>482</x:v>
      </x:c>
      <x:c r="B483" s="33" t="str">
        <x:f>IF(A483&lt;=Dashboard!$F$8,"Holiday",IF(A483&lt;=Dashboard!$F$8+Dashboard!$F$7,"Repayment","Closed"))</x:f>
        <x:v>Closed</x:v>
      </x:c>
      <x:c r="C483" s="32">
        <x:f>IF(A483=1,Dashboard!$B$6,IF(B483="Holiday",J482,L482))</x:f>
      </x:c>
      <x:c r="D483" s="32">
        <x:f>IF(A483=1,0,IF(B483="Holiday",K482,0))</x:f>
      </x:c>
      <x:c r="E483" s="32">
        <x:f>C483+D483</x:f>
      </x:c>
      <x:c r="F483" s="32">
        <x:f>IF(B483="Holiday",IF(Dashboard!$B$14="Principal Only",MIN(Dashboard!$B$15,C483),0),0)</x:f>
      </x:c>
      <x:c r="G483" s="32" t="n">
        <x:f>IF(B483="Closed",0,IF(B483="Holiday",IF(Dashboard!$B$14="Interest Only",C483*Dashboard!$F$6,MAX(0,(C483-F483)*Dashboard!$F$6)),E483*Dashboard!$F$6))</x:f>
        <x:v>0</x:v>
      </x:c>
      <x:c r="H483" s="32" t="n">
        <x:f>IF(B483="Holiday",IF(Dashboard!$B$14="Interest Only",G483,F483),IF(B483="Closed",0,MIN(Dashboard!$F$10,E483+G483)))</x:f>
        <x:v>0</x:v>
      </x:c>
      <x:c r="I483" s="32" t="n">
        <x:f>IF(B483="Holiday",F483,IF(B483="Closed",0,MAX(0,H483-G483)))</x:f>
        <x:v>0</x:v>
      </x:c>
      <x:c r="J483" s="32" t="n">
        <x:f>IF(B483="Holiday",MAX(0,C483-F483),IF(B483="Closed",0,MAX(0,E483-I483)))</x:f>
        <x:v>0</x:v>
      </x:c>
      <x:c r="K483" s="32" t="n">
        <x:f>IF(B483="Holiday",IF(Dashboard!$B$14="Interest Only",D483,D483+G483),0)</x:f>
        <x:v>0</x:v>
      </x:c>
      <x:c r="L483" s="32" t="n">
        <x:f>J483+K483</x:f>
        <x:v>0</x:v>
      </x:c>
      <x:c r="M483" s="32" t="n">
        <x:f>IF(A483=1,H483,M482+H483)</x:f>
        <x:v>0</x:v>
      </x:c>
      <x:c r="N483" s="32" t="n">
        <x:f>IF(A483=1,I483,N482+I483)</x:f>
        <x:v>0</x:v>
      </x:c>
      <x:c r="O483" s="32" t="n">
        <x:f>IF(A483=1,G483,O482+G483)</x:f>
        <x:v>3671325</x:v>
      </x:c>
      <x:c r="P483" s="37" t="n">
        <x:f>EDATE(Dashboard!$B$10,A483)</x:f>
        <x:v>59688</x:v>
      </x:c>
    </x:row>
    <x:row r="484">
      <x:c r="A484" s="33" t="n">
        <x:v>483</x:v>
      </x:c>
      <x:c r="B484" s="33" t="str">
        <x:f>IF(A484&lt;=Dashboard!$F$8,"Holiday",IF(A484&lt;=Dashboard!$F$8+Dashboard!$F$7,"Repayment","Closed"))</x:f>
        <x:v>Closed</x:v>
      </x:c>
      <x:c r="C484" s="32">
        <x:f>IF(A484=1,Dashboard!$B$6,IF(B484="Holiday",J483,L483))</x:f>
      </x:c>
      <x:c r="D484" s="32">
        <x:f>IF(A484=1,0,IF(B484="Holiday",K483,0))</x:f>
      </x:c>
      <x:c r="E484" s="32">
        <x:f>C484+D484</x:f>
      </x:c>
      <x:c r="F484" s="32">
        <x:f>IF(B484="Holiday",IF(Dashboard!$B$14="Principal Only",MIN(Dashboard!$B$15,C484),0),0)</x:f>
      </x:c>
      <x:c r="G484" s="32" t="n">
        <x:f>IF(B484="Closed",0,IF(B484="Holiday",IF(Dashboard!$B$14="Interest Only",C484*Dashboard!$F$6,MAX(0,(C484-F484)*Dashboard!$F$6)),E484*Dashboard!$F$6))</x:f>
        <x:v>0</x:v>
      </x:c>
      <x:c r="H484" s="32" t="n">
        <x:f>IF(B484="Holiday",IF(Dashboard!$B$14="Interest Only",G484,F484),IF(B484="Closed",0,MIN(Dashboard!$F$10,E484+G484)))</x:f>
        <x:v>0</x:v>
      </x:c>
      <x:c r="I484" s="32" t="n">
        <x:f>IF(B484="Holiday",F484,IF(B484="Closed",0,MAX(0,H484-G484)))</x:f>
        <x:v>0</x:v>
      </x:c>
      <x:c r="J484" s="32" t="n">
        <x:f>IF(B484="Holiday",MAX(0,C484-F484),IF(B484="Closed",0,MAX(0,E484-I484)))</x:f>
        <x:v>0</x:v>
      </x:c>
      <x:c r="K484" s="32" t="n">
        <x:f>IF(B484="Holiday",IF(Dashboard!$B$14="Interest Only",D484,D484+G484),0)</x:f>
        <x:v>0</x:v>
      </x:c>
      <x:c r="L484" s="32" t="n">
        <x:f>J484+K484</x:f>
        <x:v>0</x:v>
      </x:c>
      <x:c r="M484" s="32" t="n">
        <x:f>IF(A484=1,H484,M483+H484)</x:f>
        <x:v>0</x:v>
      </x:c>
      <x:c r="N484" s="32" t="n">
        <x:f>IF(A484=1,I484,N483+I484)</x:f>
        <x:v>0</x:v>
      </x:c>
      <x:c r="O484" s="32" t="n">
        <x:f>IF(A484=1,G484,O483+G484)</x:f>
        <x:v>3671325</x:v>
      </x:c>
      <x:c r="P484" s="37" t="n">
        <x:f>EDATE(Dashboard!$B$10,A484)</x:f>
        <x:v>59718</x:v>
      </x:c>
    </x:row>
    <x:row r="485">
      <x:c r="A485" s="33" t="n">
        <x:v>484</x:v>
      </x:c>
      <x:c r="B485" s="33" t="str">
        <x:f>IF(A485&lt;=Dashboard!$F$8,"Holiday",IF(A485&lt;=Dashboard!$F$8+Dashboard!$F$7,"Repayment","Closed"))</x:f>
        <x:v>Closed</x:v>
      </x:c>
      <x:c r="C485" s="32">
        <x:f>IF(A485=1,Dashboard!$B$6,IF(B485="Holiday",J484,L484))</x:f>
      </x:c>
      <x:c r="D485" s="32">
        <x:f>IF(A485=1,0,IF(B485="Holiday",K484,0))</x:f>
      </x:c>
      <x:c r="E485" s="32">
        <x:f>C485+D485</x:f>
      </x:c>
      <x:c r="F485" s="32">
        <x:f>IF(B485="Holiday",IF(Dashboard!$B$14="Principal Only",MIN(Dashboard!$B$15,C485),0),0)</x:f>
      </x:c>
      <x:c r="G485" s="32" t="n">
        <x:f>IF(B485="Closed",0,IF(B485="Holiday",IF(Dashboard!$B$14="Interest Only",C485*Dashboard!$F$6,MAX(0,(C485-F485)*Dashboard!$F$6)),E485*Dashboard!$F$6))</x:f>
        <x:v>0</x:v>
      </x:c>
      <x:c r="H485" s="32" t="n">
        <x:f>IF(B485="Holiday",IF(Dashboard!$B$14="Interest Only",G485,F485),IF(B485="Closed",0,MIN(Dashboard!$F$10,E485+G485)))</x:f>
        <x:v>0</x:v>
      </x:c>
      <x:c r="I485" s="32" t="n">
        <x:f>IF(B485="Holiday",F485,IF(B485="Closed",0,MAX(0,H485-G485)))</x:f>
        <x:v>0</x:v>
      </x:c>
      <x:c r="J485" s="32" t="n">
        <x:f>IF(B485="Holiday",MAX(0,C485-F485),IF(B485="Closed",0,MAX(0,E485-I485)))</x:f>
        <x:v>0</x:v>
      </x:c>
      <x:c r="K485" s="32" t="n">
        <x:f>IF(B485="Holiday",IF(Dashboard!$B$14="Interest Only",D485,D485+G485),0)</x:f>
        <x:v>0</x:v>
      </x:c>
      <x:c r="L485" s="32" t="n">
        <x:f>J485+K485</x:f>
        <x:v>0</x:v>
      </x:c>
      <x:c r="M485" s="32" t="n">
        <x:f>IF(A485=1,H485,M484+H485)</x:f>
        <x:v>0</x:v>
      </x:c>
      <x:c r="N485" s="32" t="n">
        <x:f>IF(A485=1,I485,N484+I485)</x:f>
        <x:v>0</x:v>
      </x:c>
      <x:c r="O485" s="32" t="n">
        <x:f>IF(A485=1,G485,O484+G485)</x:f>
        <x:v>3671325</x:v>
      </x:c>
      <x:c r="P485" s="37" t="n">
        <x:f>EDATE(Dashboard!$B$10,A485)</x:f>
        <x:v>59749</x:v>
      </x:c>
    </x:row>
    <x:row r="486">
      <x:c r="A486" s="33" t="n">
        <x:v>485</x:v>
      </x:c>
      <x:c r="B486" s="33" t="str">
        <x:f>IF(A486&lt;=Dashboard!$F$8,"Holiday",IF(A486&lt;=Dashboard!$F$8+Dashboard!$F$7,"Repayment","Closed"))</x:f>
        <x:v>Closed</x:v>
      </x:c>
      <x:c r="C486" s="32">
        <x:f>IF(A486=1,Dashboard!$B$6,IF(B486="Holiday",J485,L485))</x:f>
      </x:c>
      <x:c r="D486" s="32">
        <x:f>IF(A486=1,0,IF(B486="Holiday",K485,0))</x:f>
      </x:c>
      <x:c r="E486" s="32">
        <x:f>C486+D486</x:f>
      </x:c>
      <x:c r="F486" s="32">
        <x:f>IF(B486="Holiday",IF(Dashboard!$B$14="Principal Only",MIN(Dashboard!$B$15,C486),0),0)</x:f>
      </x:c>
      <x:c r="G486" s="32" t="n">
        <x:f>IF(B486="Closed",0,IF(B486="Holiday",IF(Dashboard!$B$14="Interest Only",C486*Dashboard!$F$6,MAX(0,(C486-F486)*Dashboard!$F$6)),E486*Dashboard!$F$6))</x:f>
        <x:v>0</x:v>
      </x:c>
      <x:c r="H486" s="32" t="n">
        <x:f>IF(B486="Holiday",IF(Dashboard!$B$14="Interest Only",G486,F486),IF(B486="Closed",0,MIN(Dashboard!$F$10,E486+G486)))</x:f>
        <x:v>0</x:v>
      </x:c>
      <x:c r="I486" s="32" t="n">
        <x:f>IF(B486="Holiday",F486,IF(B486="Closed",0,MAX(0,H486-G486)))</x:f>
        <x:v>0</x:v>
      </x:c>
      <x:c r="J486" s="32" t="n">
        <x:f>IF(B486="Holiday",MAX(0,C486-F486),IF(B486="Closed",0,MAX(0,E486-I486)))</x:f>
        <x:v>0</x:v>
      </x:c>
      <x:c r="K486" s="32" t="n">
        <x:f>IF(B486="Holiday",IF(Dashboard!$B$14="Interest Only",D486,D486+G486),0)</x:f>
        <x:v>0</x:v>
      </x:c>
      <x:c r="L486" s="32" t="n">
        <x:f>J486+K486</x:f>
        <x:v>0</x:v>
      </x:c>
      <x:c r="M486" s="32" t="n">
        <x:f>IF(A486=1,H486,M485+H486)</x:f>
        <x:v>0</x:v>
      </x:c>
      <x:c r="N486" s="32" t="n">
        <x:f>IF(A486=1,I486,N485+I486)</x:f>
        <x:v>0</x:v>
      </x:c>
      <x:c r="O486" s="32" t="n">
        <x:f>IF(A486=1,G486,O485+G486)</x:f>
        <x:v>3671325</x:v>
      </x:c>
      <x:c r="P486" s="37" t="n">
        <x:f>EDATE(Dashboard!$B$10,A486)</x:f>
        <x:v>59780</x:v>
      </x:c>
    </x:row>
    <x:row r="487">
      <x:c r="A487" s="33" t="n">
        <x:v>486</x:v>
      </x:c>
      <x:c r="B487" s="33" t="str">
        <x:f>IF(A487&lt;=Dashboard!$F$8,"Holiday",IF(A487&lt;=Dashboard!$F$8+Dashboard!$F$7,"Repayment","Closed"))</x:f>
        <x:v>Closed</x:v>
      </x:c>
      <x:c r="C487" s="32">
        <x:f>IF(A487=1,Dashboard!$B$6,IF(B487="Holiday",J486,L486))</x:f>
      </x:c>
      <x:c r="D487" s="32">
        <x:f>IF(A487=1,0,IF(B487="Holiday",K486,0))</x:f>
      </x:c>
      <x:c r="E487" s="32">
        <x:f>C487+D487</x:f>
      </x:c>
      <x:c r="F487" s="32">
        <x:f>IF(B487="Holiday",IF(Dashboard!$B$14="Principal Only",MIN(Dashboard!$B$15,C487),0),0)</x:f>
      </x:c>
      <x:c r="G487" s="32" t="n">
        <x:f>IF(B487="Closed",0,IF(B487="Holiday",IF(Dashboard!$B$14="Interest Only",C487*Dashboard!$F$6,MAX(0,(C487-F487)*Dashboard!$F$6)),E487*Dashboard!$F$6))</x:f>
        <x:v>0</x:v>
      </x:c>
      <x:c r="H487" s="32" t="n">
        <x:f>IF(B487="Holiday",IF(Dashboard!$B$14="Interest Only",G487,F487),IF(B487="Closed",0,MIN(Dashboard!$F$10,E487+G487)))</x:f>
        <x:v>0</x:v>
      </x:c>
      <x:c r="I487" s="32" t="n">
        <x:f>IF(B487="Holiday",F487,IF(B487="Closed",0,MAX(0,H487-G487)))</x:f>
        <x:v>0</x:v>
      </x:c>
      <x:c r="J487" s="32" t="n">
        <x:f>IF(B487="Holiday",MAX(0,C487-F487),IF(B487="Closed",0,MAX(0,E487-I487)))</x:f>
        <x:v>0</x:v>
      </x:c>
      <x:c r="K487" s="32" t="n">
        <x:f>IF(B487="Holiday",IF(Dashboard!$B$14="Interest Only",D487,D487+G487),0)</x:f>
        <x:v>0</x:v>
      </x:c>
      <x:c r="L487" s="32" t="n">
        <x:f>J487+K487</x:f>
        <x:v>0</x:v>
      </x:c>
      <x:c r="M487" s="32" t="n">
        <x:f>IF(A487=1,H487,M486+H487)</x:f>
        <x:v>0</x:v>
      </x:c>
      <x:c r="N487" s="32" t="n">
        <x:f>IF(A487=1,I487,N486+I487)</x:f>
        <x:v>0</x:v>
      </x:c>
      <x:c r="O487" s="32" t="n">
        <x:f>IF(A487=1,G487,O486+G487)</x:f>
        <x:v>3671325</x:v>
      </x:c>
      <x:c r="P487" s="37" t="n">
        <x:f>EDATE(Dashboard!$B$10,A487)</x:f>
        <x:v>59810</x:v>
      </x:c>
    </x:row>
    <x:row r="488">
      <x:c r="A488" s="33" t="n">
        <x:v>487</x:v>
      </x:c>
      <x:c r="B488" s="33" t="str">
        <x:f>IF(A488&lt;=Dashboard!$F$8,"Holiday",IF(A488&lt;=Dashboard!$F$8+Dashboard!$F$7,"Repayment","Closed"))</x:f>
        <x:v>Closed</x:v>
      </x:c>
      <x:c r="C488" s="32">
        <x:f>IF(A488=1,Dashboard!$B$6,IF(B488="Holiday",J487,L487))</x:f>
      </x:c>
      <x:c r="D488" s="32">
        <x:f>IF(A488=1,0,IF(B488="Holiday",K487,0))</x:f>
      </x:c>
      <x:c r="E488" s="32">
        <x:f>C488+D488</x:f>
      </x:c>
      <x:c r="F488" s="32">
        <x:f>IF(B488="Holiday",IF(Dashboard!$B$14="Principal Only",MIN(Dashboard!$B$15,C488),0),0)</x:f>
      </x:c>
      <x:c r="G488" s="32" t="n">
        <x:f>IF(B488="Closed",0,IF(B488="Holiday",IF(Dashboard!$B$14="Interest Only",C488*Dashboard!$F$6,MAX(0,(C488-F488)*Dashboard!$F$6)),E488*Dashboard!$F$6))</x:f>
        <x:v>0</x:v>
      </x:c>
      <x:c r="H488" s="32" t="n">
        <x:f>IF(B488="Holiday",IF(Dashboard!$B$14="Interest Only",G488,F488),IF(B488="Closed",0,MIN(Dashboard!$F$10,E488+G488)))</x:f>
        <x:v>0</x:v>
      </x:c>
      <x:c r="I488" s="32" t="n">
        <x:f>IF(B488="Holiday",F488,IF(B488="Closed",0,MAX(0,H488-G488)))</x:f>
        <x:v>0</x:v>
      </x:c>
      <x:c r="J488" s="32" t="n">
        <x:f>IF(B488="Holiday",MAX(0,C488-F488),IF(B488="Closed",0,MAX(0,E488-I488)))</x:f>
        <x:v>0</x:v>
      </x:c>
      <x:c r="K488" s="32" t="n">
        <x:f>IF(B488="Holiday",IF(Dashboard!$B$14="Interest Only",D488,D488+G488),0)</x:f>
        <x:v>0</x:v>
      </x:c>
      <x:c r="L488" s="32" t="n">
        <x:f>J488+K488</x:f>
        <x:v>0</x:v>
      </x:c>
      <x:c r="M488" s="32" t="n">
        <x:f>IF(A488=1,H488,M487+H488)</x:f>
        <x:v>0</x:v>
      </x:c>
      <x:c r="N488" s="32" t="n">
        <x:f>IF(A488=1,I488,N487+I488)</x:f>
        <x:v>0</x:v>
      </x:c>
      <x:c r="O488" s="32" t="n">
        <x:f>IF(A488=1,G488,O487+G488)</x:f>
        <x:v>3671325</x:v>
      </x:c>
      <x:c r="P488" s="37" t="n">
        <x:f>EDATE(Dashboard!$B$10,A488)</x:f>
        <x:v>59841</x:v>
      </x:c>
    </x:row>
    <x:row r="489">
      <x:c r="A489" s="33" t="n">
        <x:v>488</x:v>
      </x:c>
      <x:c r="B489" s="33" t="str">
        <x:f>IF(A489&lt;=Dashboard!$F$8,"Holiday",IF(A489&lt;=Dashboard!$F$8+Dashboard!$F$7,"Repayment","Closed"))</x:f>
        <x:v>Closed</x:v>
      </x:c>
      <x:c r="C489" s="32">
        <x:f>IF(A489=1,Dashboard!$B$6,IF(B489="Holiday",J488,L488))</x:f>
      </x:c>
      <x:c r="D489" s="32">
        <x:f>IF(A489=1,0,IF(B489="Holiday",K488,0))</x:f>
      </x:c>
      <x:c r="E489" s="32">
        <x:f>C489+D489</x:f>
      </x:c>
      <x:c r="F489" s="32">
        <x:f>IF(B489="Holiday",IF(Dashboard!$B$14="Principal Only",MIN(Dashboard!$B$15,C489),0),0)</x:f>
      </x:c>
      <x:c r="G489" s="32" t="n">
        <x:f>IF(B489="Closed",0,IF(B489="Holiday",IF(Dashboard!$B$14="Interest Only",C489*Dashboard!$F$6,MAX(0,(C489-F489)*Dashboard!$F$6)),E489*Dashboard!$F$6))</x:f>
        <x:v>0</x:v>
      </x:c>
      <x:c r="H489" s="32" t="n">
        <x:f>IF(B489="Holiday",IF(Dashboard!$B$14="Interest Only",G489,F489),IF(B489="Closed",0,MIN(Dashboard!$F$10,E489+G489)))</x:f>
        <x:v>0</x:v>
      </x:c>
      <x:c r="I489" s="32" t="n">
        <x:f>IF(B489="Holiday",F489,IF(B489="Closed",0,MAX(0,H489-G489)))</x:f>
        <x:v>0</x:v>
      </x:c>
      <x:c r="J489" s="32" t="n">
        <x:f>IF(B489="Holiday",MAX(0,C489-F489),IF(B489="Closed",0,MAX(0,E489-I489)))</x:f>
        <x:v>0</x:v>
      </x:c>
      <x:c r="K489" s="32" t="n">
        <x:f>IF(B489="Holiday",IF(Dashboard!$B$14="Interest Only",D489,D489+G489),0)</x:f>
        <x:v>0</x:v>
      </x:c>
      <x:c r="L489" s="32" t="n">
        <x:f>J489+K489</x:f>
        <x:v>0</x:v>
      </x:c>
      <x:c r="M489" s="32" t="n">
        <x:f>IF(A489=1,H489,M488+H489)</x:f>
        <x:v>0</x:v>
      </x:c>
      <x:c r="N489" s="32" t="n">
        <x:f>IF(A489=1,I489,N488+I489)</x:f>
        <x:v>0</x:v>
      </x:c>
      <x:c r="O489" s="32" t="n">
        <x:f>IF(A489=1,G489,O488+G489)</x:f>
        <x:v>3671325</x:v>
      </x:c>
      <x:c r="P489" s="37" t="n">
        <x:f>EDATE(Dashboard!$B$10,A489)</x:f>
        <x:v>59871</x:v>
      </x:c>
    </x:row>
    <x:row r="490">
      <x:c r="A490" s="33" t="n">
        <x:v>489</x:v>
      </x:c>
      <x:c r="B490" s="33" t="str">
        <x:f>IF(A490&lt;=Dashboard!$F$8,"Holiday",IF(A490&lt;=Dashboard!$F$8+Dashboard!$F$7,"Repayment","Closed"))</x:f>
        <x:v>Closed</x:v>
      </x:c>
      <x:c r="C490" s="32">
        <x:f>IF(A490=1,Dashboard!$B$6,IF(B490="Holiday",J489,L489))</x:f>
      </x:c>
      <x:c r="D490" s="32">
        <x:f>IF(A490=1,0,IF(B490="Holiday",K489,0))</x:f>
      </x:c>
      <x:c r="E490" s="32">
        <x:f>C490+D490</x:f>
      </x:c>
      <x:c r="F490" s="32">
        <x:f>IF(B490="Holiday",IF(Dashboard!$B$14="Principal Only",MIN(Dashboard!$B$15,C490),0),0)</x:f>
      </x:c>
      <x:c r="G490" s="32" t="n">
        <x:f>IF(B490="Closed",0,IF(B490="Holiday",IF(Dashboard!$B$14="Interest Only",C490*Dashboard!$F$6,MAX(0,(C490-F490)*Dashboard!$F$6)),E490*Dashboard!$F$6))</x:f>
        <x:v>0</x:v>
      </x:c>
      <x:c r="H490" s="32" t="n">
        <x:f>IF(B490="Holiday",IF(Dashboard!$B$14="Interest Only",G490,F490),IF(B490="Closed",0,MIN(Dashboard!$F$10,E490+G490)))</x:f>
        <x:v>0</x:v>
      </x:c>
      <x:c r="I490" s="32" t="n">
        <x:f>IF(B490="Holiday",F490,IF(B490="Closed",0,MAX(0,H490-G490)))</x:f>
        <x:v>0</x:v>
      </x:c>
      <x:c r="J490" s="32" t="n">
        <x:f>IF(B490="Holiday",MAX(0,C490-F490),IF(B490="Closed",0,MAX(0,E490-I490)))</x:f>
        <x:v>0</x:v>
      </x:c>
      <x:c r="K490" s="32" t="n">
        <x:f>IF(B490="Holiday",IF(Dashboard!$B$14="Interest Only",D490,D490+G490),0)</x:f>
        <x:v>0</x:v>
      </x:c>
      <x:c r="L490" s="32" t="n">
        <x:f>J490+K490</x:f>
        <x:v>0</x:v>
      </x:c>
      <x:c r="M490" s="32" t="n">
        <x:f>IF(A490=1,H490,M489+H490)</x:f>
        <x:v>0</x:v>
      </x:c>
      <x:c r="N490" s="32" t="n">
        <x:f>IF(A490=1,I490,N489+I490)</x:f>
        <x:v>0</x:v>
      </x:c>
      <x:c r="O490" s="32" t="n">
        <x:f>IF(A490=1,G490,O489+G490)</x:f>
        <x:v>3671325</x:v>
      </x:c>
      <x:c r="P490" s="37" t="n">
        <x:f>EDATE(Dashboard!$B$10,A490)</x:f>
        <x:v>59902</x:v>
      </x:c>
    </x:row>
    <x:row r="491">
      <x:c r="A491" s="33" t="n">
        <x:v>490</x:v>
      </x:c>
      <x:c r="B491" s="33" t="str">
        <x:f>IF(A491&lt;=Dashboard!$F$8,"Holiday",IF(A491&lt;=Dashboard!$F$8+Dashboard!$F$7,"Repayment","Closed"))</x:f>
        <x:v>Closed</x:v>
      </x:c>
      <x:c r="C491" s="32">
        <x:f>IF(A491=1,Dashboard!$B$6,IF(B491="Holiday",J490,L490))</x:f>
      </x:c>
      <x:c r="D491" s="32">
        <x:f>IF(A491=1,0,IF(B491="Holiday",K490,0))</x:f>
      </x:c>
      <x:c r="E491" s="32">
        <x:f>C491+D491</x:f>
      </x:c>
      <x:c r="F491" s="32">
        <x:f>IF(B491="Holiday",IF(Dashboard!$B$14="Principal Only",MIN(Dashboard!$B$15,C491),0),0)</x:f>
      </x:c>
      <x:c r="G491" s="32" t="n">
        <x:f>IF(B491="Closed",0,IF(B491="Holiday",IF(Dashboard!$B$14="Interest Only",C491*Dashboard!$F$6,MAX(0,(C491-F491)*Dashboard!$F$6)),E491*Dashboard!$F$6))</x:f>
        <x:v>0</x:v>
      </x:c>
      <x:c r="H491" s="32" t="n">
        <x:f>IF(B491="Holiday",IF(Dashboard!$B$14="Interest Only",G491,F491),IF(B491="Closed",0,MIN(Dashboard!$F$10,E491+G491)))</x:f>
        <x:v>0</x:v>
      </x:c>
      <x:c r="I491" s="32" t="n">
        <x:f>IF(B491="Holiday",F491,IF(B491="Closed",0,MAX(0,H491-G491)))</x:f>
        <x:v>0</x:v>
      </x:c>
      <x:c r="J491" s="32" t="n">
        <x:f>IF(B491="Holiday",MAX(0,C491-F491),IF(B491="Closed",0,MAX(0,E491-I491)))</x:f>
        <x:v>0</x:v>
      </x:c>
      <x:c r="K491" s="32" t="n">
        <x:f>IF(B491="Holiday",IF(Dashboard!$B$14="Interest Only",D491,D491+G491),0)</x:f>
        <x:v>0</x:v>
      </x:c>
      <x:c r="L491" s="32" t="n">
        <x:f>J491+K491</x:f>
        <x:v>0</x:v>
      </x:c>
      <x:c r="M491" s="32" t="n">
        <x:f>IF(A491=1,H491,M490+H491)</x:f>
        <x:v>0</x:v>
      </x:c>
      <x:c r="N491" s="32" t="n">
        <x:f>IF(A491=1,I491,N490+I491)</x:f>
        <x:v>0</x:v>
      </x:c>
      <x:c r="O491" s="32" t="n">
        <x:f>IF(A491=1,G491,O490+G491)</x:f>
        <x:v>3671325</x:v>
      </x:c>
      <x:c r="P491" s="37" t="n">
        <x:f>EDATE(Dashboard!$B$10,A491)</x:f>
        <x:v>59933</x:v>
      </x:c>
    </x:row>
    <x:row r="492">
      <x:c r="A492" s="33" t="n">
        <x:v>491</x:v>
      </x:c>
      <x:c r="B492" s="33" t="str">
        <x:f>IF(A492&lt;=Dashboard!$F$8,"Holiday",IF(A492&lt;=Dashboard!$F$8+Dashboard!$F$7,"Repayment","Closed"))</x:f>
        <x:v>Closed</x:v>
      </x:c>
      <x:c r="C492" s="32">
        <x:f>IF(A492=1,Dashboard!$B$6,IF(B492="Holiday",J491,L491))</x:f>
      </x:c>
      <x:c r="D492" s="32">
        <x:f>IF(A492=1,0,IF(B492="Holiday",K491,0))</x:f>
      </x:c>
      <x:c r="E492" s="32">
        <x:f>C492+D492</x:f>
      </x:c>
      <x:c r="F492" s="32">
        <x:f>IF(B492="Holiday",IF(Dashboard!$B$14="Principal Only",MIN(Dashboard!$B$15,C492),0),0)</x:f>
      </x:c>
      <x:c r="G492" s="32" t="n">
        <x:f>IF(B492="Closed",0,IF(B492="Holiday",IF(Dashboard!$B$14="Interest Only",C492*Dashboard!$F$6,MAX(0,(C492-F492)*Dashboard!$F$6)),E492*Dashboard!$F$6))</x:f>
        <x:v>0</x:v>
      </x:c>
      <x:c r="H492" s="32" t="n">
        <x:f>IF(B492="Holiday",IF(Dashboard!$B$14="Interest Only",G492,F492),IF(B492="Closed",0,MIN(Dashboard!$F$10,E492+G492)))</x:f>
        <x:v>0</x:v>
      </x:c>
      <x:c r="I492" s="32" t="n">
        <x:f>IF(B492="Holiday",F492,IF(B492="Closed",0,MAX(0,H492-G492)))</x:f>
        <x:v>0</x:v>
      </x:c>
      <x:c r="J492" s="32" t="n">
        <x:f>IF(B492="Holiday",MAX(0,C492-F492),IF(B492="Closed",0,MAX(0,E492-I492)))</x:f>
        <x:v>0</x:v>
      </x:c>
      <x:c r="K492" s="32" t="n">
        <x:f>IF(B492="Holiday",IF(Dashboard!$B$14="Interest Only",D492,D492+G492),0)</x:f>
        <x:v>0</x:v>
      </x:c>
      <x:c r="L492" s="32" t="n">
        <x:f>J492+K492</x:f>
        <x:v>0</x:v>
      </x:c>
      <x:c r="M492" s="32" t="n">
        <x:f>IF(A492=1,H492,M491+H492)</x:f>
        <x:v>0</x:v>
      </x:c>
      <x:c r="N492" s="32" t="n">
        <x:f>IF(A492=1,I492,N491+I492)</x:f>
        <x:v>0</x:v>
      </x:c>
      <x:c r="O492" s="32" t="n">
        <x:f>IF(A492=1,G492,O491+G492)</x:f>
        <x:v>3671325</x:v>
      </x:c>
      <x:c r="P492" s="37" t="n">
        <x:f>EDATE(Dashboard!$B$10,A492)</x:f>
        <x:v>59962</x:v>
      </x:c>
    </x:row>
    <x:row r="493">
      <x:c r="A493" s="33" t="n">
        <x:v>492</x:v>
      </x:c>
      <x:c r="B493" s="33" t="str">
        <x:f>IF(A493&lt;=Dashboard!$F$8,"Holiday",IF(A493&lt;=Dashboard!$F$8+Dashboard!$F$7,"Repayment","Closed"))</x:f>
        <x:v>Closed</x:v>
      </x:c>
      <x:c r="C493" s="32">
        <x:f>IF(A493=1,Dashboard!$B$6,IF(B493="Holiday",J492,L492))</x:f>
      </x:c>
      <x:c r="D493" s="32">
        <x:f>IF(A493=1,0,IF(B493="Holiday",K492,0))</x:f>
      </x:c>
      <x:c r="E493" s="32">
        <x:f>C493+D493</x:f>
      </x:c>
      <x:c r="F493" s="32">
        <x:f>IF(B493="Holiday",IF(Dashboard!$B$14="Principal Only",MIN(Dashboard!$B$15,C493),0),0)</x:f>
      </x:c>
      <x:c r="G493" s="32" t="n">
        <x:f>IF(B493="Closed",0,IF(B493="Holiday",IF(Dashboard!$B$14="Interest Only",C493*Dashboard!$F$6,MAX(0,(C493-F493)*Dashboard!$F$6)),E493*Dashboard!$F$6))</x:f>
        <x:v>0</x:v>
      </x:c>
      <x:c r="H493" s="32" t="n">
        <x:f>IF(B493="Holiday",IF(Dashboard!$B$14="Interest Only",G493,F493),IF(B493="Closed",0,MIN(Dashboard!$F$10,E493+G493)))</x:f>
        <x:v>0</x:v>
      </x:c>
      <x:c r="I493" s="32" t="n">
        <x:f>IF(B493="Holiday",F493,IF(B493="Closed",0,MAX(0,H493-G493)))</x:f>
        <x:v>0</x:v>
      </x:c>
      <x:c r="J493" s="32" t="n">
        <x:f>IF(B493="Holiday",MAX(0,C493-F493),IF(B493="Closed",0,MAX(0,E493-I493)))</x:f>
        <x:v>0</x:v>
      </x:c>
      <x:c r="K493" s="32" t="n">
        <x:f>IF(B493="Holiday",IF(Dashboard!$B$14="Interest Only",D493,D493+G493),0)</x:f>
        <x:v>0</x:v>
      </x:c>
      <x:c r="L493" s="32" t="n">
        <x:f>J493+K493</x:f>
        <x:v>0</x:v>
      </x:c>
      <x:c r="M493" s="32" t="n">
        <x:f>IF(A493=1,H493,M492+H493)</x:f>
        <x:v>0</x:v>
      </x:c>
      <x:c r="N493" s="32" t="n">
        <x:f>IF(A493=1,I493,N492+I493)</x:f>
        <x:v>0</x:v>
      </x:c>
      <x:c r="O493" s="32" t="n">
        <x:f>IF(A493=1,G493,O492+G493)</x:f>
        <x:v>3671325</x:v>
      </x:c>
      <x:c r="P493" s="37" t="n">
        <x:f>EDATE(Dashboard!$B$10,A493)</x:f>
        <x:v>59993</x:v>
      </x:c>
    </x:row>
    <x:row r="494">
      <x:c r="A494" s="33" t="n">
        <x:v>493</x:v>
      </x:c>
      <x:c r="B494" s="33" t="str">
        <x:f>IF(A494&lt;=Dashboard!$F$8,"Holiday",IF(A494&lt;=Dashboard!$F$8+Dashboard!$F$7,"Repayment","Closed"))</x:f>
        <x:v>Closed</x:v>
      </x:c>
      <x:c r="C494" s="32">
        <x:f>IF(A494=1,Dashboard!$B$6,IF(B494="Holiday",J493,L493))</x:f>
      </x:c>
      <x:c r="D494" s="32">
        <x:f>IF(A494=1,0,IF(B494="Holiday",K493,0))</x:f>
      </x:c>
      <x:c r="E494" s="32">
        <x:f>C494+D494</x:f>
      </x:c>
      <x:c r="F494" s="32">
        <x:f>IF(B494="Holiday",IF(Dashboard!$B$14="Principal Only",MIN(Dashboard!$B$15,C494),0),0)</x:f>
      </x:c>
      <x:c r="G494" s="32" t="n">
        <x:f>IF(B494="Closed",0,IF(B494="Holiday",IF(Dashboard!$B$14="Interest Only",C494*Dashboard!$F$6,MAX(0,(C494-F494)*Dashboard!$F$6)),E494*Dashboard!$F$6))</x:f>
        <x:v>0</x:v>
      </x:c>
      <x:c r="H494" s="32" t="n">
        <x:f>IF(B494="Holiday",IF(Dashboard!$B$14="Interest Only",G494,F494),IF(B494="Closed",0,MIN(Dashboard!$F$10,E494+G494)))</x:f>
        <x:v>0</x:v>
      </x:c>
      <x:c r="I494" s="32" t="n">
        <x:f>IF(B494="Holiday",F494,IF(B494="Closed",0,MAX(0,H494-G494)))</x:f>
        <x:v>0</x:v>
      </x:c>
      <x:c r="J494" s="32" t="n">
        <x:f>IF(B494="Holiday",MAX(0,C494-F494),IF(B494="Closed",0,MAX(0,E494-I494)))</x:f>
        <x:v>0</x:v>
      </x:c>
      <x:c r="K494" s="32" t="n">
        <x:f>IF(B494="Holiday",IF(Dashboard!$B$14="Interest Only",D494,D494+G494),0)</x:f>
        <x:v>0</x:v>
      </x:c>
      <x:c r="L494" s="32" t="n">
        <x:f>J494+K494</x:f>
        <x:v>0</x:v>
      </x:c>
      <x:c r="M494" s="32" t="n">
        <x:f>IF(A494=1,H494,M493+H494)</x:f>
        <x:v>0</x:v>
      </x:c>
      <x:c r="N494" s="32" t="n">
        <x:f>IF(A494=1,I494,N493+I494)</x:f>
        <x:v>0</x:v>
      </x:c>
      <x:c r="O494" s="32" t="n">
        <x:f>IF(A494=1,G494,O493+G494)</x:f>
        <x:v>3671325</x:v>
      </x:c>
      <x:c r="P494" s="37" t="n">
        <x:f>EDATE(Dashboard!$B$10,A494)</x:f>
        <x:v>60023</x:v>
      </x:c>
    </x:row>
    <x:row r="495">
      <x:c r="A495" s="33" t="n">
        <x:v>494</x:v>
      </x:c>
      <x:c r="B495" s="33" t="str">
        <x:f>IF(A495&lt;=Dashboard!$F$8,"Holiday",IF(A495&lt;=Dashboard!$F$8+Dashboard!$F$7,"Repayment","Closed"))</x:f>
        <x:v>Closed</x:v>
      </x:c>
      <x:c r="C495" s="32">
        <x:f>IF(A495=1,Dashboard!$B$6,IF(B495="Holiday",J494,L494))</x:f>
      </x:c>
      <x:c r="D495" s="32">
        <x:f>IF(A495=1,0,IF(B495="Holiday",K494,0))</x:f>
      </x:c>
      <x:c r="E495" s="32">
        <x:f>C495+D495</x:f>
      </x:c>
      <x:c r="F495" s="32">
        <x:f>IF(B495="Holiday",IF(Dashboard!$B$14="Principal Only",MIN(Dashboard!$B$15,C495),0),0)</x:f>
      </x:c>
      <x:c r="G495" s="32" t="n">
        <x:f>IF(B495="Closed",0,IF(B495="Holiday",IF(Dashboard!$B$14="Interest Only",C495*Dashboard!$F$6,MAX(0,(C495-F495)*Dashboard!$F$6)),E495*Dashboard!$F$6))</x:f>
        <x:v>0</x:v>
      </x:c>
      <x:c r="H495" s="32" t="n">
        <x:f>IF(B495="Holiday",IF(Dashboard!$B$14="Interest Only",G495,F495),IF(B495="Closed",0,MIN(Dashboard!$F$10,E495+G495)))</x:f>
        <x:v>0</x:v>
      </x:c>
      <x:c r="I495" s="32" t="n">
        <x:f>IF(B495="Holiday",F495,IF(B495="Closed",0,MAX(0,H495-G495)))</x:f>
        <x:v>0</x:v>
      </x:c>
      <x:c r="J495" s="32" t="n">
        <x:f>IF(B495="Holiday",MAX(0,C495-F495),IF(B495="Closed",0,MAX(0,E495-I495)))</x:f>
        <x:v>0</x:v>
      </x:c>
      <x:c r="K495" s="32" t="n">
        <x:f>IF(B495="Holiday",IF(Dashboard!$B$14="Interest Only",D495,D495+G495),0)</x:f>
        <x:v>0</x:v>
      </x:c>
      <x:c r="L495" s="32" t="n">
        <x:f>J495+K495</x:f>
        <x:v>0</x:v>
      </x:c>
      <x:c r="M495" s="32" t="n">
        <x:f>IF(A495=1,H495,M494+H495)</x:f>
        <x:v>0</x:v>
      </x:c>
      <x:c r="N495" s="32" t="n">
        <x:f>IF(A495=1,I495,N494+I495)</x:f>
        <x:v>0</x:v>
      </x:c>
      <x:c r="O495" s="32" t="n">
        <x:f>IF(A495=1,G495,O494+G495)</x:f>
        <x:v>3671325</x:v>
      </x:c>
      <x:c r="P495" s="37" t="n">
        <x:f>EDATE(Dashboard!$B$10,A495)</x:f>
        <x:v>60054</x:v>
      </x:c>
    </x:row>
    <x:row r="496">
      <x:c r="A496" s="33" t="n">
        <x:v>495</x:v>
      </x:c>
      <x:c r="B496" s="33" t="str">
        <x:f>IF(A496&lt;=Dashboard!$F$8,"Holiday",IF(A496&lt;=Dashboard!$F$8+Dashboard!$F$7,"Repayment","Closed"))</x:f>
        <x:v>Closed</x:v>
      </x:c>
      <x:c r="C496" s="32">
        <x:f>IF(A496=1,Dashboard!$B$6,IF(B496="Holiday",J495,L495))</x:f>
      </x:c>
      <x:c r="D496" s="32">
        <x:f>IF(A496=1,0,IF(B496="Holiday",K495,0))</x:f>
      </x:c>
      <x:c r="E496" s="32">
        <x:f>C496+D496</x:f>
      </x:c>
      <x:c r="F496" s="32">
        <x:f>IF(B496="Holiday",IF(Dashboard!$B$14="Principal Only",MIN(Dashboard!$B$15,C496),0),0)</x:f>
      </x:c>
      <x:c r="G496" s="32" t="n">
        <x:f>IF(B496="Closed",0,IF(B496="Holiday",IF(Dashboard!$B$14="Interest Only",C496*Dashboard!$F$6,MAX(0,(C496-F496)*Dashboard!$F$6)),E496*Dashboard!$F$6))</x:f>
        <x:v>0</x:v>
      </x:c>
      <x:c r="H496" s="32" t="n">
        <x:f>IF(B496="Holiday",IF(Dashboard!$B$14="Interest Only",G496,F496),IF(B496="Closed",0,MIN(Dashboard!$F$10,E496+G496)))</x:f>
        <x:v>0</x:v>
      </x:c>
      <x:c r="I496" s="32" t="n">
        <x:f>IF(B496="Holiday",F496,IF(B496="Closed",0,MAX(0,H496-G496)))</x:f>
        <x:v>0</x:v>
      </x:c>
      <x:c r="J496" s="32" t="n">
        <x:f>IF(B496="Holiday",MAX(0,C496-F496),IF(B496="Closed",0,MAX(0,E496-I496)))</x:f>
        <x:v>0</x:v>
      </x:c>
      <x:c r="K496" s="32" t="n">
        <x:f>IF(B496="Holiday",IF(Dashboard!$B$14="Interest Only",D496,D496+G496),0)</x:f>
        <x:v>0</x:v>
      </x:c>
      <x:c r="L496" s="32" t="n">
        <x:f>J496+K496</x:f>
        <x:v>0</x:v>
      </x:c>
      <x:c r="M496" s="32" t="n">
        <x:f>IF(A496=1,H496,M495+H496)</x:f>
        <x:v>0</x:v>
      </x:c>
      <x:c r="N496" s="32" t="n">
        <x:f>IF(A496=1,I496,N495+I496)</x:f>
        <x:v>0</x:v>
      </x:c>
      <x:c r="O496" s="32" t="n">
        <x:f>IF(A496=1,G496,O495+G496)</x:f>
        <x:v>3671325</x:v>
      </x:c>
      <x:c r="P496" s="37" t="n">
        <x:f>EDATE(Dashboard!$B$10,A496)</x:f>
        <x:v>60084</x:v>
      </x:c>
    </x:row>
    <x:row r="497">
      <x:c r="A497" s="33" t="n">
        <x:v>496</x:v>
      </x:c>
      <x:c r="B497" s="33" t="str">
        <x:f>IF(A497&lt;=Dashboard!$F$8,"Holiday",IF(A497&lt;=Dashboard!$F$8+Dashboard!$F$7,"Repayment","Closed"))</x:f>
        <x:v>Closed</x:v>
      </x:c>
      <x:c r="C497" s="32">
        <x:f>IF(A497=1,Dashboard!$B$6,IF(B497="Holiday",J496,L496))</x:f>
      </x:c>
      <x:c r="D497" s="32">
        <x:f>IF(A497=1,0,IF(B497="Holiday",K496,0))</x:f>
      </x:c>
      <x:c r="E497" s="32">
        <x:f>C497+D497</x:f>
      </x:c>
      <x:c r="F497" s="32">
        <x:f>IF(B497="Holiday",IF(Dashboard!$B$14="Principal Only",MIN(Dashboard!$B$15,C497),0),0)</x:f>
      </x:c>
      <x:c r="G497" s="32" t="n">
        <x:f>IF(B497="Closed",0,IF(B497="Holiday",IF(Dashboard!$B$14="Interest Only",C497*Dashboard!$F$6,MAX(0,(C497-F497)*Dashboard!$F$6)),E497*Dashboard!$F$6))</x:f>
        <x:v>0</x:v>
      </x:c>
      <x:c r="H497" s="32" t="n">
        <x:f>IF(B497="Holiday",IF(Dashboard!$B$14="Interest Only",G497,F497),IF(B497="Closed",0,MIN(Dashboard!$F$10,E497+G497)))</x:f>
        <x:v>0</x:v>
      </x:c>
      <x:c r="I497" s="32" t="n">
        <x:f>IF(B497="Holiday",F497,IF(B497="Closed",0,MAX(0,H497-G497)))</x:f>
        <x:v>0</x:v>
      </x:c>
      <x:c r="J497" s="32" t="n">
        <x:f>IF(B497="Holiday",MAX(0,C497-F497),IF(B497="Closed",0,MAX(0,E497-I497)))</x:f>
        <x:v>0</x:v>
      </x:c>
      <x:c r="K497" s="32" t="n">
        <x:f>IF(B497="Holiday",IF(Dashboard!$B$14="Interest Only",D497,D497+G497),0)</x:f>
        <x:v>0</x:v>
      </x:c>
      <x:c r="L497" s="32" t="n">
        <x:f>J497+K497</x:f>
        <x:v>0</x:v>
      </x:c>
      <x:c r="M497" s="32" t="n">
        <x:f>IF(A497=1,H497,M496+H497)</x:f>
        <x:v>0</x:v>
      </x:c>
      <x:c r="N497" s="32" t="n">
        <x:f>IF(A497=1,I497,N496+I497)</x:f>
        <x:v>0</x:v>
      </x:c>
      <x:c r="O497" s="32" t="n">
        <x:f>IF(A497=1,G497,O496+G497)</x:f>
        <x:v>3671325</x:v>
      </x:c>
      <x:c r="P497" s="37" t="n">
        <x:f>EDATE(Dashboard!$B$10,A497)</x:f>
        <x:v>60115</x:v>
      </x:c>
    </x:row>
    <x:row r="498">
      <x:c r="A498" s="33" t="n">
        <x:v>497</x:v>
      </x:c>
      <x:c r="B498" s="33" t="str">
        <x:f>IF(A498&lt;=Dashboard!$F$8,"Holiday",IF(A498&lt;=Dashboard!$F$8+Dashboard!$F$7,"Repayment","Closed"))</x:f>
        <x:v>Closed</x:v>
      </x:c>
      <x:c r="C498" s="32">
        <x:f>IF(A498=1,Dashboard!$B$6,IF(B498="Holiday",J497,L497))</x:f>
      </x:c>
      <x:c r="D498" s="32">
        <x:f>IF(A498=1,0,IF(B498="Holiday",K497,0))</x:f>
      </x:c>
      <x:c r="E498" s="32">
        <x:f>C498+D498</x:f>
      </x:c>
      <x:c r="F498" s="32">
        <x:f>IF(B498="Holiday",IF(Dashboard!$B$14="Principal Only",MIN(Dashboard!$B$15,C498),0),0)</x:f>
      </x:c>
      <x:c r="G498" s="32" t="n">
        <x:f>IF(B498="Closed",0,IF(B498="Holiday",IF(Dashboard!$B$14="Interest Only",C498*Dashboard!$F$6,MAX(0,(C498-F498)*Dashboard!$F$6)),E498*Dashboard!$F$6))</x:f>
        <x:v>0</x:v>
      </x:c>
      <x:c r="H498" s="32" t="n">
        <x:f>IF(B498="Holiday",IF(Dashboard!$B$14="Interest Only",G498,F498),IF(B498="Closed",0,MIN(Dashboard!$F$10,E498+G498)))</x:f>
        <x:v>0</x:v>
      </x:c>
      <x:c r="I498" s="32" t="n">
        <x:f>IF(B498="Holiday",F498,IF(B498="Closed",0,MAX(0,H498-G498)))</x:f>
        <x:v>0</x:v>
      </x:c>
      <x:c r="J498" s="32" t="n">
        <x:f>IF(B498="Holiday",MAX(0,C498-F498),IF(B498="Closed",0,MAX(0,E498-I498)))</x:f>
        <x:v>0</x:v>
      </x:c>
      <x:c r="K498" s="32" t="n">
        <x:f>IF(B498="Holiday",IF(Dashboard!$B$14="Interest Only",D498,D498+G498),0)</x:f>
        <x:v>0</x:v>
      </x:c>
      <x:c r="L498" s="32" t="n">
        <x:f>J498+K498</x:f>
        <x:v>0</x:v>
      </x:c>
      <x:c r="M498" s="32" t="n">
        <x:f>IF(A498=1,H498,M497+H498)</x:f>
        <x:v>0</x:v>
      </x:c>
      <x:c r="N498" s="32" t="n">
        <x:f>IF(A498=1,I498,N497+I498)</x:f>
        <x:v>0</x:v>
      </x:c>
      <x:c r="O498" s="32" t="n">
        <x:f>IF(A498=1,G498,O497+G498)</x:f>
        <x:v>3671325</x:v>
      </x:c>
      <x:c r="P498" s="37" t="n">
        <x:f>EDATE(Dashboard!$B$10,A498)</x:f>
        <x:v>60146</x:v>
      </x:c>
    </x:row>
    <x:row r="499">
      <x:c r="A499" s="33" t="n">
        <x:v>498</x:v>
      </x:c>
      <x:c r="B499" s="33" t="str">
        <x:f>IF(A499&lt;=Dashboard!$F$8,"Holiday",IF(A499&lt;=Dashboard!$F$8+Dashboard!$F$7,"Repayment","Closed"))</x:f>
        <x:v>Closed</x:v>
      </x:c>
      <x:c r="C499" s="32">
        <x:f>IF(A499=1,Dashboard!$B$6,IF(B499="Holiday",J498,L498))</x:f>
      </x:c>
      <x:c r="D499" s="32">
        <x:f>IF(A499=1,0,IF(B499="Holiday",K498,0))</x:f>
      </x:c>
      <x:c r="E499" s="32">
        <x:f>C499+D499</x:f>
      </x:c>
      <x:c r="F499" s="32">
        <x:f>IF(B499="Holiday",IF(Dashboard!$B$14="Principal Only",MIN(Dashboard!$B$15,C499),0),0)</x:f>
      </x:c>
      <x:c r="G499" s="32" t="n">
        <x:f>IF(B499="Closed",0,IF(B499="Holiday",IF(Dashboard!$B$14="Interest Only",C499*Dashboard!$F$6,MAX(0,(C499-F499)*Dashboard!$F$6)),E499*Dashboard!$F$6))</x:f>
        <x:v>0</x:v>
      </x:c>
      <x:c r="H499" s="32" t="n">
        <x:f>IF(B499="Holiday",IF(Dashboard!$B$14="Interest Only",G499,F499),IF(B499="Closed",0,MIN(Dashboard!$F$10,E499+G499)))</x:f>
        <x:v>0</x:v>
      </x:c>
      <x:c r="I499" s="32" t="n">
        <x:f>IF(B499="Holiday",F499,IF(B499="Closed",0,MAX(0,H499-G499)))</x:f>
        <x:v>0</x:v>
      </x:c>
      <x:c r="J499" s="32" t="n">
        <x:f>IF(B499="Holiday",MAX(0,C499-F499),IF(B499="Closed",0,MAX(0,E499-I499)))</x:f>
        <x:v>0</x:v>
      </x:c>
      <x:c r="K499" s="32" t="n">
        <x:f>IF(B499="Holiday",IF(Dashboard!$B$14="Interest Only",D499,D499+G499),0)</x:f>
        <x:v>0</x:v>
      </x:c>
      <x:c r="L499" s="32" t="n">
        <x:f>J499+K499</x:f>
        <x:v>0</x:v>
      </x:c>
      <x:c r="M499" s="32" t="n">
        <x:f>IF(A499=1,H499,M498+H499)</x:f>
        <x:v>0</x:v>
      </x:c>
      <x:c r="N499" s="32" t="n">
        <x:f>IF(A499=1,I499,N498+I499)</x:f>
        <x:v>0</x:v>
      </x:c>
      <x:c r="O499" s="32" t="n">
        <x:f>IF(A499=1,G499,O498+G499)</x:f>
        <x:v>3671325</x:v>
      </x:c>
      <x:c r="P499" s="37" t="n">
        <x:f>EDATE(Dashboard!$B$10,A499)</x:f>
        <x:v>60176</x:v>
      </x:c>
    </x:row>
    <x:row r="500">
      <x:c r="A500" s="33" t="n">
        <x:v>499</x:v>
      </x:c>
      <x:c r="B500" s="33" t="str">
        <x:f>IF(A500&lt;=Dashboard!$F$8,"Holiday",IF(A500&lt;=Dashboard!$F$8+Dashboard!$F$7,"Repayment","Closed"))</x:f>
        <x:v>Closed</x:v>
      </x:c>
      <x:c r="C500" s="32">
        <x:f>IF(A500=1,Dashboard!$B$6,IF(B500="Holiday",J499,L499))</x:f>
      </x:c>
      <x:c r="D500" s="32">
        <x:f>IF(A500=1,0,IF(B500="Holiday",K499,0))</x:f>
      </x:c>
      <x:c r="E500" s="32">
        <x:f>C500+D500</x:f>
      </x:c>
      <x:c r="F500" s="32">
        <x:f>IF(B500="Holiday",IF(Dashboard!$B$14="Principal Only",MIN(Dashboard!$B$15,C500),0),0)</x:f>
      </x:c>
      <x:c r="G500" s="32" t="n">
        <x:f>IF(B500="Closed",0,IF(B500="Holiday",IF(Dashboard!$B$14="Interest Only",C500*Dashboard!$F$6,MAX(0,(C500-F500)*Dashboard!$F$6)),E500*Dashboard!$F$6))</x:f>
        <x:v>0</x:v>
      </x:c>
      <x:c r="H500" s="32" t="n">
        <x:f>IF(B500="Holiday",IF(Dashboard!$B$14="Interest Only",G500,F500),IF(B500="Closed",0,MIN(Dashboard!$F$10,E500+G500)))</x:f>
        <x:v>0</x:v>
      </x:c>
      <x:c r="I500" s="32" t="n">
        <x:f>IF(B500="Holiday",F500,IF(B500="Closed",0,MAX(0,H500-G500)))</x:f>
        <x:v>0</x:v>
      </x:c>
      <x:c r="J500" s="32" t="n">
        <x:f>IF(B500="Holiday",MAX(0,C500-F500),IF(B500="Closed",0,MAX(0,E500-I500)))</x:f>
        <x:v>0</x:v>
      </x:c>
      <x:c r="K500" s="32" t="n">
        <x:f>IF(B500="Holiday",IF(Dashboard!$B$14="Interest Only",D500,D500+G500),0)</x:f>
        <x:v>0</x:v>
      </x:c>
      <x:c r="L500" s="32" t="n">
        <x:f>J500+K500</x:f>
        <x:v>0</x:v>
      </x:c>
      <x:c r="M500" s="32" t="n">
        <x:f>IF(A500=1,H500,M499+H500)</x:f>
        <x:v>0</x:v>
      </x:c>
      <x:c r="N500" s="32" t="n">
        <x:f>IF(A500=1,I500,N499+I500)</x:f>
        <x:v>0</x:v>
      </x:c>
      <x:c r="O500" s="32" t="n">
        <x:f>IF(A500=1,G500,O499+G500)</x:f>
        <x:v>3671325</x:v>
      </x:c>
      <x:c r="P500" s="37" t="n">
        <x:f>EDATE(Dashboard!$B$10,A500)</x:f>
        <x:v>60207</x:v>
      </x:c>
    </x:row>
    <x:row r="501">
      <x:c r="A501" s="33" t="n">
        <x:v>500</x:v>
      </x:c>
      <x:c r="B501" s="33" t="str">
        <x:f>IF(A501&lt;=Dashboard!$F$8,"Holiday",IF(A501&lt;=Dashboard!$F$8+Dashboard!$F$7,"Repayment","Closed"))</x:f>
        <x:v>Closed</x:v>
      </x:c>
      <x:c r="C501" s="32">
        <x:f>IF(A501=1,Dashboard!$B$6,IF(B501="Holiday",J500,L500))</x:f>
      </x:c>
      <x:c r="D501" s="32">
        <x:f>IF(A501=1,0,IF(B501="Holiday",K500,0))</x:f>
      </x:c>
      <x:c r="E501" s="32">
        <x:f>C501+D501</x:f>
      </x:c>
      <x:c r="F501" s="32">
        <x:f>IF(B501="Holiday",IF(Dashboard!$B$14="Principal Only",MIN(Dashboard!$B$15,C501),0),0)</x:f>
      </x:c>
      <x:c r="G501" s="32" t="n">
        <x:f>IF(B501="Closed",0,IF(B501="Holiday",IF(Dashboard!$B$14="Interest Only",C501*Dashboard!$F$6,MAX(0,(C501-F501)*Dashboard!$F$6)),E501*Dashboard!$F$6))</x:f>
        <x:v>0</x:v>
      </x:c>
      <x:c r="H501" s="32" t="n">
        <x:f>IF(B501="Holiday",IF(Dashboard!$B$14="Interest Only",G501,F501),IF(B501="Closed",0,MIN(Dashboard!$F$10,E501+G501)))</x:f>
        <x:v>0</x:v>
      </x:c>
      <x:c r="I501" s="32" t="n">
        <x:f>IF(B501="Holiday",F501,IF(B501="Closed",0,MAX(0,H501-G501)))</x:f>
        <x:v>0</x:v>
      </x:c>
      <x:c r="J501" s="32" t="n">
        <x:f>IF(B501="Holiday",MAX(0,C501-F501),IF(B501="Closed",0,MAX(0,E501-I501)))</x:f>
        <x:v>0</x:v>
      </x:c>
      <x:c r="K501" s="32" t="n">
        <x:f>IF(B501="Holiday",IF(Dashboard!$B$14="Interest Only",D501,D501+G501),0)</x:f>
        <x:v>0</x:v>
      </x:c>
      <x:c r="L501" s="32" t="n">
        <x:f>J501+K501</x:f>
        <x:v>0</x:v>
      </x:c>
      <x:c r="M501" s="32" t="n">
        <x:f>IF(A501=1,H501,M500+H501)</x:f>
        <x:v>0</x:v>
      </x:c>
      <x:c r="N501" s="32" t="n">
        <x:f>IF(A501=1,I501,N500+I501)</x:f>
        <x:v>0</x:v>
      </x:c>
      <x:c r="O501" s="32" t="n">
        <x:f>IF(A501=1,G501,O500+G501)</x:f>
        <x:v>3671325</x:v>
      </x:c>
      <x:c r="P501" s="37" t="n">
        <x:f>EDATE(Dashboard!$B$10,A501)</x:f>
        <x:v>60237</x:v>
      </x:c>
    </x:row>
    <x:row r="502">
      <x:c r="A502" s="33" t="n">
        <x:v>501</x:v>
      </x:c>
      <x:c r="B502" s="33" t="str">
        <x:f>IF(A502&lt;=Dashboard!$F$8,"Holiday",IF(A502&lt;=Dashboard!$F$8+Dashboard!$F$7,"Repayment","Closed"))</x:f>
        <x:v>Closed</x:v>
      </x:c>
      <x:c r="C502" s="32">
        <x:f>IF(A502=1,Dashboard!$B$6,IF(B502="Holiday",J501,L501))</x:f>
      </x:c>
      <x:c r="D502" s="32">
        <x:f>IF(A502=1,0,IF(B502="Holiday",K501,0))</x:f>
      </x:c>
      <x:c r="E502" s="32">
        <x:f>C502+D502</x:f>
      </x:c>
      <x:c r="F502" s="32">
        <x:f>IF(B502="Holiday",IF(Dashboard!$B$14="Principal Only",MIN(Dashboard!$B$15,C502),0),0)</x:f>
      </x:c>
      <x:c r="G502" s="32" t="n">
        <x:f>IF(B502="Closed",0,IF(B502="Holiday",IF(Dashboard!$B$14="Interest Only",C502*Dashboard!$F$6,MAX(0,(C502-F502)*Dashboard!$F$6)),E502*Dashboard!$F$6))</x:f>
        <x:v>0</x:v>
      </x:c>
      <x:c r="H502" s="32" t="n">
        <x:f>IF(B502="Holiday",IF(Dashboard!$B$14="Interest Only",G502,F502),IF(B502="Closed",0,MIN(Dashboard!$F$10,E502+G502)))</x:f>
        <x:v>0</x:v>
      </x:c>
      <x:c r="I502" s="32" t="n">
        <x:f>IF(B502="Holiday",F502,IF(B502="Closed",0,MAX(0,H502-G502)))</x:f>
        <x:v>0</x:v>
      </x:c>
      <x:c r="J502" s="32" t="n">
        <x:f>IF(B502="Holiday",MAX(0,C502-F502),IF(B502="Closed",0,MAX(0,E502-I502)))</x:f>
        <x:v>0</x:v>
      </x:c>
      <x:c r="K502" s="32" t="n">
        <x:f>IF(B502="Holiday",IF(Dashboard!$B$14="Interest Only",D502,D502+G502),0)</x:f>
        <x:v>0</x:v>
      </x:c>
      <x:c r="L502" s="32" t="n">
        <x:f>J502+K502</x:f>
        <x:v>0</x:v>
      </x:c>
      <x:c r="M502" s="32" t="n">
        <x:f>IF(A502=1,H502,M501+H502)</x:f>
        <x:v>0</x:v>
      </x:c>
      <x:c r="N502" s="32" t="n">
        <x:f>IF(A502=1,I502,N501+I502)</x:f>
        <x:v>0</x:v>
      </x:c>
      <x:c r="O502" s="32" t="n">
        <x:f>IF(A502=1,G502,O501+G502)</x:f>
        <x:v>3671325</x:v>
      </x:c>
      <x:c r="P502" s="37" t="n">
        <x:f>EDATE(Dashboard!$B$10,A502)</x:f>
        <x:v>60268</x:v>
      </x:c>
    </x:row>
    <x:row r="503">
      <x:c r="A503" s="33" t="n">
        <x:v>502</x:v>
      </x:c>
      <x:c r="B503" s="33" t="str">
        <x:f>IF(A503&lt;=Dashboard!$F$8,"Holiday",IF(A503&lt;=Dashboard!$F$8+Dashboard!$F$7,"Repayment","Closed"))</x:f>
        <x:v>Closed</x:v>
      </x:c>
      <x:c r="C503" s="32">
        <x:f>IF(A503=1,Dashboard!$B$6,IF(B503="Holiday",J502,L502))</x:f>
      </x:c>
      <x:c r="D503" s="32">
        <x:f>IF(A503=1,0,IF(B503="Holiday",K502,0))</x:f>
      </x:c>
      <x:c r="E503" s="32">
        <x:f>C503+D503</x:f>
      </x:c>
      <x:c r="F503" s="32">
        <x:f>IF(B503="Holiday",IF(Dashboard!$B$14="Principal Only",MIN(Dashboard!$B$15,C503),0),0)</x:f>
      </x:c>
      <x:c r="G503" s="32" t="n">
        <x:f>IF(B503="Closed",0,IF(B503="Holiday",IF(Dashboard!$B$14="Interest Only",C503*Dashboard!$F$6,MAX(0,(C503-F503)*Dashboard!$F$6)),E503*Dashboard!$F$6))</x:f>
        <x:v>0</x:v>
      </x:c>
      <x:c r="H503" s="32" t="n">
        <x:f>IF(B503="Holiday",IF(Dashboard!$B$14="Interest Only",G503,F503),IF(B503="Closed",0,MIN(Dashboard!$F$10,E503+G503)))</x:f>
        <x:v>0</x:v>
      </x:c>
      <x:c r="I503" s="32" t="n">
        <x:f>IF(B503="Holiday",F503,IF(B503="Closed",0,MAX(0,H503-G503)))</x:f>
        <x:v>0</x:v>
      </x:c>
      <x:c r="J503" s="32" t="n">
        <x:f>IF(B503="Holiday",MAX(0,C503-F503),IF(B503="Closed",0,MAX(0,E503-I503)))</x:f>
        <x:v>0</x:v>
      </x:c>
      <x:c r="K503" s="32" t="n">
        <x:f>IF(B503="Holiday",IF(Dashboard!$B$14="Interest Only",D503,D503+G503),0)</x:f>
        <x:v>0</x:v>
      </x:c>
      <x:c r="L503" s="32" t="n">
        <x:f>J503+K503</x:f>
        <x:v>0</x:v>
      </x:c>
      <x:c r="M503" s="32" t="n">
        <x:f>IF(A503=1,H503,M502+H503)</x:f>
        <x:v>0</x:v>
      </x:c>
      <x:c r="N503" s="32" t="n">
        <x:f>IF(A503=1,I503,N502+I503)</x:f>
        <x:v>0</x:v>
      </x:c>
      <x:c r="O503" s="32" t="n">
        <x:f>IF(A503=1,G503,O502+G503)</x:f>
        <x:v>3671325</x:v>
      </x:c>
      <x:c r="P503" s="37" t="n">
        <x:f>EDATE(Dashboard!$B$10,A503)</x:f>
        <x:v>60299</x:v>
      </x:c>
    </x:row>
    <x:row r="504">
      <x:c r="A504" s="33" t="n">
        <x:v>503</x:v>
      </x:c>
      <x:c r="B504" s="33" t="str">
        <x:f>IF(A504&lt;=Dashboard!$F$8,"Holiday",IF(A504&lt;=Dashboard!$F$8+Dashboard!$F$7,"Repayment","Closed"))</x:f>
        <x:v>Closed</x:v>
      </x:c>
      <x:c r="C504" s="32">
        <x:f>IF(A504=1,Dashboard!$B$6,IF(B504="Holiday",J503,L503))</x:f>
      </x:c>
      <x:c r="D504" s="32">
        <x:f>IF(A504=1,0,IF(B504="Holiday",K503,0))</x:f>
      </x:c>
      <x:c r="E504" s="32">
        <x:f>C504+D504</x:f>
      </x:c>
      <x:c r="F504" s="32">
        <x:f>IF(B504="Holiday",IF(Dashboard!$B$14="Principal Only",MIN(Dashboard!$B$15,C504),0),0)</x:f>
      </x:c>
      <x:c r="G504" s="32" t="n">
        <x:f>IF(B504="Closed",0,IF(B504="Holiday",IF(Dashboard!$B$14="Interest Only",C504*Dashboard!$F$6,MAX(0,(C504-F504)*Dashboard!$F$6)),E504*Dashboard!$F$6))</x:f>
        <x:v>0</x:v>
      </x:c>
      <x:c r="H504" s="32" t="n">
        <x:f>IF(B504="Holiday",IF(Dashboard!$B$14="Interest Only",G504,F504),IF(B504="Closed",0,MIN(Dashboard!$F$10,E504+G504)))</x:f>
        <x:v>0</x:v>
      </x:c>
      <x:c r="I504" s="32" t="n">
        <x:f>IF(B504="Holiday",F504,IF(B504="Closed",0,MAX(0,H504-G504)))</x:f>
        <x:v>0</x:v>
      </x:c>
      <x:c r="J504" s="32" t="n">
        <x:f>IF(B504="Holiday",MAX(0,C504-F504),IF(B504="Closed",0,MAX(0,E504-I504)))</x:f>
        <x:v>0</x:v>
      </x:c>
      <x:c r="K504" s="32" t="n">
        <x:f>IF(B504="Holiday",IF(Dashboard!$B$14="Interest Only",D504,D504+G504),0)</x:f>
        <x:v>0</x:v>
      </x:c>
      <x:c r="L504" s="32" t="n">
        <x:f>J504+K504</x:f>
        <x:v>0</x:v>
      </x:c>
      <x:c r="M504" s="32" t="n">
        <x:f>IF(A504=1,H504,M503+H504)</x:f>
        <x:v>0</x:v>
      </x:c>
      <x:c r="N504" s="32" t="n">
        <x:f>IF(A504=1,I504,N503+I504)</x:f>
        <x:v>0</x:v>
      </x:c>
      <x:c r="O504" s="32" t="n">
        <x:f>IF(A504=1,G504,O503+G504)</x:f>
        <x:v>3671325</x:v>
      </x:c>
      <x:c r="P504" s="37" t="n">
        <x:f>EDATE(Dashboard!$B$10,A504)</x:f>
        <x:v>60327</x:v>
      </x:c>
    </x:row>
    <x:row r="505">
      <x:c r="A505" s="33" t="n">
        <x:v>504</x:v>
      </x:c>
      <x:c r="B505" s="33" t="str">
        <x:f>IF(A505&lt;=Dashboard!$F$8,"Holiday",IF(A505&lt;=Dashboard!$F$8+Dashboard!$F$7,"Repayment","Closed"))</x:f>
        <x:v>Closed</x:v>
      </x:c>
      <x:c r="C505" s="32">
        <x:f>IF(A505=1,Dashboard!$B$6,IF(B505="Holiday",J504,L504))</x:f>
      </x:c>
      <x:c r="D505" s="32">
        <x:f>IF(A505=1,0,IF(B505="Holiday",K504,0))</x:f>
      </x:c>
      <x:c r="E505" s="32">
        <x:f>C505+D505</x:f>
      </x:c>
      <x:c r="F505" s="32">
        <x:f>IF(B505="Holiday",IF(Dashboard!$B$14="Principal Only",MIN(Dashboard!$B$15,C505),0),0)</x:f>
      </x:c>
      <x:c r="G505" s="32" t="n">
        <x:f>IF(B505="Closed",0,IF(B505="Holiday",IF(Dashboard!$B$14="Interest Only",C505*Dashboard!$F$6,MAX(0,(C505-F505)*Dashboard!$F$6)),E505*Dashboard!$F$6))</x:f>
        <x:v>0</x:v>
      </x:c>
      <x:c r="H505" s="32" t="n">
        <x:f>IF(B505="Holiday",IF(Dashboard!$B$14="Interest Only",G505,F505),IF(B505="Closed",0,MIN(Dashboard!$F$10,E505+G505)))</x:f>
        <x:v>0</x:v>
      </x:c>
      <x:c r="I505" s="32" t="n">
        <x:f>IF(B505="Holiday",F505,IF(B505="Closed",0,MAX(0,H505-G505)))</x:f>
        <x:v>0</x:v>
      </x:c>
      <x:c r="J505" s="32" t="n">
        <x:f>IF(B505="Holiday",MAX(0,C505-F505),IF(B505="Closed",0,MAX(0,E505-I505)))</x:f>
        <x:v>0</x:v>
      </x:c>
      <x:c r="K505" s="32" t="n">
        <x:f>IF(B505="Holiday",IF(Dashboard!$B$14="Interest Only",D505,D505+G505),0)</x:f>
        <x:v>0</x:v>
      </x:c>
      <x:c r="L505" s="32" t="n">
        <x:f>J505+K505</x:f>
        <x:v>0</x:v>
      </x:c>
      <x:c r="M505" s="32" t="n">
        <x:f>IF(A505=1,H505,M504+H505)</x:f>
        <x:v>0</x:v>
      </x:c>
      <x:c r="N505" s="32" t="n">
        <x:f>IF(A505=1,I505,N504+I505)</x:f>
        <x:v>0</x:v>
      </x:c>
      <x:c r="O505" s="32" t="n">
        <x:f>IF(A505=1,G505,O504+G505)</x:f>
        <x:v>3671325</x:v>
      </x:c>
      <x:c r="P505" s="37" t="n">
        <x:f>EDATE(Dashboard!$B$10,A505)</x:f>
        <x:v>60358</x:v>
      </x:c>
    </x:row>
    <x:row r="506">
      <x:c r="A506" s="33" t="n">
        <x:v>505</x:v>
      </x:c>
      <x:c r="B506" s="33" t="str">
        <x:f>IF(A506&lt;=Dashboard!$F$8,"Holiday",IF(A506&lt;=Dashboard!$F$8+Dashboard!$F$7,"Repayment","Closed"))</x:f>
        <x:v>Closed</x:v>
      </x:c>
      <x:c r="C506" s="32">
        <x:f>IF(A506=1,Dashboard!$B$6,IF(B506="Holiday",J505,L505))</x:f>
      </x:c>
      <x:c r="D506" s="32">
        <x:f>IF(A506=1,0,IF(B506="Holiday",K505,0))</x:f>
      </x:c>
      <x:c r="E506" s="32">
        <x:f>C506+D506</x:f>
      </x:c>
      <x:c r="F506" s="32">
        <x:f>IF(B506="Holiday",IF(Dashboard!$B$14="Principal Only",MIN(Dashboard!$B$15,C506),0),0)</x:f>
      </x:c>
      <x:c r="G506" s="32" t="n">
        <x:f>IF(B506="Closed",0,IF(B506="Holiday",IF(Dashboard!$B$14="Interest Only",C506*Dashboard!$F$6,MAX(0,(C506-F506)*Dashboard!$F$6)),E506*Dashboard!$F$6))</x:f>
        <x:v>0</x:v>
      </x:c>
      <x:c r="H506" s="32" t="n">
        <x:f>IF(B506="Holiday",IF(Dashboard!$B$14="Interest Only",G506,F506),IF(B506="Closed",0,MIN(Dashboard!$F$10,E506+G506)))</x:f>
        <x:v>0</x:v>
      </x:c>
      <x:c r="I506" s="32" t="n">
        <x:f>IF(B506="Holiday",F506,IF(B506="Closed",0,MAX(0,H506-G506)))</x:f>
        <x:v>0</x:v>
      </x:c>
      <x:c r="J506" s="32" t="n">
        <x:f>IF(B506="Holiday",MAX(0,C506-F506),IF(B506="Closed",0,MAX(0,E506-I506)))</x:f>
        <x:v>0</x:v>
      </x:c>
      <x:c r="K506" s="32" t="n">
        <x:f>IF(B506="Holiday",IF(Dashboard!$B$14="Interest Only",D506,D506+G506),0)</x:f>
        <x:v>0</x:v>
      </x:c>
      <x:c r="L506" s="32" t="n">
        <x:f>J506+K506</x:f>
        <x:v>0</x:v>
      </x:c>
      <x:c r="M506" s="32" t="n">
        <x:f>IF(A506=1,H506,M505+H506)</x:f>
        <x:v>0</x:v>
      </x:c>
      <x:c r="N506" s="32" t="n">
        <x:f>IF(A506=1,I506,N505+I506)</x:f>
        <x:v>0</x:v>
      </x:c>
      <x:c r="O506" s="32" t="n">
        <x:f>IF(A506=1,G506,O505+G506)</x:f>
        <x:v>3671325</x:v>
      </x:c>
      <x:c r="P506" s="37" t="n">
        <x:f>EDATE(Dashboard!$B$10,A506)</x:f>
        <x:v>60388</x:v>
      </x:c>
    </x:row>
    <x:row r="507">
      <x:c r="A507" s="33" t="n">
        <x:v>506</x:v>
      </x:c>
      <x:c r="B507" s="33" t="str">
        <x:f>IF(A507&lt;=Dashboard!$F$8,"Holiday",IF(A507&lt;=Dashboard!$F$8+Dashboard!$F$7,"Repayment","Closed"))</x:f>
        <x:v>Closed</x:v>
      </x:c>
      <x:c r="C507" s="32">
        <x:f>IF(A507=1,Dashboard!$B$6,IF(B507="Holiday",J506,L506))</x:f>
      </x:c>
      <x:c r="D507" s="32">
        <x:f>IF(A507=1,0,IF(B507="Holiday",K506,0))</x:f>
      </x:c>
      <x:c r="E507" s="32">
        <x:f>C507+D507</x:f>
      </x:c>
      <x:c r="F507" s="32">
        <x:f>IF(B507="Holiday",IF(Dashboard!$B$14="Principal Only",MIN(Dashboard!$B$15,C507),0),0)</x:f>
      </x:c>
      <x:c r="G507" s="32" t="n">
        <x:f>IF(B507="Closed",0,IF(B507="Holiday",IF(Dashboard!$B$14="Interest Only",C507*Dashboard!$F$6,MAX(0,(C507-F507)*Dashboard!$F$6)),E507*Dashboard!$F$6))</x:f>
        <x:v>0</x:v>
      </x:c>
      <x:c r="H507" s="32" t="n">
        <x:f>IF(B507="Holiday",IF(Dashboard!$B$14="Interest Only",G507,F507),IF(B507="Closed",0,MIN(Dashboard!$F$10,E507+G507)))</x:f>
        <x:v>0</x:v>
      </x:c>
      <x:c r="I507" s="32" t="n">
        <x:f>IF(B507="Holiday",F507,IF(B507="Closed",0,MAX(0,H507-G507)))</x:f>
        <x:v>0</x:v>
      </x:c>
      <x:c r="J507" s="32" t="n">
        <x:f>IF(B507="Holiday",MAX(0,C507-F507),IF(B507="Closed",0,MAX(0,E507-I507)))</x:f>
        <x:v>0</x:v>
      </x:c>
      <x:c r="K507" s="32" t="n">
        <x:f>IF(B507="Holiday",IF(Dashboard!$B$14="Interest Only",D507,D507+G507),0)</x:f>
        <x:v>0</x:v>
      </x:c>
      <x:c r="L507" s="32" t="n">
        <x:f>J507+K507</x:f>
        <x:v>0</x:v>
      </x:c>
      <x:c r="M507" s="32" t="n">
        <x:f>IF(A507=1,H507,M506+H507)</x:f>
        <x:v>0</x:v>
      </x:c>
      <x:c r="N507" s="32" t="n">
        <x:f>IF(A507=1,I507,N506+I507)</x:f>
        <x:v>0</x:v>
      </x:c>
      <x:c r="O507" s="32" t="n">
        <x:f>IF(A507=1,G507,O506+G507)</x:f>
        <x:v>3671325</x:v>
      </x:c>
      <x:c r="P507" s="37" t="n">
        <x:f>EDATE(Dashboard!$B$10,A507)</x:f>
        <x:v>60419</x:v>
      </x:c>
    </x:row>
    <x:row r="508">
      <x:c r="A508" s="33" t="n">
        <x:v>507</x:v>
      </x:c>
      <x:c r="B508" s="33" t="str">
        <x:f>IF(A508&lt;=Dashboard!$F$8,"Holiday",IF(A508&lt;=Dashboard!$F$8+Dashboard!$F$7,"Repayment","Closed"))</x:f>
        <x:v>Closed</x:v>
      </x:c>
      <x:c r="C508" s="32">
        <x:f>IF(A508=1,Dashboard!$B$6,IF(B508="Holiday",J507,L507))</x:f>
      </x:c>
      <x:c r="D508" s="32">
        <x:f>IF(A508=1,0,IF(B508="Holiday",K507,0))</x:f>
      </x:c>
      <x:c r="E508" s="32">
        <x:f>C508+D508</x:f>
      </x:c>
      <x:c r="F508" s="32">
        <x:f>IF(B508="Holiday",IF(Dashboard!$B$14="Principal Only",MIN(Dashboard!$B$15,C508),0),0)</x:f>
      </x:c>
      <x:c r="G508" s="32" t="n">
        <x:f>IF(B508="Closed",0,IF(B508="Holiday",IF(Dashboard!$B$14="Interest Only",C508*Dashboard!$F$6,MAX(0,(C508-F508)*Dashboard!$F$6)),E508*Dashboard!$F$6))</x:f>
        <x:v>0</x:v>
      </x:c>
      <x:c r="H508" s="32" t="n">
        <x:f>IF(B508="Holiday",IF(Dashboard!$B$14="Interest Only",G508,F508),IF(B508="Closed",0,MIN(Dashboard!$F$10,E508+G508)))</x:f>
        <x:v>0</x:v>
      </x:c>
      <x:c r="I508" s="32" t="n">
        <x:f>IF(B508="Holiday",F508,IF(B508="Closed",0,MAX(0,H508-G508)))</x:f>
        <x:v>0</x:v>
      </x:c>
      <x:c r="J508" s="32" t="n">
        <x:f>IF(B508="Holiday",MAX(0,C508-F508),IF(B508="Closed",0,MAX(0,E508-I508)))</x:f>
        <x:v>0</x:v>
      </x:c>
      <x:c r="K508" s="32" t="n">
        <x:f>IF(B508="Holiday",IF(Dashboard!$B$14="Interest Only",D508,D508+G508),0)</x:f>
        <x:v>0</x:v>
      </x:c>
      <x:c r="L508" s="32" t="n">
        <x:f>J508+K508</x:f>
        <x:v>0</x:v>
      </x:c>
      <x:c r="M508" s="32" t="n">
        <x:f>IF(A508=1,H508,M507+H508)</x:f>
        <x:v>0</x:v>
      </x:c>
      <x:c r="N508" s="32" t="n">
        <x:f>IF(A508=1,I508,N507+I508)</x:f>
        <x:v>0</x:v>
      </x:c>
      <x:c r="O508" s="32" t="n">
        <x:f>IF(A508=1,G508,O507+G508)</x:f>
        <x:v>3671325</x:v>
      </x:c>
      <x:c r="P508" s="37" t="n">
        <x:f>EDATE(Dashboard!$B$10,A508)</x:f>
        <x:v>60449</x:v>
      </x:c>
    </x:row>
    <x:row r="509">
      <x:c r="A509" s="33" t="n">
        <x:v>508</x:v>
      </x:c>
      <x:c r="B509" s="33" t="str">
        <x:f>IF(A509&lt;=Dashboard!$F$8,"Holiday",IF(A509&lt;=Dashboard!$F$8+Dashboard!$F$7,"Repayment","Closed"))</x:f>
        <x:v>Closed</x:v>
      </x:c>
      <x:c r="C509" s="32">
        <x:f>IF(A509=1,Dashboard!$B$6,IF(B509="Holiday",J508,L508))</x:f>
      </x:c>
      <x:c r="D509" s="32">
        <x:f>IF(A509=1,0,IF(B509="Holiday",K508,0))</x:f>
      </x:c>
      <x:c r="E509" s="32">
        <x:f>C509+D509</x:f>
      </x:c>
      <x:c r="F509" s="32">
        <x:f>IF(B509="Holiday",IF(Dashboard!$B$14="Principal Only",MIN(Dashboard!$B$15,C509),0),0)</x:f>
      </x:c>
      <x:c r="G509" s="32" t="n">
        <x:f>IF(B509="Closed",0,IF(B509="Holiday",IF(Dashboard!$B$14="Interest Only",C509*Dashboard!$F$6,MAX(0,(C509-F509)*Dashboard!$F$6)),E509*Dashboard!$F$6))</x:f>
        <x:v>0</x:v>
      </x:c>
      <x:c r="H509" s="32" t="n">
        <x:f>IF(B509="Holiday",IF(Dashboard!$B$14="Interest Only",G509,F509),IF(B509="Closed",0,MIN(Dashboard!$F$10,E509+G509)))</x:f>
        <x:v>0</x:v>
      </x:c>
      <x:c r="I509" s="32" t="n">
        <x:f>IF(B509="Holiday",F509,IF(B509="Closed",0,MAX(0,H509-G509)))</x:f>
        <x:v>0</x:v>
      </x:c>
      <x:c r="J509" s="32" t="n">
        <x:f>IF(B509="Holiday",MAX(0,C509-F509),IF(B509="Closed",0,MAX(0,E509-I509)))</x:f>
        <x:v>0</x:v>
      </x:c>
      <x:c r="K509" s="32" t="n">
        <x:f>IF(B509="Holiday",IF(Dashboard!$B$14="Interest Only",D509,D509+G509),0)</x:f>
        <x:v>0</x:v>
      </x:c>
      <x:c r="L509" s="32" t="n">
        <x:f>J509+K509</x:f>
        <x:v>0</x:v>
      </x:c>
      <x:c r="M509" s="32" t="n">
        <x:f>IF(A509=1,H509,M508+H509)</x:f>
        <x:v>0</x:v>
      </x:c>
      <x:c r="N509" s="32" t="n">
        <x:f>IF(A509=1,I509,N508+I509)</x:f>
        <x:v>0</x:v>
      </x:c>
      <x:c r="O509" s="32" t="n">
        <x:f>IF(A509=1,G509,O508+G509)</x:f>
        <x:v>3671325</x:v>
      </x:c>
      <x:c r="P509" s="37" t="n">
        <x:f>EDATE(Dashboard!$B$10,A509)</x:f>
        <x:v>60480</x:v>
      </x:c>
    </x:row>
    <x:row r="510">
      <x:c r="A510" s="33" t="n">
        <x:v>509</x:v>
      </x:c>
      <x:c r="B510" s="33" t="str">
        <x:f>IF(A510&lt;=Dashboard!$F$8,"Holiday",IF(A510&lt;=Dashboard!$F$8+Dashboard!$F$7,"Repayment","Closed"))</x:f>
        <x:v>Closed</x:v>
      </x:c>
      <x:c r="C510" s="32">
        <x:f>IF(A510=1,Dashboard!$B$6,IF(B510="Holiday",J509,L509))</x:f>
      </x:c>
      <x:c r="D510" s="32">
        <x:f>IF(A510=1,0,IF(B510="Holiday",K509,0))</x:f>
      </x:c>
      <x:c r="E510" s="32">
        <x:f>C510+D510</x:f>
      </x:c>
      <x:c r="F510" s="32">
        <x:f>IF(B510="Holiday",IF(Dashboard!$B$14="Principal Only",MIN(Dashboard!$B$15,C510),0),0)</x:f>
      </x:c>
      <x:c r="G510" s="32" t="n">
        <x:f>IF(B510="Closed",0,IF(B510="Holiday",IF(Dashboard!$B$14="Interest Only",C510*Dashboard!$F$6,MAX(0,(C510-F510)*Dashboard!$F$6)),E510*Dashboard!$F$6))</x:f>
        <x:v>0</x:v>
      </x:c>
      <x:c r="H510" s="32" t="n">
        <x:f>IF(B510="Holiday",IF(Dashboard!$B$14="Interest Only",G510,F510),IF(B510="Closed",0,MIN(Dashboard!$F$10,E510+G510)))</x:f>
        <x:v>0</x:v>
      </x:c>
      <x:c r="I510" s="32" t="n">
        <x:f>IF(B510="Holiday",F510,IF(B510="Closed",0,MAX(0,H510-G510)))</x:f>
        <x:v>0</x:v>
      </x:c>
      <x:c r="J510" s="32" t="n">
        <x:f>IF(B510="Holiday",MAX(0,C510-F510),IF(B510="Closed",0,MAX(0,E510-I510)))</x:f>
        <x:v>0</x:v>
      </x:c>
      <x:c r="K510" s="32" t="n">
        <x:f>IF(B510="Holiday",IF(Dashboard!$B$14="Interest Only",D510,D510+G510),0)</x:f>
        <x:v>0</x:v>
      </x:c>
      <x:c r="L510" s="32" t="n">
        <x:f>J510+K510</x:f>
        <x:v>0</x:v>
      </x:c>
      <x:c r="M510" s="32" t="n">
        <x:f>IF(A510=1,H510,M509+H510)</x:f>
        <x:v>0</x:v>
      </x:c>
      <x:c r="N510" s="32" t="n">
        <x:f>IF(A510=1,I510,N509+I510)</x:f>
        <x:v>0</x:v>
      </x:c>
      <x:c r="O510" s="32" t="n">
        <x:f>IF(A510=1,G510,O509+G510)</x:f>
        <x:v>3671325</x:v>
      </x:c>
      <x:c r="P510" s="37" t="n">
        <x:f>EDATE(Dashboard!$B$10,A510)</x:f>
        <x:v>60511</x:v>
      </x:c>
    </x:row>
    <x:row r="511">
      <x:c r="A511" s="33" t="n">
        <x:v>510</x:v>
      </x:c>
      <x:c r="B511" s="33" t="str">
        <x:f>IF(A511&lt;=Dashboard!$F$8,"Holiday",IF(A511&lt;=Dashboard!$F$8+Dashboard!$F$7,"Repayment","Closed"))</x:f>
        <x:v>Closed</x:v>
      </x:c>
      <x:c r="C511" s="32">
        <x:f>IF(A511=1,Dashboard!$B$6,IF(B511="Holiday",J510,L510))</x:f>
      </x:c>
      <x:c r="D511" s="32">
        <x:f>IF(A511=1,0,IF(B511="Holiday",K510,0))</x:f>
      </x:c>
      <x:c r="E511" s="32">
        <x:f>C511+D511</x:f>
      </x:c>
      <x:c r="F511" s="32">
        <x:f>IF(B511="Holiday",IF(Dashboard!$B$14="Principal Only",MIN(Dashboard!$B$15,C511),0),0)</x:f>
      </x:c>
      <x:c r="G511" s="32" t="n">
        <x:f>IF(B511="Closed",0,IF(B511="Holiday",IF(Dashboard!$B$14="Interest Only",C511*Dashboard!$F$6,MAX(0,(C511-F511)*Dashboard!$F$6)),E511*Dashboard!$F$6))</x:f>
        <x:v>0</x:v>
      </x:c>
      <x:c r="H511" s="32" t="n">
        <x:f>IF(B511="Holiday",IF(Dashboard!$B$14="Interest Only",G511,F511),IF(B511="Closed",0,MIN(Dashboard!$F$10,E511+G511)))</x:f>
        <x:v>0</x:v>
      </x:c>
      <x:c r="I511" s="32" t="n">
        <x:f>IF(B511="Holiday",F511,IF(B511="Closed",0,MAX(0,H511-G511)))</x:f>
        <x:v>0</x:v>
      </x:c>
      <x:c r="J511" s="32" t="n">
        <x:f>IF(B511="Holiday",MAX(0,C511-F511),IF(B511="Closed",0,MAX(0,E511-I511)))</x:f>
        <x:v>0</x:v>
      </x:c>
      <x:c r="K511" s="32" t="n">
        <x:f>IF(B511="Holiday",IF(Dashboard!$B$14="Interest Only",D511,D511+G511),0)</x:f>
        <x:v>0</x:v>
      </x:c>
      <x:c r="L511" s="32" t="n">
        <x:f>J511+K511</x:f>
        <x:v>0</x:v>
      </x:c>
      <x:c r="M511" s="32" t="n">
        <x:f>IF(A511=1,H511,M510+H511)</x:f>
        <x:v>0</x:v>
      </x:c>
      <x:c r="N511" s="32" t="n">
        <x:f>IF(A511=1,I511,N510+I511)</x:f>
        <x:v>0</x:v>
      </x:c>
      <x:c r="O511" s="32" t="n">
        <x:f>IF(A511=1,G511,O510+G511)</x:f>
        <x:v>3671325</x:v>
      </x:c>
      <x:c r="P511" s="37" t="n">
        <x:f>EDATE(Dashboard!$B$10,A511)</x:f>
        <x:v>60541</x:v>
      </x:c>
    </x:row>
    <x:row r="512">
      <x:c r="A512" s="33" t="n">
        <x:v>511</x:v>
      </x:c>
      <x:c r="B512" s="33" t="str">
        <x:f>IF(A512&lt;=Dashboard!$F$8,"Holiday",IF(A512&lt;=Dashboard!$F$8+Dashboard!$F$7,"Repayment","Closed"))</x:f>
        <x:v>Closed</x:v>
      </x:c>
      <x:c r="C512" s="32">
        <x:f>IF(A512=1,Dashboard!$B$6,IF(B512="Holiday",J511,L511))</x:f>
      </x:c>
      <x:c r="D512" s="32">
        <x:f>IF(A512=1,0,IF(B512="Holiday",K511,0))</x:f>
      </x:c>
      <x:c r="E512" s="32">
        <x:f>C512+D512</x:f>
      </x:c>
      <x:c r="F512" s="32">
        <x:f>IF(B512="Holiday",IF(Dashboard!$B$14="Principal Only",MIN(Dashboard!$B$15,C512),0),0)</x:f>
      </x:c>
      <x:c r="G512" s="32" t="n">
        <x:f>IF(B512="Closed",0,IF(B512="Holiday",IF(Dashboard!$B$14="Interest Only",C512*Dashboard!$F$6,MAX(0,(C512-F512)*Dashboard!$F$6)),E512*Dashboard!$F$6))</x:f>
        <x:v>0</x:v>
      </x:c>
      <x:c r="H512" s="32" t="n">
        <x:f>IF(B512="Holiday",IF(Dashboard!$B$14="Interest Only",G512,F512),IF(B512="Closed",0,MIN(Dashboard!$F$10,E512+G512)))</x:f>
        <x:v>0</x:v>
      </x:c>
      <x:c r="I512" s="32" t="n">
        <x:f>IF(B512="Holiday",F512,IF(B512="Closed",0,MAX(0,H512-G512)))</x:f>
        <x:v>0</x:v>
      </x:c>
      <x:c r="J512" s="32" t="n">
        <x:f>IF(B512="Holiday",MAX(0,C512-F512),IF(B512="Closed",0,MAX(0,E512-I512)))</x:f>
        <x:v>0</x:v>
      </x:c>
      <x:c r="K512" s="32" t="n">
        <x:f>IF(B512="Holiday",IF(Dashboard!$B$14="Interest Only",D512,D512+G512),0)</x:f>
        <x:v>0</x:v>
      </x:c>
      <x:c r="L512" s="32" t="n">
        <x:f>J512+K512</x:f>
        <x:v>0</x:v>
      </x:c>
      <x:c r="M512" s="32" t="n">
        <x:f>IF(A512=1,H512,M511+H512)</x:f>
        <x:v>0</x:v>
      </x:c>
      <x:c r="N512" s="32" t="n">
        <x:f>IF(A512=1,I512,N511+I512)</x:f>
        <x:v>0</x:v>
      </x:c>
      <x:c r="O512" s="32" t="n">
        <x:f>IF(A512=1,G512,O511+G512)</x:f>
        <x:v>3671325</x:v>
      </x:c>
      <x:c r="P512" s="37" t="n">
        <x:f>EDATE(Dashboard!$B$10,A512)</x:f>
        <x:v>60572</x:v>
      </x:c>
    </x:row>
    <x:row r="513">
      <x:c r="A513" s="33" t="n">
        <x:v>512</x:v>
      </x:c>
      <x:c r="B513" s="33" t="str">
        <x:f>IF(A513&lt;=Dashboard!$F$8,"Holiday",IF(A513&lt;=Dashboard!$F$8+Dashboard!$F$7,"Repayment","Closed"))</x:f>
        <x:v>Closed</x:v>
      </x:c>
      <x:c r="C513" s="32">
        <x:f>IF(A513=1,Dashboard!$B$6,IF(B513="Holiday",J512,L512))</x:f>
      </x:c>
      <x:c r="D513" s="32">
        <x:f>IF(A513=1,0,IF(B513="Holiday",K512,0))</x:f>
      </x:c>
      <x:c r="E513" s="32">
        <x:f>C513+D513</x:f>
      </x:c>
      <x:c r="F513" s="32">
        <x:f>IF(B513="Holiday",IF(Dashboard!$B$14="Principal Only",MIN(Dashboard!$B$15,C513),0),0)</x:f>
      </x:c>
      <x:c r="G513" s="32" t="n">
        <x:f>IF(B513="Closed",0,IF(B513="Holiday",IF(Dashboard!$B$14="Interest Only",C513*Dashboard!$F$6,MAX(0,(C513-F513)*Dashboard!$F$6)),E513*Dashboard!$F$6))</x:f>
        <x:v>0</x:v>
      </x:c>
      <x:c r="H513" s="32" t="n">
        <x:f>IF(B513="Holiday",IF(Dashboard!$B$14="Interest Only",G513,F513),IF(B513="Closed",0,MIN(Dashboard!$F$10,E513+G513)))</x:f>
        <x:v>0</x:v>
      </x:c>
      <x:c r="I513" s="32" t="n">
        <x:f>IF(B513="Holiday",F513,IF(B513="Closed",0,MAX(0,H513-G513)))</x:f>
        <x:v>0</x:v>
      </x:c>
      <x:c r="J513" s="32" t="n">
        <x:f>IF(B513="Holiday",MAX(0,C513-F513),IF(B513="Closed",0,MAX(0,E513-I513)))</x:f>
        <x:v>0</x:v>
      </x:c>
      <x:c r="K513" s="32" t="n">
        <x:f>IF(B513="Holiday",IF(Dashboard!$B$14="Interest Only",D513,D513+G513),0)</x:f>
        <x:v>0</x:v>
      </x:c>
      <x:c r="L513" s="32" t="n">
        <x:f>J513+K513</x:f>
        <x:v>0</x:v>
      </x:c>
      <x:c r="M513" s="32" t="n">
        <x:f>IF(A513=1,H513,M512+H513)</x:f>
        <x:v>0</x:v>
      </x:c>
      <x:c r="N513" s="32" t="n">
        <x:f>IF(A513=1,I513,N512+I513)</x:f>
        <x:v>0</x:v>
      </x:c>
      <x:c r="O513" s="32" t="n">
        <x:f>IF(A513=1,G513,O512+G513)</x:f>
        <x:v>3671325</x:v>
      </x:c>
      <x:c r="P513" s="37" t="n">
        <x:f>EDATE(Dashboard!$B$10,A513)</x:f>
        <x:v>60602</x:v>
      </x:c>
    </x:row>
    <x:row r="514">
      <x:c r="A514" s="33" t="n">
        <x:v>513</x:v>
      </x:c>
      <x:c r="B514" s="33" t="str">
        <x:f>IF(A514&lt;=Dashboard!$F$8,"Holiday",IF(A514&lt;=Dashboard!$F$8+Dashboard!$F$7,"Repayment","Closed"))</x:f>
        <x:v>Closed</x:v>
      </x:c>
      <x:c r="C514" s="32">
        <x:f>IF(A514=1,Dashboard!$B$6,IF(B514="Holiday",J513,L513))</x:f>
      </x:c>
      <x:c r="D514" s="32">
        <x:f>IF(A514=1,0,IF(B514="Holiday",K513,0))</x:f>
      </x:c>
      <x:c r="E514" s="32">
        <x:f>C514+D514</x:f>
      </x:c>
      <x:c r="F514" s="32">
        <x:f>IF(B514="Holiday",IF(Dashboard!$B$14="Principal Only",MIN(Dashboard!$B$15,C514),0),0)</x:f>
      </x:c>
      <x:c r="G514" s="32" t="n">
        <x:f>IF(B514="Closed",0,IF(B514="Holiday",IF(Dashboard!$B$14="Interest Only",C514*Dashboard!$F$6,MAX(0,(C514-F514)*Dashboard!$F$6)),E514*Dashboard!$F$6))</x:f>
        <x:v>0</x:v>
      </x:c>
      <x:c r="H514" s="32" t="n">
        <x:f>IF(B514="Holiday",IF(Dashboard!$B$14="Interest Only",G514,F514),IF(B514="Closed",0,MIN(Dashboard!$F$10,E514+G514)))</x:f>
        <x:v>0</x:v>
      </x:c>
      <x:c r="I514" s="32" t="n">
        <x:f>IF(B514="Holiday",F514,IF(B514="Closed",0,MAX(0,H514-G514)))</x:f>
        <x:v>0</x:v>
      </x:c>
      <x:c r="J514" s="32" t="n">
        <x:f>IF(B514="Holiday",MAX(0,C514-F514),IF(B514="Closed",0,MAX(0,E514-I514)))</x:f>
        <x:v>0</x:v>
      </x:c>
      <x:c r="K514" s="32" t="n">
        <x:f>IF(B514="Holiday",IF(Dashboard!$B$14="Interest Only",D514,D514+G514),0)</x:f>
        <x:v>0</x:v>
      </x:c>
      <x:c r="L514" s="32" t="n">
        <x:f>J514+K514</x:f>
        <x:v>0</x:v>
      </x:c>
      <x:c r="M514" s="32" t="n">
        <x:f>IF(A514=1,H514,M513+H514)</x:f>
        <x:v>0</x:v>
      </x:c>
      <x:c r="N514" s="32" t="n">
        <x:f>IF(A514=1,I514,N513+I514)</x:f>
        <x:v>0</x:v>
      </x:c>
      <x:c r="O514" s="32" t="n">
        <x:f>IF(A514=1,G514,O513+G514)</x:f>
        <x:v>3671325</x:v>
      </x:c>
      <x:c r="P514" s="37" t="n">
        <x:f>EDATE(Dashboard!$B$10,A514)</x:f>
        <x:v>60633</x:v>
      </x:c>
    </x:row>
    <x:row r="515">
      <x:c r="A515" s="33" t="n">
        <x:v>514</x:v>
      </x:c>
      <x:c r="B515" s="33" t="str">
        <x:f>IF(A515&lt;=Dashboard!$F$8,"Holiday",IF(A515&lt;=Dashboard!$F$8+Dashboard!$F$7,"Repayment","Closed"))</x:f>
        <x:v>Closed</x:v>
      </x:c>
      <x:c r="C515" s="32">
        <x:f>IF(A515=1,Dashboard!$B$6,IF(B515="Holiday",J514,L514))</x:f>
      </x:c>
      <x:c r="D515" s="32">
        <x:f>IF(A515=1,0,IF(B515="Holiday",K514,0))</x:f>
      </x:c>
      <x:c r="E515" s="32">
        <x:f>C515+D515</x:f>
      </x:c>
      <x:c r="F515" s="32">
        <x:f>IF(B515="Holiday",IF(Dashboard!$B$14="Principal Only",MIN(Dashboard!$B$15,C515),0),0)</x:f>
      </x:c>
      <x:c r="G515" s="32" t="n">
        <x:f>IF(B515="Closed",0,IF(B515="Holiday",IF(Dashboard!$B$14="Interest Only",C515*Dashboard!$F$6,MAX(0,(C515-F515)*Dashboard!$F$6)),E515*Dashboard!$F$6))</x:f>
        <x:v>0</x:v>
      </x:c>
      <x:c r="H515" s="32" t="n">
        <x:f>IF(B515="Holiday",IF(Dashboard!$B$14="Interest Only",G515,F515),IF(B515="Closed",0,MIN(Dashboard!$F$10,E515+G515)))</x:f>
        <x:v>0</x:v>
      </x:c>
      <x:c r="I515" s="32" t="n">
        <x:f>IF(B515="Holiday",F515,IF(B515="Closed",0,MAX(0,H515-G515)))</x:f>
        <x:v>0</x:v>
      </x:c>
      <x:c r="J515" s="32" t="n">
        <x:f>IF(B515="Holiday",MAX(0,C515-F515),IF(B515="Closed",0,MAX(0,E515-I515)))</x:f>
        <x:v>0</x:v>
      </x:c>
      <x:c r="K515" s="32" t="n">
        <x:f>IF(B515="Holiday",IF(Dashboard!$B$14="Interest Only",D515,D515+G515),0)</x:f>
        <x:v>0</x:v>
      </x:c>
      <x:c r="L515" s="32" t="n">
        <x:f>J515+K515</x:f>
        <x:v>0</x:v>
      </x:c>
      <x:c r="M515" s="32" t="n">
        <x:f>IF(A515=1,H515,M514+H515)</x:f>
        <x:v>0</x:v>
      </x:c>
      <x:c r="N515" s="32" t="n">
        <x:f>IF(A515=1,I515,N514+I515)</x:f>
        <x:v>0</x:v>
      </x:c>
      <x:c r="O515" s="32" t="n">
        <x:f>IF(A515=1,G515,O514+G515)</x:f>
        <x:v>3671325</x:v>
      </x:c>
      <x:c r="P515" s="37" t="n">
        <x:f>EDATE(Dashboard!$B$10,A515)</x:f>
        <x:v>60664</x:v>
      </x:c>
    </x:row>
    <x:row r="516">
      <x:c r="A516" s="33" t="n">
        <x:v>515</x:v>
      </x:c>
      <x:c r="B516" s="33" t="str">
        <x:f>IF(A516&lt;=Dashboard!$F$8,"Holiday",IF(A516&lt;=Dashboard!$F$8+Dashboard!$F$7,"Repayment","Closed"))</x:f>
        <x:v>Closed</x:v>
      </x:c>
      <x:c r="C516" s="32">
        <x:f>IF(A516=1,Dashboard!$B$6,IF(B516="Holiday",J515,L515))</x:f>
      </x:c>
      <x:c r="D516" s="32">
        <x:f>IF(A516=1,0,IF(B516="Holiday",K515,0))</x:f>
      </x:c>
      <x:c r="E516" s="32">
        <x:f>C516+D516</x:f>
      </x:c>
      <x:c r="F516" s="32">
        <x:f>IF(B516="Holiday",IF(Dashboard!$B$14="Principal Only",MIN(Dashboard!$B$15,C516),0),0)</x:f>
      </x:c>
      <x:c r="G516" s="32" t="n">
        <x:f>IF(B516="Closed",0,IF(B516="Holiday",IF(Dashboard!$B$14="Interest Only",C516*Dashboard!$F$6,MAX(0,(C516-F516)*Dashboard!$F$6)),E516*Dashboard!$F$6))</x:f>
        <x:v>0</x:v>
      </x:c>
      <x:c r="H516" s="32" t="n">
        <x:f>IF(B516="Holiday",IF(Dashboard!$B$14="Interest Only",G516,F516),IF(B516="Closed",0,MIN(Dashboard!$F$10,E516+G516)))</x:f>
        <x:v>0</x:v>
      </x:c>
      <x:c r="I516" s="32" t="n">
        <x:f>IF(B516="Holiday",F516,IF(B516="Closed",0,MAX(0,H516-G516)))</x:f>
        <x:v>0</x:v>
      </x:c>
      <x:c r="J516" s="32" t="n">
        <x:f>IF(B516="Holiday",MAX(0,C516-F516),IF(B516="Closed",0,MAX(0,E516-I516)))</x:f>
        <x:v>0</x:v>
      </x:c>
      <x:c r="K516" s="32" t="n">
        <x:f>IF(B516="Holiday",IF(Dashboard!$B$14="Interest Only",D516,D516+G516),0)</x:f>
        <x:v>0</x:v>
      </x:c>
      <x:c r="L516" s="32" t="n">
        <x:f>J516+K516</x:f>
        <x:v>0</x:v>
      </x:c>
      <x:c r="M516" s="32" t="n">
        <x:f>IF(A516=1,H516,M515+H516)</x:f>
        <x:v>0</x:v>
      </x:c>
      <x:c r="N516" s="32" t="n">
        <x:f>IF(A516=1,I516,N515+I516)</x:f>
        <x:v>0</x:v>
      </x:c>
      <x:c r="O516" s="32" t="n">
        <x:f>IF(A516=1,G516,O515+G516)</x:f>
        <x:v>3671325</x:v>
      </x:c>
      <x:c r="P516" s="37" t="n">
        <x:f>EDATE(Dashboard!$B$10,A516)</x:f>
        <x:v>60692</x:v>
      </x:c>
    </x:row>
    <x:row r="517">
      <x:c r="A517" s="33" t="n">
        <x:v>516</x:v>
      </x:c>
      <x:c r="B517" s="33" t="str">
        <x:f>IF(A517&lt;=Dashboard!$F$8,"Holiday",IF(A517&lt;=Dashboard!$F$8+Dashboard!$F$7,"Repayment","Closed"))</x:f>
        <x:v>Closed</x:v>
      </x:c>
      <x:c r="C517" s="32">
        <x:f>IF(A517=1,Dashboard!$B$6,IF(B517="Holiday",J516,L516))</x:f>
      </x:c>
      <x:c r="D517" s="32">
        <x:f>IF(A517=1,0,IF(B517="Holiday",K516,0))</x:f>
      </x:c>
      <x:c r="E517" s="32">
        <x:f>C517+D517</x:f>
      </x:c>
      <x:c r="F517" s="32">
        <x:f>IF(B517="Holiday",IF(Dashboard!$B$14="Principal Only",MIN(Dashboard!$B$15,C517),0),0)</x:f>
      </x:c>
      <x:c r="G517" s="32" t="n">
        <x:f>IF(B517="Closed",0,IF(B517="Holiday",IF(Dashboard!$B$14="Interest Only",C517*Dashboard!$F$6,MAX(0,(C517-F517)*Dashboard!$F$6)),E517*Dashboard!$F$6))</x:f>
        <x:v>0</x:v>
      </x:c>
      <x:c r="H517" s="32" t="n">
        <x:f>IF(B517="Holiday",IF(Dashboard!$B$14="Interest Only",G517,F517),IF(B517="Closed",0,MIN(Dashboard!$F$10,E517+G517)))</x:f>
        <x:v>0</x:v>
      </x:c>
      <x:c r="I517" s="32" t="n">
        <x:f>IF(B517="Holiday",F517,IF(B517="Closed",0,MAX(0,H517-G517)))</x:f>
        <x:v>0</x:v>
      </x:c>
      <x:c r="J517" s="32" t="n">
        <x:f>IF(B517="Holiday",MAX(0,C517-F517),IF(B517="Closed",0,MAX(0,E517-I517)))</x:f>
        <x:v>0</x:v>
      </x:c>
      <x:c r="K517" s="32" t="n">
        <x:f>IF(B517="Holiday",IF(Dashboard!$B$14="Interest Only",D517,D517+G517),0)</x:f>
        <x:v>0</x:v>
      </x:c>
      <x:c r="L517" s="32" t="n">
        <x:f>J517+K517</x:f>
        <x:v>0</x:v>
      </x:c>
      <x:c r="M517" s="32" t="n">
        <x:f>IF(A517=1,H517,M516+H517)</x:f>
        <x:v>0</x:v>
      </x:c>
      <x:c r="N517" s="32" t="n">
        <x:f>IF(A517=1,I517,N516+I517)</x:f>
        <x:v>0</x:v>
      </x:c>
      <x:c r="O517" s="32" t="n">
        <x:f>IF(A517=1,G517,O516+G517)</x:f>
        <x:v>3671325</x:v>
      </x:c>
      <x:c r="P517" s="37" t="n">
        <x:f>EDATE(Dashboard!$B$10,A517)</x:f>
        <x:v>60723</x:v>
      </x:c>
    </x:row>
    <x:row r="518">
      <x:c r="A518" s="33" t="n">
        <x:v>517</x:v>
      </x:c>
      <x:c r="B518" s="33" t="str">
        <x:f>IF(A518&lt;=Dashboard!$F$8,"Holiday",IF(A518&lt;=Dashboard!$F$8+Dashboard!$F$7,"Repayment","Closed"))</x:f>
        <x:v>Closed</x:v>
      </x:c>
      <x:c r="C518" s="32">
        <x:f>IF(A518=1,Dashboard!$B$6,IF(B518="Holiday",J517,L517))</x:f>
      </x:c>
      <x:c r="D518" s="32">
        <x:f>IF(A518=1,0,IF(B518="Holiday",K517,0))</x:f>
      </x:c>
      <x:c r="E518" s="32">
        <x:f>C518+D518</x:f>
      </x:c>
      <x:c r="F518" s="32">
        <x:f>IF(B518="Holiday",IF(Dashboard!$B$14="Principal Only",MIN(Dashboard!$B$15,C518),0),0)</x:f>
      </x:c>
      <x:c r="G518" s="32" t="n">
        <x:f>IF(B518="Closed",0,IF(B518="Holiday",IF(Dashboard!$B$14="Interest Only",C518*Dashboard!$F$6,MAX(0,(C518-F518)*Dashboard!$F$6)),E518*Dashboard!$F$6))</x:f>
        <x:v>0</x:v>
      </x:c>
      <x:c r="H518" s="32" t="n">
        <x:f>IF(B518="Holiday",IF(Dashboard!$B$14="Interest Only",G518,F518),IF(B518="Closed",0,MIN(Dashboard!$F$10,E518+G518)))</x:f>
        <x:v>0</x:v>
      </x:c>
      <x:c r="I518" s="32" t="n">
        <x:f>IF(B518="Holiday",F518,IF(B518="Closed",0,MAX(0,H518-G518)))</x:f>
        <x:v>0</x:v>
      </x:c>
      <x:c r="J518" s="32" t="n">
        <x:f>IF(B518="Holiday",MAX(0,C518-F518),IF(B518="Closed",0,MAX(0,E518-I518)))</x:f>
        <x:v>0</x:v>
      </x:c>
      <x:c r="K518" s="32" t="n">
        <x:f>IF(B518="Holiday",IF(Dashboard!$B$14="Interest Only",D518,D518+G518),0)</x:f>
        <x:v>0</x:v>
      </x:c>
      <x:c r="L518" s="32" t="n">
        <x:f>J518+K518</x:f>
        <x:v>0</x:v>
      </x:c>
      <x:c r="M518" s="32" t="n">
        <x:f>IF(A518=1,H518,M517+H518)</x:f>
        <x:v>0</x:v>
      </x:c>
      <x:c r="N518" s="32" t="n">
        <x:f>IF(A518=1,I518,N517+I518)</x:f>
        <x:v>0</x:v>
      </x:c>
      <x:c r="O518" s="32" t="n">
        <x:f>IF(A518=1,G518,O517+G518)</x:f>
        <x:v>3671325</x:v>
      </x:c>
      <x:c r="P518" s="37" t="n">
        <x:f>EDATE(Dashboard!$B$10,A518)</x:f>
        <x:v>60753</x:v>
      </x:c>
    </x:row>
    <x:row r="519">
      <x:c r="A519" s="33" t="n">
        <x:v>518</x:v>
      </x:c>
      <x:c r="B519" s="33" t="str">
        <x:f>IF(A519&lt;=Dashboard!$F$8,"Holiday",IF(A519&lt;=Dashboard!$F$8+Dashboard!$F$7,"Repayment","Closed"))</x:f>
        <x:v>Closed</x:v>
      </x:c>
      <x:c r="C519" s="32">
        <x:f>IF(A519=1,Dashboard!$B$6,IF(B519="Holiday",J518,L518))</x:f>
      </x:c>
      <x:c r="D519" s="32">
        <x:f>IF(A519=1,0,IF(B519="Holiday",K518,0))</x:f>
      </x:c>
      <x:c r="E519" s="32">
        <x:f>C519+D519</x:f>
      </x:c>
      <x:c r="F519" s="32">
        <x:f>IF(B519="Holiday",IF(Dashboard!$B$14="Principal Only",MIN(Dashboard!$B$15,C519),0),0)</x:f>
      </x:c>
      <x:c r="G519" s="32" t="n">
        <x:f>IF(B519="Closed",0,IF(B519="Holiday",IF(Dashboard!$B$14="Interest Only",C519*Dashboard!$F$6,MAX(0,(C519-F519)*Dashboard!$F$6)),E519*Dashboard!$F$6))</x:f>
        <x:v>0</x:v>
      </x:c>
      <x:c r="H519" s="32" t="n">
        <x:f>IF(B519="Holiday",IF(Dashboard!$B$14="Interest Only",G519,F519),IF(B519="Closed",0,MIN(Dashboard!$F$10,E519+G519)))</x:f>
        <x:v>0</x:v>
      </x:c>
      <x:c r="I519" s="32" t="n">
        <x:f>IF(B519="Holiday",F519,IF(B519="Closed",0,MAX(0,H519-G519)))</x:f>
        <x:v>0</x:v>
      </x:c>
      <x:c r="J519" s="32" t="n">
        <x:f>IF(B519="Holiday",MAX(0,C519-F519),IF(B519="Closed",0,MAX(0,E519-I519)))</x:f>
        <x:v>0</x:v>
      </x:c>
      <x:c r="K519" s="32" t="n">
        <x:f>IF(B519="Holiday",IF(Dashboard!$B$14="Interest Only",D519,D519+G519),0)</x:f>
        <x:v>0</x:v>
      </x:c>
      <x:c r="L519" s="32" t="n">
        <x:f>J519+K519</x:f>
        <x:v>0</x:v>
      </x:c>
      <x:c r="M519" s="32" t="n">
        <x:f>IF(A519=1,H519,M518+H519)</x:f>
        <x:v>0</x:v>
      </x:c>
      <x:c r="N519" s="32" t="n">
        <x:f>IF(A519=1,I519,N518+I519)</x:f>
        <x:v>0</x:v>
      </x:c>
      <x:c r="O519" s="32" t="n">
        <x:f>IF(A519=1,G519,O518+G519)</x:f>
        <x:v>3671325</x:v>
      </x:c>
      <x:c r="P519" s="37" t="n">
        <x:f>EDATE(Dashboard!$B$10,A519)</x:f>
        <x:v>60784</x:v>
      </x:c>
    </x:row>
    <x:row r="520">
      <x:c r="A520" s="33" t="n">
        <x:v>519</x:v>
      </x:c>
      <x:c r="B520" s="33" t="str">
        <x:f>IF(A520&lt;=Dashboard!$F$8,"Holiday",IF(A520&lt;=Dashboard!$F$8+Dashboard!$F$7,"Repayment","Closed"))</x:f>
        <x:v>Closed</x:v>
      </x:c>
      <x:c r="C520" s="32">
        <x:f>IF(A520=1,Dashboard!$B$6,IF(B520="Holiday",J519,L519))</x:f>
      </x:c>
      <x:c r="D520" s="32">
        <x:f>IF(A520=1,0,IF(B520="Holiday",K519,0))</x:f>
      </x:c>
      <x:c r="E520" s="32">
        <x:f>C520+D520</x:f>
      </x:c>
      <x:c r="F520" s="32">
        <x:f>IF(B520="Holiday",IF(Dashboard!$B$14="Principal Only",MIN(Dashboard!$B$15,C520),0),0)</x:f>
      </x:c>
      <x:c r="G520" s="32" t="n">
        <x:f>IF(B520="Closed",0,IF(B520="Holiday",IF(Dashboard!$B$14="Interest Only",C520*Dashboard!$F$6,MAX(0,(C520-F520)*Dashboard!$F$6)),E520*Dashboard!$F$6))</x:f>
        <x:v>0</x:v>
      </x:c>
      <x:c r="H520" s="32" t="n">
        <x:f>IF(B520="Holiday",IF(Dashboard!$B$14="Interest Only",G520,F520),IF(B520="Closed",0,MIN(Dashboard!$F$10,E520+G520)))</x:f>
        <x:v>0</x:v>
      </x:c>
      <x:c r="I520" s="32" t="n">
        <x:f>IF(B520="Holiday",F520,IF(B520="Closed",0,MAX(0,H520-G520)))</x:f>
        <x:v>0</x:v>
      </x:c>
      <x:c r="J520" s="32" t="n">
        <x:f>IF(B520="Holiday",MAX(0,C520-F520),IF(B520="Closed",0,MAX(0,E520-I520)))</x:f>
        <x:v>0</x:v>
      </x:c>
      <x:c r="K520" s="32" t="n">
        <x:f>IF(B520="Holiday",IF(Dashboard!$B$14="Interest Only",D520,D520+G520),0)</x:f>
        <x:v>0</x:v>
      </x:c>
      <x:c r="L520" s="32" t="n">
        <x:f>J520+K520</x:f>
        <x:v>0</x:v>
      </x:c>
      <x:c r="M520" s="32" t="n">
        <x:f>IF(A520=1,H520,M519+H520)</x:f>
        <x:v>0</x:v>
      </x:c>
      <x:c r="N520" s="32" t="n">
        <x:f>IF(A520=1,I520,N519+I520)</x:f>
        <x:v>0</x:v>
      </x:c>
      <x:c r="O520" s="32" t="n">
        <x:f>IF(A520=1,G520,O519+G520)</x:f>
        <x:v>3671325</x:v>
      </x:c>
      <x:c r="P520" s="37" t="n">
        <x:f>EDATE(Dashboard!$B$10,A520)</x:f>
        <x:v>60814</x:v>
      </x:c>
    </x:row>
    <x:row r="521">
      <x:c r="A521" s="33" t="n">
        <x:v>520</x:v>
      </x:c>
      <x:c r="B521" s="33" t="str">
        <x:f>IF(A521&lt;=Dashboard!$F$8,"Holiday",IF(A521&lt;=Dashboard!$F$8+Dashboard!$F$7,"Repayment","Closed"))</x:f>
        <x:v>Closed</x:v>
      </x:c>
      <x:c r="C521" s="32">
        <x:f>IF(A521=1,Dashboard!$B$6,IF(B521="Holiday",J520,L520))</x:f>
      </x:c>
      <x:c r="D521" s="32">
        <x:f>IF(A521=1,0,IF(B521="Holiday",K520,0))</x:f>
      </x:c>
      <x:c r="E521" s="32">
        <x:f>C521+D521</x:f>
      </x:c>
      <x:c r="F521" s="32">
        <x:f>IF(B521="Holiday",IF(Dashboard!$B$14="Principal Only",MIN(Dashboard!$B$15,C521),0),0)</x:f>
      </x:c>
      <x:c r="G521" s="32" t="n">
        <x:f>IF(B521="Closed",0,IF(B521="Holiday",IF(Dashboard!$B$14="Interest Only",C521*Dashboard!$F$6,MAX(0,(C521-F521)*Dashboard!$F$6)),E521*Dashboard!$F$6))</x:f>
        <x:v>0</x:v>
      </x:c>
      <x:c r="H521" s="32" t="n">
        <x:f>IF(B521="Holiday",IF(Dashboard!$B$14="Interest Only",G521,F521),IF(B521="Closed",0,MIN(Dashboard!$F$10,E521+G521)))</x:f>
        <x:v>0</x:v>
      </x:c>
      <x:c r="I521" s="32" t="n">
        <x:f>IF(B521="Holiday",F521,IF(B521="Closed",0,MAX(0,H521-G521)))</x:f>
        <x:v>0</x:v>
      </x:c>
      <x:c r="J521" s="32" t="n">
        <x:f>IF(B521="Holiday",MAX(0,C521-F521),IF(B521="Closed",0,MAX(0,E521-I521)))</x:f>
        <x:v>0</x:v>
      </x:c>
      <x:c r="K521" s="32" t="n">
        <x:f>IF(B521="Holiday",IF(Dashboard!$B$14="Interest Only",D521,D521+G521),0)</x:f>
        <x:v>0</x:v>
      </x:c>
      <x:c r="L521" s="32" t="n">
        <x:f>J521+K521</x:f>
        <x:v>0</x:v>
      </x:c>
      <x:c r="M521" s="32" t="n">
        <x:f>IF(A521=1,H521,M520+H521)</x:f>
        <x:v>0</x:v>
      </x:c>
      <x:c r="N521" s="32" t="n">
        <x:f>IF(A521=1,I521,N520+I521)</x:f>
        <x:v>0</x:v>
      </x:c>
      <x:c r="O521" s="32" t="n">
        <x:f>IF(A521=1,G521,O520+G521)</x:f>
        <x:v>3671325</x:v>
      </x:c>
      <x:c r="P521" s="37" t="n">
        <x:f>EDATE(Dashboard!$B$10,A521)</x:f>
        <x:v>60845</x:v>
      </x:c>
    </x:row>
    <x:row r="522">
      <x:c r="A522" s="33" t="n">
        <x:v>521</x:v>
      </x:c>
      <x:c r="B522" s="33" t="str">
        <x:f>IF(A522&lt;=Dashboard!$F$8,"Holiday",IF(A522&lt;=Dashboard!$F$8+Dashboard!$F$7,"Repayment","Closed"))</x:f>
        <x:v>Closed</x:v>
      </x:c>
      <x:c r="C522" s="32">
        <x:f>IF(A522=1,Dashboard!$B$6,IF(B522="Holiday",J521,L521))</x:f>
      </x:c>
      <x:c r="D522" s="32">
        <x:f>IF(A522=1,0,IF(B522="Holiday",K521,0))</x:f>
      </x:c>
      <x:c r="E522" s="32">
        <x:f>C522+D522</x:f>
      </x:c>
      <x:c r="F522" s="32">
        <x:f>IF(B522="Holiday",IF(Dashboard!$B$14="Principal Only",MIN(Dashboard!$B$15,C522),0),0)</x:f>
      </x:c>
      <x:c r="G522" s="32" t="n">
        <x:f>IF(B522="Closed",0,IF(B522="Holiday",IF(Dashboard!$B$14="Interest Only",C522*Dashboard!$F$6,MAX(0,(C522-F522)*Dashboard!$F$6)),E522*Dashboard!$F$6))</x:f>
        <x:v>0</x:v>
      </x:c>
      <x:c r="H522" s="32" t="n">
        <x:f>IF(B522="Holiday",IF(Dashboard!$B$14="Interest Only",G522,F522),IF(B522="Closed",0,MIN(Dashboard!$F$10,E522+G522)))</x:f>
        <x:v>0</x:v>
      </x:c>
      <x:c r="I522" s="32" t="n">
        <x:f>IF(B522="Holiday",F522,IF(B522="Closed",0,MAX(0,H522-G522)))</x:f>
        <x:v>0</x:v>
      </x:c>
      <x:c r="J522" s="32" t="n">
        <x:f>IF(B522="Holiday",MAX(0,C522-F522),IF(B522="Closed",0,MAX(0,E522-I522)))</x:f>
        <x:v>0</x:v>
      </x:c>
      <x:c r="K522" s="32" t="n">
        <x:f>IF(B522="Holiday",IF(Dashboard!$B$14="Interest Only",D522,D522+G522),0)</x:f>
        <x:v>0</x:v>
      </x:c>
      <x:c r="L522" s="32" t="n">
        <x:f>J522+K522</x:f>
        <x:v>0</x:v>
      </x:c>
      <x:c r="M522" s="32" t="n">
        <x:f>IF(A522=1,H522,M521+H522)</x:f>
        <x:v>0</x:v>
      </x:c>
      <x:c r="N522" s="32" t="n">
        <x:f>IF(A522=1,I522,N521+I522)</x:f>
        <x:v>0</x:v>
      </x:c>
      <x:c r="O522" s="32" t="n">
        <x:f>IF(A522=1,G522,O521+G522)</x:f>
        <x:v>3671325</x:v>
      </x:c>
      <x:c r="P522" s="37" t="n">
        <x:f>EDATE(Dashboard!$B$10,A522)</x:f>
        <x:v>60876</x:v>
      </x:c>
    </x:row>
    <x:row r="523">
      <x:c r="A523" s="33" t="n">
        <x:v>522</x:v>
      </x:c>
      <x:c r="B523" s="33" t="str">
        <x:f>IF(A523&lt;=Dashboard!$F$8,"Holiday",IF(A523&lt;=Dashboard!$F$8+Dashboard!$F$7,"Repayment","Closed"))</x:f>
        <x:v>Closed</x:v>
      </x:c>
      <x:c r="C523" s="32">
        <x:f>IF(A523=1,Dashboard!$B$6,IF(B523="Holiday",J522,L522))</x:f>
      </x:c>
      <x:c r="D523" s="32">
        <x:f>IF(A523=1,0,IF(B523="Holiday",K522,0))</x:f>
      </x:c>
      <x:c r="E523" s="32">
        <x:f>C523+D523</x:f>
      </x:c>
      <x:c r="F523" s="32">
        <x:f>IF(B523="Holiday",IF(Dashboard!$B$14="Principal Only",MIN(Dashboard!$B$15,C523),0),0)</x:f>
      </x:c>
      <x:c r="G523" s="32" t="n">
        <x:f>IF(B523="Closed",0,IF(B523="Holiday",IF(Dashboard!$B$14="Interest Only",C523*Dashboard!$F$6,MAX(0,(C523-F523)*Dashboard!$F$6)),E523*Dashboard!$F$6))</x:f>
        <x:v>0</x:v>
      </x:c>
      <x:c r="H523" s="32" t="n">
        <x:f>IF(B523="Holiday",IF(Dashboard!$B$14="Interest Only",G523,F523),IF(B523="Closed",0,MIN(Dashboard!$F$10,E523+G523)))</x:f>
        <x:v>0</x:v>
      </x:c>
      <x:c r="I523" s="32" t="n">
        <x:f>IF(B523="Holiday",F523,IF(B523="Closed",0,MAX(0,H523-G523)))</x:f>
        <x:v>0</x:v>
      </x:c>
      <x:c r="J523" s="32" t="n">
        <x:f>IF(B523="Holiday",MAX(0,C523-F523),IF(B523="Closed",0,MAX(0,E523-I523)))</x:f>
        <x:v>0</x:v>
      </x:c>
      <x:c r="K523" s="32" t="n">
        <x:f>IF(B523="Holiday",IF(Dashboard!$B$14="Interest Only",D523,D523+G523),0)</x:f>
        <x:v>0</x:v>
      </x:c>
      <x:c r="L523" s="32" t="n">
        <x:f>J523+K523</x:f>
        <x:v>0</x:v>
      </x:c>
      <x:c r="M523" s="32" t="n">
        <x:f>IF(A523=1,H523,M522+H523)</x:f>
        <x:v>0</x:v>
      </x:c>
      <x:c r="N523" s="32" t="n">
        <x:f>IF(A523=1,I523,N522+I523)</x:f>
        <x:v>0</x:v>
      </x:c>
      <x:c r="O523" s="32" t="n">
        <x:f>IF(A523=1,G523,O522+G523)</x:f>
        <x:v>3671325</x:v>
      </x:c>
      <x:c r="P523" s="37" t="n">
        <x:f>EDATE(Dashboard!$B$10,A523)</x:f>
        <x:v>60906</x:v>
      </x:c>
    </x:row>
    <x:row r="524">
      <x:c r="A524" s="33" t="n">
        <x:v>523</x:v>
      </x:c>
      <x:c r="B524" s="33" t="str">
        <x:f>IF(A524&lt;=Dashboard!$F$8,"Holiday",IF(A524&lt;=Dashboard!$F$8+Dashboard!$F$7,"Repayment","Closed"))</x:f>
        <x:v>Closed</x:v>
      </x:c>
      <x:c r="C524" s="32">
        <x:f>IF(A524=1,Dashboard!$B$6,IF(B524="Holiday",J523,L523))</x:f>
      </x:c>
      <x:c r="D524" s="32">
        <x:f>IF(A524=1,0,IF(B524="Holiday",K523,0))</x:f>
      </x:c>
      <x:c r="E524" s="32">
        <x:f>C524+D524</x:f>
      </x:c>
      <x:c r="F524" s="32">
        <x:f>IF(B524="Holiday",IF(Dashboard!$B$14="Principal Only",MIN(Dashboard!$B$15,C524),0),0)</x:f>
      </x:c>
      <x:c r="G524" s="32" t="n">
        <x:f>IF(B524="Closed",0,IF(B524="Holiday",IF(Dashboard!$B$14="Interest Only",C524*Dashboard!$F$6,MAX(0,(C524-F524)*Dashboard!$F$6)),E524*Dashboard!$F$6))</x:f>
        <x:v>0</x:v>
      </x:c>
      <x:c r="H524" s="32" t="n">
        <x:f>IF(B524="Holiday",IF(Dashboard!$B$14="Interest Only",G524,F524),IF(B524="Closed",0,MIN(Dashboard!$F$10,E524+G524)))</x:f>
        <x:v>0</x:v>
      </x:c>
      <x:c r="I524" s="32" t="n">
        <x:f>IF(B524="Holiday",F524,IF(B524="Closed",0,MAX(0,H524-G524)))</x:f>
        <x:v>0</x:v>
      </x:c>
      <x:c r="J524" s="32" t="n">
        <x:f>IF(B524="Holiday",MAX(0,C524-F524),IF(B524="Closed",0,MAX(0,E524-I524)))</x:f>
        <x:v>0</x:v>
      </x:c>
      <x:c r="K524" s="32" t="n">
        <x:f>IF(B524="Holiday",IF(Dashboard!$B$14="Interest Only",D524,D524+G524),0)</x:f>
        <x:v>0</x:v>
      </x:c>
      <x:c r="L524" s="32" t="n">
        <x:f>J524+K524</x:f>
        <x:v>0</x:v>
      </x:c>
      <x:c r="M524" s="32" t="n">
        <x:f>IF(A524=1,H524,M523+H524)</x:f>
        <x:v>0</x:v>
      </x:c>
      <x:c r="N524" s="32" t="n">
        <x:f>IF(A524=1,I524,N523+I524)</x:f>
        <x:v>0</x:v>
      </x:c>
      <x:c r="O524" s="32" t="n">
        <x:f>IF(A524=1,G524,O523+G524)</x:f>
        <x:v>3671325</x:v>
      </x:c>
      <x:c r="P524" s="37" t="n">
        <x:f>EDATE(Dashboard!$B$10,A524)</x:f>
        <x:v>60937</x:v>
      </x:c>
    </x:row>
    <x:row r="525">
      <x:c r="A525" s="33" t="n">
        <x:v>524</x:v>
      </x:c>
      <x:c r="B525" s="33" t="str">
        <x:f>IF(A525&lt;=Dashboard!$F$8,"Holiday",IF(A525&lt;=Dashboard!$F$8+Dashboard!$F$7,"Repayment","Closed"))</x:f>
        <x:v>Closed</x:v>
      </x:c>
      <x:c r="C525" s="32">
        <x:f>IF(A525=1,Dashboard!$B$6,IF(B525="Holiday",J524,L524))</x:f>
      </x:c>
      <x:c r="D525" s="32">
        <x:f>IF(A525=1,0,IF(B525="Holiday",K524,0))</x:f>
      </x:c>
      <x:c r="E525" s="32">
        <x:f>C525+D525</x:f>
      </x:c>
      <x:c r="F525" s="32">
        <x:f>IF(B525="Holiday",IF(Dashboard!$B$14="Principal Only",MIN(Dashboard!$B$15,C525),0),0)</x:f>
      </x:c>
      <x:c r="G525" s="32" t="n">
        <x:f>IF(B525="Closed",0,IF(B525="Holiday",IF(Dashboard!$B$14="Interest Only",C525*Dashboard!$F$6,MAX(0,(C525-F525)*Dashboard!$F$6)),E525*Dashboard!$F$6))</x:f>
        <x:v>0</x:v>
      </x:c>
      <x:c r="H525" s="32" t="n">
        <x:f>IF(B525="Holiday",IF(Dashboard!$B$14="Interest Only",G525,F525),IF(B525="Closed",0,MIN(Dashboard!$F$10,E525+G525)))</x:f>
        <x:v>0</x:v>
      </x:c>
      <x:c r="I525" s="32" t="n">
        <x:f>IF(B525="Holiday",F525,IF(B525="Closed",0,MAX(0,H525-G525)))</x:f>
        <x:v>0</x:v>
      </x:c>
      <x:c r="J525" s="32" t="n">
        <x:f>IF(B525="Holiday",MAX(0,C525-F525),IF(B525="Closed",0,MAX(0,E525-I525)))</x:f>
        <x:v>0</x:v>
      </x:c>
      <x:c r="K525" s="32" t="n">
        <x:f>IF(B525="Holiday",IF(Dashboard!$B$14="Interest Only",D525,D525+G525),0)</x:f>
        <x:v>0</x:v>
      </x:c>
      <x:c r="L525" s="32" t="n">
        <x:f>J525+K525</x:f>
        <x:v>0</x:v>
      </x:c>
      <x:c r="M525" s="32" t="n">
        <x:f>IF(A525=1,H525,M524+H525)</x:f>
        <x:v>0</x:v>
      </x:c>
      <x:c r="N525" s="32" t="n">
        <x:f>IF(A525=1,I525,N524+I525)</x:f>
        <x:v>0</x:v>
      </x:c>
      <x:c r="O525" s="32" t="n">
        <x:f>IF(A525=1,G525,O524+G525)</x:f>
        <x:v>3671325</x:v>
      </x:c>
      <x:c r="P525" s="37" t="n">
        <x:f>EDATE(Dashboard!$B$10,A525)</x:f>
        <x:v>60967</x:v>
      </x:c>
    </x:row>
    <x:row r="526">
      <x:c r="A526" s="33" t="n">
        <x:v>525</x:v>
      </x:c>
      <x:c r="B526" s="33" t="str">
        <x:f>IF(A526&lt;=Dashboard!$F$8,"Holiday",IF(A526&lt;=Dashboard!$F$8+Dashboard!$F$7,"Repayment","Closed"))</x:f>
        <x:v>Closed</x:v>
      </x:c>
      <x:c r="C526" s="32">
        <x:f>IF(A526=1,Dashboard!$B$6,IF(B526="Holiday",J525,L525))</x:f>
      </x:c>
      <x:c r="D526" s="32">
        <x:f>IF(A526=1,0,IF(B526="Holiday",K525,0))</x:f>
      </x:c>
      <x:c r="E526" s="32">
        <x:f>C526+D526</x:f>
      </x:c>
      <x:c r="F526" s="32">
        <x:f>IF(B526="Holiday",IF(Dashboard!$B$14="Principal Only",MIN(Dashboard!$B$15,C526),0),0)</x:f>
      </x:c>
      <x:c r="G526" s="32" t="n">
        <x:f>IF(B526="Closed",0,IF(B526="Holiday",IF(Dashboard!$B$14="Interest Only",C526*Dashboard!$F$6,MAX(0,(C526-F526)*Dashboard!$F$6)),E526*Dashboard!$F$6))</x:f>
        <x:v>0</x:v>
      </x:c>
      <x:c r="H526" s="32" t="n">
        <x:f>IF(B526="Holiday",IF(Dashboard!$B$14="Interest Only",G526,F526),IF(B526="Closed",0,MIN(Dashboard!$F$10,E526+G526)))</x:f>
        <x:v>0</x:v>
      </x:c>
      <x:c r="I526" s="32" t="n">
        <x:f>IF(B526="Holiday",F526,IF(B526="Closed",0,MAX(0,H526-G526)))</x:f>
        <x:v>0</x:v>
      </x:c>
      <x:c r="J526" s="32" t="n">
        <x:f>IF(B526="Holiday",MAX(0,C526-F526),IF(B526="Closed",0,MAX(0,E526-I526)))</x:f>
        <x:v>0</x:v>
      </x:c>
      <x:c r="K526" s="32" t="n">
        <x:f>IF(B526="Holiday",IF(Dashboard!$B$14="Interest Only",D526,D526+G526),0)</x:f>
        <x:v>0</x:v>
      </x:c>
      <x:c r="L526" s="32" t="n">
        <x:f>J526+K526</x:f>
        <x:v>0</x:v>
      </x:c>
      <x:c r="M526" s="32" t="n">
        <x:f>IF(A526=1,H526,M525+H526)</x:f>
        <x:v>0</x:v>
      </x:c>
      <x:c r="N526" s="32" t="n">
        <x:f>IF(A526=1,I526,N525+I526)</x:f>
        <x:v>0</x:v>
      </x:c>
      <x:c r="O526" s="32" t="n">
        <x:f>IF(A526=1,G526,O525+G526)</x:f>
        <x:v>3671325</x:v>
      </x:c>
      <x:c r="P526" s="37" t="n">
        <x:f>EDATE(Dashboard!$B$10,A526)</x:f>
        <x:v>60998</x:v>
      </x:c>
    </x:row>
    <x:row r="527">
      <x:c r="A527" s="33" t="n">
        <x:v>526</x:v>
      </x:c>
      <x:c r="B527" s="33" t="str">
        <x:f>IF(A527&lt;=Dashboard!$F$8,"Holiday",IF(A527&lt;=Dashboard!$F$8+Dashboard!$F$7,"Repayment","Closed"))</x:f>
        <x:v>Closed</x:v>
      </x:c>
      <x:c r="C527" s="32">
        <x:f>IF(A527=1,Dashboard!$B$6,IF(B527="Holiday",J526,L526))</x:f>
      </x:c>
      <x:c r="D527" s="32">
        <x:f>IF(A527=1,0,IF(B527="Holiday",K526,0))</x:f>
      </x:c>
      <x:c r="E527" s="32">
        <x:f>C527+D527</x:f>
      </x:c>
      <x:c r="F527" s="32">
        <x:f>IF(B527="Holiday",IF(Dashboard!$B$14="Principal Only",MIN(Dashboard!$B$15,C527),0),0)</x:f>
      </x:c>
      <x:c r="G527" s="32" t="n">
        <x:f>IF(B527="Closed",0,IF(B527="Holiday",IF(Dashboard!$B$14="Interest Only",C527*Dashboard!$F$6,MAX(0,(C527-F527)*Dashboard!$F$6)),E527*Dashboard!$F$6))</x:f>
        <x:v>0</x:v>
      </x:c>
      <x:c r="H527" s="32" t="n">
        <x:f>IF(B527="Holiday",IF(Dashboard!$B$14="Interest Only",G527,F527),IF(B527="Closed",0,MIN(Dashboard!$F$10,E527+G527)))</x:f>
        <x:v>0</x:v>
      </x:c>
      <x:c r="I527" s="32" t="n">
        <x:f>IF(B527="Holiday",F527,IF(B527="Closed",0,MAX(0,H527-G527)))</x:f>
        <x:v>0</x:v>
      </x:c>
      <x:c r="J527" s="32" t="n">
        <x:f>IF(B527="Holiday",MAX(0,C527-F527),IF(B527="Closed",0,MAX(0,E527-I527)))</x:f>
        <x:v>0</x:v>
      </x:c>
      <x:c r="K527" s="32" t="n">
        <x:f>IF(B527="Holiday",IF(Dashboard!$B$14="Interest Only",D527,D527+G527),0)</x:f>
        <x:v>0</x:v>
      </x:c>
      <x:c r="L527" s="32" t="n">
        <x:f>J527+K527</x:f>
        <x:v>0</x:v>
      </x:c>
      <x:c r="M527" s="32" t="n">
        <x:f>IF(A527=1,H527,M526+H527)</x:f>
        <x:v>0</x:v>
      </x:c>
      <x:c r="N527" s="32" t="n">
        <x:f>IF(A527=1,I527,N526+I527)</x:f>
        <x:v>0</x:v>
      </x:c>
      <x:c r="O527" s="32" t="n">
        <x:f>IF(A527=1,G527,O526+G527)</x:f>
        <x:v>3671325</x:v>
      </x:c>
      <x:c r="P527" s="37" t="n">
        <x:f>EDATE(Dashboard!$B$10,A527)</x:f>
        <x:v>61029</x:v>
      </x:c>
    </x:row>
    <x:row r="528">
      <x:c r="A528" s="33" t="n">
        <x:v>527</x:v>
      </x:c>
      <x:c r="B528" s="33" t="str">
        <x:f>IF(A528&lt;=Dashboard!$F$8,"Holiday",IF(A528&lt;=Dashboard!$F$8+Dashboard!$F$7,"Repayment","Closed"))</x:f>
        <x:v>Closed</x:v>
      </x:c>
      <x:c r="C528" s="32">
        <x:f>IF(A528=1,Dashboard!$B$6,IF(B528="Holiday",J527,L527))</x:f>
      </x:c>
      <x:c r="D528" s="32">
        <x:f>IF(A528=1,0,IF(B528="Holiday",K527,0))</x:f>
      </x:c>
      <x:c r="E528" s="32">
        <x:f>C528+D528</x:f>
      </x:c>
      <x:c r="F528" s="32">
        <x:f>IF(B528="Holiday",IF(Dashboard!$B$14="Principal Only",MIN(Dashboard!$B$15,C528),0),0)</x:f>
      </x:c>
      <x:c r="G528" s="32" t="n">
        <x:f>IF(B528="Closed",0,IF(B528="Holiday",IF(Dashboard!$B$14="Interest Only",C528*Dashboard!$F$6,MAX(0,(C528-F528)*Dashboard!$F$6)),E528*Dashboard!$F$6))</x:f>
        <x:v>0</x:v>
      </x:c>
      <x:c r="H528" s="32" t="n">
        <x:f>IF(B528="Holiday",IF(Dashboard!$B$14="Interest Only",G528,F528),IF(B528="Closed",0,MIN(Dashboard!$F$10,E528+G528)))</x:f>
        <x:v>0</x:v>
      </x:c>
      <x:c r="I528" s="32" t="n">
        <x:f>IF(B528="Holiday",F528,IF(B528="Closed",0,MAX(0,H528-G528)))</x:f>
        <x:v>0</x:v>
      </x:c>
      <x:c r="J528" s="32" t="n">
        <x:f>IF(B528="Holiday",MAX(0,C528-F528),IF(B528="Closed",0,MAX(0,E528-I528)))</x:f>
        <x:v>0</x:v>
      </x:c>
      <x:c r="K528" s="32" t="n">
        <x:f>IF(B528="Holiday",IF(Dashboard!$B$14="Interest Only",D528,D528+G528),0)</x:f>
        <x:v>0</x:v>
      </x:c>
      <x:c r="L528" s="32" t="n">
        <x:f>J528+K528</x:f>
        <x:v>0</x:v>
      </x:c>
      <x:c r="M528" s="32" t="n">
        <x:f>IF(A528=1,H528,M527+H528)</x:f>
        <x:v>0</x:v>
      </x:c>
      <x:c r="N528" s="32" t="n">
        <x:f>IF(A528=1,I528,N527+I528)</x:f>
        <x:v>0</x:v>
      </x:c>
      <x:c r="O528" s="32" t="n">
        <x:f>IF(A528=1,G528,O527+G528)</x:f>
        <x:v>3671325</x:v>
      </x:c>
      <x:c r="P528" s="37" t="n">
        <x:f>EDATE(Dashboard!$B$10,A528)</x:f>
        <x:v>61057</x:v>
      </x:c>
    </x:row>
    <x:row r="529">
      <x:c r="A529" s="33" t="n">
        <x:v>528</x:v>
      </x:c>
      <x:c r="B529" s="33" t="str">
        <x:f>IF(A529&lt;=Dashboard!$F$8,"Holiday",IF(A529&lt;=Dashboard!$F$8+Dashboard!$F$7,"Repayment","Closed"))</x:f>
        <x:v>Closed</x:v>
      </x:c>
      <x:c r="C529" s="32">
        <x:f>IF(A529=1,Dashboard!$B$6,IF(B529="Holiday",J528,L528))</x:f>
      </x:c>
      <x:c r="D529" s="32">
        <x:f>IF(A529=1,0,IF(B529="Holiday",K528,0))</x:f>
      </x:c>
      <x:c r="E529" s="32">
        <x:f>C529+D529</x:f>
      </x:c>
      <x:c r="F529" s="32">
        <x:f>IF(B529="Holiday",IF(Dashboard!$B$14="Principal Only",MIN(Dashboard!$B$15,C529),0),0)</x:f>
      </x:c>
      <x:c r="G529" s="32" t="n">
        <x:f>IF(B529="Closed",0,IF(B529="Holiday",IF(Dashboard!$B$14="Interest Only",C529*Dashboard!$F$6,MAX(0,(C529-F529)*Dashboard!$F$6)),E529*Dashboard!$F$6))</x:f>
        <x:v>0</x:v>
      </x:c>
      <x:c r="H529" s="32" t="n">
        <x:f>IF(B529="Holiday",IF(Dashboard!$B$14="Interest Only",G529,F529),IF(B529="Closed",0,MIN(Dashboard!$F$10,E529+G529)))</x:f>
        <x:v>0</x:v>
      </x:c>
      <x:c r="I529" s="32" t="n">
        <x:f>IF(B529="Holiday",F529,IF(B529="Closed",0,MAX(0,H529-G529)))</x:f>
        <x:v>0</x:v>
      </x:c>
      <x:c r="J529" s="32" t="n">
        <x:f>IF(B529="Holiday",MAX(0,C529-F529),IF(B529="Closed",0,MAX(0,E529-I529)))</x:f>
        <x:v>0</x:v>
      </x:c>
      <x:c r="K529" s="32" t="n">
        <x:f>IF(B529="Holiday",IF(Dashboard!$B$14="Interest Only",D529,D529+G529),0)</x:f>
        <x:v>0</x:v>
      </x:c>
      <x:c r="L529" s="32" t="n">
        <x:f>J529+K529</x:f>
        <x:v>0</x:v>
      </x:c>
      <x:c r="M529" s="32" t="n">
        <x:f>IF(A529=1,H529,M528+H529)</x:f>
        <x:v>0</x:v>
      </x:c>
      <x:c r="N529" s="32" t="n">
        <x:f>IF(A529=1,I529,N528+I529)</x:f>
        <x:v>0</x:v>
      </x:c>
      <x:c r="O529" s="32" t="n">
        <x:f>IF(A529=1,G529,O528+G529)</x:f>
        <x:v>3671325</x:v>
      </x:c>
      <x:c r="P529" s="37" t="n">
        <x:f>EDATE(Dashboard!$B$10,A529)</x:f>
        <x:v>61088</x:v>
      </x:c>
    </x:row>
    <x:row r="530">
      <x:c r="A530" s="33" t="n">
        <x:v>529</x:v>
      </x:c>
      <x:c r="B530" s="33" t="str">
        <x:f>IF(A530&lt;=Dashboard!$F$8,"Holiday",IF(A530&lt;=Dashboard!$F$8+Dashboard!$F$7,"Repayment","Closed"))</x:f>
        <x:v>Closed</x:v>
      </x:c>
      <x:c r="C530" s="32">
        <x:f>IF(A530=1,Dashboard!$B$6,IF(B530="Holiday",J529,L529))</x:f>
      </x:c>
      <x:c r="D530" s="32">
        <x:f>IF(A530=1,0,IF(B530="Holiday",K529,0))</x:f>
      </x:c>
      <x:c r="E530" s="32">
        <x:f>C530+D530</x:f>
      </x:c>
      <x:c r="F530" s="32">
        <x:f>IF(B530="Holiday",IF(Dashboard!$B$14="Principal Only",MIN(Dashboard!$B$15,C530),0),0)</x:f>
      </x:c>
      <x:c r="G530" s="32" t="n">
        <x:f>IF(B530="Closed",0,IF(B530="Holiday",IF(Dashboard!$B$14="Interest Only",C530*Dashboard!$F$6,MAX(0,(C530-F530)*Dashboard!$F$6)),E530*Dashboard!$F$6))</x:f>
        <x:v>0</x:v>
      </x:c>
      <x:c r="H530" s="32" t="n">
        <x:f>IF(B530="Holiday",IF(Dashboard!$B$14="Interest Only",G530,F530),IF(B530="Closed",0,MIN(Dashboard!$F$10,E530+G530)))</x:f>
        <x:v>0</x:v>
      </x:c>
      <x:c r="I530" s="32" t="n">
        <x:f>IF(B530="Holiday",F530,IF(B530="Closed",0,MAX(0,H530-G530)))</x:f>
        <x:v>0</x:v>
      </x:c>
      <x:c r="J530" s="32" t="n">
        <x:f>IF(B530="Holiday",MAX(0,C530-F530),IF(B530="Closed",0,MAX(0,E530-I530)))</x:f>
        <x:v>0</x:v>
      </x:c>
      <x:c r="K530" s="32" t="n">
        <x:f>IF(B530="Holiday",IF(Dashboard!$B$14="Interest Only",D530,D530+G530),0)</x:f>
        <x:v>0</x:v>
      </x:c>
      <x:c r="L530" s="32" t="n">
        <x:f>J530+K530</x:f>
        <x:v>0</x:v>
      </x:c>
      <x:c r="M530" s="32" t="n">
        <x:f>IF(A530=1,H530,M529+H530)</x:f>
        <x:v>0</x:v>
      </x:c>
      <x:c r="N530" s="32" t="n">
        <x:f>IF(A530=1,I530,N529+I530)</x:f>
        <x:v>0</x:v>
      </x:c>
      <x:c r="O530" s="32" t="n">
        <x:f>IF(A530=1,G530,O529+G530)</x:f>
        <x:v>3671325</x:v>
      </x:c>
      <x:c r="P530" s="37" t="n">
        <x:f>EDATE(Dashboard!$B$10,A530)</x:f>
        <x:v>61118</x:v>
      </x:c>
    </x:row>
    <x:row r="531">
      <x:c r="A531" s="33" t="n">
        <x:v>530</x:v>
      </x:c>
      <x:c r="B531" s="33" t="str">
        <x:f>IF(A531&lt;=Dashboard!$F$8,"Holiday",IF(A531&lt;=Dashboard!$F$8+Dashboard!$F$7,"Repayment","Closed"))</x:f>
        <x:v>Closed</x:v>
      </x:c>
      <x:c r="C531" s="32">
        <x:f>IF(A531=1,Dashboard!$B$6,IF(B531="Holiday",J530,L530))</x:f>
      </x:c>
      <x:c r="D531" s="32">
        <x:f>IF(A531=1,0,IF(B531="Holiday",K530,0))</x:f>
      </x:c>
      <x:c r="E531" s="32">
        <x:f>C531+D531</x:f>
      </x:c>
      <x:c r="F531" s="32">
        <x:f>IF(B531="Holiday",IF(Dashboard!$B$14="Principal Only",MIN(Dashboard!$B$15,C531),0),0)</x:f>
      </x:c>
      <x:c r="G531" s="32" t="n">
        <x:f>IF(B531="Closed",0,IF(B531="Holiday",IF(Dashboard!$B$14="Interest Only",C531*Dashboard!$F$6,MAX(0,(C531-F531)*Dashboard!$F$6)),E531*Dashboard!$F$6))</x:f>
        <x:v>0</x:v>
      </x:c>
      <x:c r="H531" s="32" t="n">
        <x:f>IF(B531="Holiday",IF(Dashboard!$B$14="Interest Only",G531,F531),IF(B531="Closed",0,MIN(Dashboard!$F$10,E531+G531)))</x:f>
        <x:v>0</x:v>
      </x:c>
      <x:c r="I531" s="32" t="n">
        <x:f>IF(B531="Holiday",F531,IF(B531="Closed",0,MAX(0,H531-G531)))</x:f>
        <x:v>0</x:v>
      </x:c>
      <x:c r="J531" s="32" t="n">
        <x:f>IF(B531="Holiday",MAX(0,C531-F531),IF(B531="Closed",0,MAX(0,E531-I531)))</x:f>
        <x:v>0</x:v>
      </x:c>
      <x:c r="K531" s="32" t="n">
        <x:f>IF(B531="Holiday",IF(Dashboard!$B$14="Interest Only",D531,D531+G531),0)</x:f>
        <x:v>0</x:v>
      </x:c>
      <x:c r="L531" s="32" t="n">
        <x:f>J531+K531</x:f>
        <x:v>0</x:v>
      </x:c>
      <x:c r="M531" s="32" t="n">
        <x:f>IF(A531=1,H531,M530+H531)</x:f>
        <x:v>0</x:v>
      </x:c>
      <x:c r="N531" s="32" t="n">
        <x:f>IF(A531=1,I531,N530+I531)</x:f>
        <x:v>0</x:v>
      </x:c>
      <x:c r="O531" s="32" t="n">
        <x:f>IF(A531=1,G531,O530+G531)</x:f>
        <x:v>3671325</x:v>
      </x:c>
      <x:c r="P531" s="37" t="n">
        <x:f>EDATE(Dashboard!$B$10,A531)</x:f>
        <x:v>61149</x:v>
      </x:c>
    </x:row>
    <x:row r="532">
      <x:c r="A532" s="33" t="n">
        <x:v>531</x:v>
      </x:c>
      <x:c r="B532" s="33" t="str">
        <x:f>IF(A532&lt;=Dashboard!$F$8,"Holiday",IF(A532&lt;=Dashboard!$F$8+Dashboard!$F$7,"Repayment","Closed"))</x:f>
        <x:v>Closed</x:v>
      </x:c>
      <x:c r="C532" s="32">
        <x:f>IF(A532=1,Dashboard!$B$6,IF(B532="Holiday",J531,L531))</x:f>
      </x:c>
      <x:c r="D532" s="32">
        <x:f>IF(A532=1,0,IF(B532="Holiday",K531,0))</x:f>
      </x:c>
      <x:c r="E532" s="32">
        <x:f>C532+D532</x:f>
      </x:c>
      <x:c r="F532" s="32">
        <x:f>IF(B532="Holiday",IF(Dashboard!$B$14="Principal Only",MIN(Dashboard!$B$15,C532),0),0)</x:f>
      </x:c>
      <x:c r="G532" s="32" t="n">
        <x:f>IF(B532="Closed",0,IF(B532="Holiday",IF(Dashboard!$B$14="Interest Only",C532*Dashboard!$F$6,MAX(0,(C532-F532)*Dashboard!$F$6)),E532*Dashboard!$F$6))</x:f>
        <x:v>0</x:v>
      </x:c>
      <x:c r="H532" s="32" t="n">
        <x:f>IF(B532="Holiday",IF(Dashboard!$B$14="Interest Only",G532,F532),IF(B532="Closed",0,MIN(Dashboard!$F$10,E532+G532)))</x:f>
        <x:v>0</x:v>
      </x:c>
      <x:c r="I532" s="32" t="n">
        <x:f>IF(B532="Holiday",F532,IF(B532="Closed",0,MAX(0,H532-G532)))</x:f>
        <x:v>0</x:v>
      </x:c>
      <x:c r="J532" s="32" t="n">
        <x:f>IF(B532="Holiday",MAX(0,C532-F532),IF(B532="Closed",0,MAX(0,E532-I532)))</x:f>
        <x:v>0</x:v>
      </x:c>
      <x:c r="K532" s="32" t="n">
        <x:f>IF(B532="Holiday",IF(Dashboard!$B$14="Interest Only",D532,D532+G532),0)</x:f>
        <x:v>0</x:v>
      </x:c>
      <x:c r="L532" s="32" t="n">
        <x:f>J532+K532</x:f>
        <x:v>0</x:v>
      </x:c>
      <x:c r="M532" s="32" t="n">
        <x:f>IF(A532=1,H532,M531+H532)</x:f>
        <x:v>0</x:v>
      </x:c>
      <x:c r="N532" s="32" t="n">
        <x:f>IF(A532=1,I532,N531+I532)</x:f>
        <x:v>0</x:v>
      </x:c>
      <x:c r="O532" s="32" t="n">
        <x:f>IF(A532=1,G532,O531+G532)</x:f>
        <x:v>3671325</x:v>
      </x:c>
      <x:c r="P532" s="37" t="n">
        <x:f>EDATE(Dashboard!$B$10,A532)</x:f>
        <x:v>61179</x:v>
      </x:c>
    </x:row>
    <x:row r="533">
      <x:c r="A533" s="33" t="n">
        <x:v>532</x:v>
      </x:c>
      <x:c r="B533" s="33" t="str">
        <x:f>IF(A533&lt;=Dashboard!$F$8,"Holiday",IF(A533&lt;=Dashboard!$F$8+Dashboard!$F$7,"Repayment","Closed"))</x:f>
        <x:v>Closed</x:v>
      </x:c>
      <x:c r="C533" s="32">
        <x:f>IF(A533=1,Dashboard!$B$6,IF(B533="Holiday",J532,L532))</x:f>
      </x:c>
      <x:c r="D533" s="32">
        <x:f>IF(A533=1,0,IF(B533="Holiday",K532,0))</x:f>
      </x:c>
      <x:c r="E533" s="32">
        <x:f>C533+D533</x:f>
      </x:c>
      <x:c r="F533" s="32">
        <x:f>IF(B533="Holiday",IF(Dashboard!$B$14="Principal Only",MIN(Dashboard!$B$15,C533),0),0)</x:f>
      </x:c>
      <x:c r="G533" s="32" t="n">
        <x:f>IF(B533="Closed",0,IF(B533="Holiday",IF(Dashboard!$B$14="Interest Only",C533*Dashboard!$F$6,MAX(0,(C533-F533)*Dashboard!$F$6)),E533*Dashboard!$F$6))</x:f>
        <x:v>0</x:v>
      </x:c>
      <x:c r="H533" s="32" t="n">
        <x:f>IF(B533="Holiday",IF(Dashboard!$B$14="Interest Only",G533,F533),IF(B533="Closed",0,MIN(Dashboard!$F$10,E533+G533)))</x:f>
        <x:v>0</x:v>
      </x:c>
      <x:c r="I533" s="32" t="n">
        <x:f>IF(B533="Holiday",F533,IF(B533="Closed",0,MAX(0,H533-G533)))</x:f>
        <x:v>0</x:v>
      </x:c>
      <x:c r="J533" s="32" t="n">
        <x:f>IF(B533="Holiday",MAX(0,C533-F533),IF(B533="Closed",0,MAX(0,E533-I533)))</x:f>
        <x:v>0</x:v>
      </x:c>
      <x:c r="K533" s="32" t="n">
        <x:f>IF(B533="Holiday",IF(Dashboard!$B$14="Interest Only",D533,D533+G533),0)</x:f>
        <x:v>0</x:v>
      </x:c>
      <x:c r="L533" s="32" t="n">
        <x:f>J533+K533</x:f>
        <x:v>0</x:v>
      </x:c>
      <x:c r="M533" s="32" t="n">
        <x:f>IF(A533=1,H533,M532+H533)</x:f>
        <x:v>0</x:v>
      </x:c>
      <x:c r="N533" s="32" t="n">
        <x:f>IF(A533=1,I533,N532+I533)</x:f>
        <x:v>0</x:v>
      </x:c>
      <x:c r="O533" s="32" t="n">
        <x:f>IF(A533=1,G533,O532+G533)</x:f>
        <x:v>3671325</x:v>
      </x:c>
      <x:c r="P533" s="37" t="n">
        <x:f>EDATE(Dashboard!$B$10,A533)</x:f>
        <x:v>61210</x:v>
      </x:c>
    </x:row>
    <x:row r="534">
      <x:c r="A534" s="33" t="n">
        <x:v>533</x:v>
      </x:c>
      <x:c r="B534" s="33" t="str">
        <x:f>IF(A534&lt;=Dashboard!$F$8,"Holiday",IF(A534&lt;=Dashboard!$F$8+Dashboard!$F$7,"Repayment","Closed"))</x:f>
        <x:v>Closed</x:v>
      </x:c>
      <x:c r="C534" s="32">
        <x:f>IF(A534=1,Dashboard!$B$6,IF(B534="Holiday",J533,L533))</x:f>
      </x:c>
      <x:c r="D534" s="32">
        <x:f>IF(A534=1,0,IF(B534="Holiday",K533,0))</x:f>
      </x:c>
      <x:c r="E534" s="32">
        <x:f>C534+D534</x:f>
      </x:c>
      <x:c r="F534" s="32">
        <x:f>IF(B534="Holiday",IF(Dashboard!$B$14="Principal Only",MIN(Dashboard!$B$15,C534),0),0)</x:f>
      </x:c>
      <x:c r="G534" s="32" t="n">
        <x:f>IF(B534="Closed",0,IF(B534="Holiday",IF(Dashboard!$B$14="Interest Only",C534*Dashboard!$F$6,MAX(0,(C534-F534)*Dashboard!$F$6)),E534*Dashboard!$F$6))</x:f>
        <x:v>0</x:v>
      </x:c>
      <x:c r="H534" s="32" t="n">
        <x:f>IF(B534="Holiday",IF(Dashboard!$B$14="Interest Only",G534,F534),IF(B534="Closed",0,MIN(Dashboard!$F$10,E534+G534)))</x:f>
        <x:v>0</x:v>
      </x:c>
      <x:c r="I534" s="32" t="n">
        <x:f>IF(B534="Holiday",F534,IF(B534="Closed",0,MAX(0,H534-G534)))</x:f>
        <x:v>0</x:v>
      </x:c>
      <x:c r="J534" s="32" t="n">
        <x:f>IF(B534="Holiday",MAX(0,C534-F534),IF(B534="Closed",0,MAX(0,E534-I534)))</x:f>
        <x:v>0</x:v>
      </x:c>
      <x:c r="K534" s="32" t="n">
        <x:f>IF(B534="Holiday",IF(Dashboard!$B$14="Interest Only",D534,D534+G534),0)</x:f>
        <x:v>0</x:v>
      </x:c>
      <x:c r="L534" s="32" t="n">
        <x:f>J534+K534</x:f>
        <x:v>0</x:v>
      </x:c>
      <x:c r="M534" s="32" t="n">
        <x:f>IF(A534=1,H534,M533+H534)</x:f>
        <x:v>0</x:v>
      </x:c>
      <x:c r="N534" s="32" t="n">
        <x:f>IF(A534=1,I534,N533+I534)</x:f>
        <x:v>0</x:v>
      </x:c>
      <x:c r="O534" s="32" t="n">
        <x:f>IF(A534=1,G534,O533+G534)</x:f>
        <x:v>3671325</x:v>
      </x:c>
      <x:c r="P534" s="37" t="n">
        <x:f>EDATE(Dashboard!$B$10,A534)</x:f>
        <x:v>61241</x:v>
      </x:c>
    </x:row>
    <x:row r="535">
      <x:c r="A535" s="33" t="n">
        <x:v>534</x:v>
      </x:c>
      <x:c r="B535" s="33" t="str">
        <x:f>IF(A535&lt;=Dashboard!$F$8,"Holiday",IF(A535&lt;=Dashboard!$F$8+Dashboard!$F$7,"Repayment","Closed"))</x:f>
        <x:v>Closed</x:v>
      </x:c>
      <x:c r="C535" s="32">
        <x:f>IF(A535=1,Dashboard!$B$6,IF(B535="Holiday",J534,L534))</x:f>
      </x:c>
      <x:c r="D535" s="32">
        <x:f>IF(A535=1,0,IF(B535="Holiday",K534,0))</x:f>
      </x:c>
      <x:c r="E535" s="32">
        <x:f>C535+D535</x:f>
      </x:c>
      <x:c r="F535" s="32">
        <x:f>IF(B535="Holiday",IF(Dashboard!$B$14="Principal Only",MIN(Dashboard!$B$15,C535),0),0)</x:f>
      </x:c>
      <x:c r="G535" s="32" t="n">
        <x:f>IF(B535="Closed",0,IF(B535="Holiday",IF(Dashboard!$B$14="Interest Only",C535*Dashboard!$F$6,MAX(0,(C535-F535)*Dashboard!$F$6)),E535*Dashboard!$F$6))</x:f>
        <x:v>0</x:v>
      </x:c>
      <x:c r="H535" s="32" t="n">
        <x:f>IF(B535="Holiday",IF(Dashboard!$B$14="Interest Only",G535,F535),IF(B535="Closed",0,MIN(Dashboard!$F$10,E535+G535)))</x:f>
        <x:v>0</x:v>
      </x:c>
      <x:c r="I535" s="32" t="n">
        <x:f>IF(B535="Holiday",F535,IF(B535="Closed",0,MAX(0,H535-G535)))</x:f>
        <x:v>0</x:v>
      </x:c>
      <x:c r="J535" s="32" t="n">
        <x:f>IF(B535="Holiday",MAX(0,C535-F535),IF(B535="Closed",0,MAX(0,E535-I535)))</x:f>
        <x:v>0</x:v>
      </x:c>
      <x:c r="K535" s="32" t="n">
        <x:f>IF(B535="Holiday",IF(Dashboard!$B$14="Interest Only",D535,D535+G535),0)</x:f>
        <x:v>0</x:v>
      </x:c>
      <x:c r="L535" s="32" t="n">
        <x:f>J535+K535</x:f>
        <x:v>0</x:v>
      </x:c>
      <x:c r="M535" s="32" t="n">
        <x:f>IF(A535=1,H535,M534+H535)</x:f>
        <x:v>0</x:v>
      </x:c>
      <x:c r="N535" s="32" t="n">
        <x:f>IF(A535=1,I535,N534+I535)</x:f>
        <x:v>0</x:v>
      </x:c>
      <x:c r="O535" s="32" t="n">
        <x:f>IF(A535=1,G535,O534+G535)</x:f>
        <x:v>3671325</x:v>
      </x:c>
      <x:c r="P535" s="37" t="n">
        <x:f>EDATE(Dashboard!$B$10,A535)</x:f>
        <x:v>61271</x:v>
      </x:c>
    </x:row>
    <x:row r="536">
      <x:c r="A536" s="33" t="n">
        <x:v>535</x:v>
      </x:c>
      <x:c r="B536" s="33" t="str">
        <x:f>IF(A536&lt;=Dashboard!$F$8,"Holiday",IF(A536&lt;=Dashboard!$F$8+Dashboard!$F$7,"Repayment","Closed"))</x:f>
        <x:v>Closed</x:v>
      </x:c>
      <x:c r="C536" s="32">
        <x:f>IF(A536=1,Dashboard!$B$6,IF(B536="Holiday",J535,L535))</x:f>
      </x:c>
      <x:c r="D536" s="32">
        <x:f>IF(A536=1,0,IF(B536="Holiday",K535,0))</x:f>
      </x:c>
      <x:c r="E536" s="32">
        <x:f>C536+D536</x:f>
      </x:c>
      <x:c r="F536" s="32">
        <x:f>IF(B536="Holiday",IF(Dashboard!$B$14="Principal Only",MIN(Dashboard!$B$15,C536),0),0)</x:f>
      </x:c>
      <x:c r="G536" s="32" t="n">
        <x:f>IF(B536="Closed",0,IF(B536="Holiday",IF(Dashboard!$B$14="Interest Only",C536*Dashboard!$F$6,MAX(0,(C536-F536)*Dashboard!$F$6)),E536*Dashboard!$F$6))</x:f>
        <x:v>0</x:v>
      </x:c>
      <x:c r="H536" s="32" t="n">
        <x:f>IF(B536="Holiday",IF(Dashboard!$B$14="Interest Only",G536,F536),IF(B536="Closed",0,MIN(Dashboard!$F$10,E536+G536)))</x:f>
        <x:v>0</x:v>
      </x:c>
      <x:c r="I536" s="32" t="n">
        <x:f>IF(B536="Holiday",F536,IF(B536="Closed",0,MAX(0,H536-G536)))</x:f>
        <x:v>0</x:v>
      </x:c>
      <x:c r="J536" s="32" t="n">
        <x:f>IF(B536="Holiday",MAX(0,C536-F536),IF(B536="Closed",0,MAX(0,E536-I536)))</x:f>
        <x:v>0</x:v>
      </x:c>
      <x:c r="K536" s="32" t="n">
        <x:f>IF(B536="Holiday",IF(Dashboard!$B$14="Interest Only",D536,D536+G536),0)</x:f>
        <x:v>0</x:v>
      </x:c>
      <x:c r="L536" s="32" t="n">
        <x:f>J536+K536</x:f>
        <x:v>0</x:v>
      </x:c>
      <x:c r="M536" s="32" t="n">
        <x:f>IF(A536=1,H536,M535+H536)</x:f>
        <x:v>0</x:v>
      </x:c>
      <x:c r="N536" s="32" t="n">
        <x:f>IF(A536=1,I536,N535+I536)</x:f>
        <x:v>0</x:v>
      </x:c>
      <x:c r="O536" s="32" t="n">
        <x:f>IF(A536=1,G536,O535+G536)</x:f>
        <x:v>3671325</x:v>
      </x:c>
      <x:c r="P536" s="37" t="n">
        <x:f>EDATE(Dashboard!$B$10,A536)</x:f>
        <x:v>61302</x:v>
      </x:c>
    </x:row>
    <x:row r="537">
      <x:c r="A537" s="33" t="n">
        <x:v>536</x:v>
      </x:c>
      <x:c r="B537" s="33" t="str">
        <x:f>IF(A537&lt;=Dashboard!$F$8,"Holiday",IF(A537&lt;=Dashboard!$F$8+Dashboard!$F$7,"Repayment","Closed"))</x:f>
        <x:v>Closed</x:v>
      </x:c>
      <x:c r="C537" s="32">
        <x:f>IF(A537=1,Dashboard!$B$6,IF(B537="Holiday",J536,L536))</x:f>
      </x:c>
      <x:c r="D537" s="32">
        <x:f>IF(A537=1,0,IF(B537="Holiday",K536,0))</x:f>
      </x:c>
      <x:c r="E537" s="32">
        <x:f>C537+D537</x:f>
      </x:c>
      <x:c r="F537" s="32">
        <x:f>IF(B537="Holiday",IF(Dashboard!$B$14="Principal Only",MIN(Dashboard!$B$15,C537),0),0)</x:f>
      </x:c>
      <x:c r="G537" s="32" t="n">
        <x:f>IF(B537="Closed",0,IF(B537="Holiday",IF(Dashboard!$B$14="Interest Only",C537*Dashboard!$F$6,MAX(0,(C537-F537)*Dashboard!$F$6)),E537*Dashboard!$F$6))</x:f>
        <x:v>0</x:v>
      </x:c>
      <x:c r="H537" s="32" t="n">
        <x:f>IF(B537="Holiday",IF(Dashboard!$B$14="Interest Only",G537,F537),IF(B537="Closed",0,MIN(Dashboard!$F$10,E537+G537)))</x:f>
        <x:v>0</x:v>
      </x:c>
      <x:c r="I537" s="32" t="n">
        <x:f>IF(B537="Holiday",F537,IF(B537="Closed",0,MAX(0,H537-G537)))</x:f>
        <x:v>0</x:v>
      </x:c>
      <x:c r="J537" s="32" t="n">
        <x:f>IF(B537="Holiday",MAX(0,C537-F537),IF(B537="Closed",0,MAX(0,E537-I537)))</x:f>
        <x:v>0</x:v>
      </x:c>
      <x:c r="K537" s="32" t="n">
        <x:f>IF(B537="Holiday",IF(Dashboard!$B$14="Interest Only",D537,D537+G537),0)</x:f>
        <x:v>0</x:v>
      </x:c>
      <x:c r="L537" s="32" t="n">
        <x:f>J537+K537</x:f>
        <x:v>0</x:v>
      </x:c>
      <x:c r="M537" s="32" t="n">
        <x:f>IF(A537=1,H537,M536+H537)</x:f>
        <x:v>0</x:v>
      </x:c>
      <x:c r="N537" s="32" t="n">
        <x:f>IF(A537=1,I537,N536+I537)</x:f>
        <x:v>0</x:v>
      </x:c>
      <x:c r="O537" s="32" t="n">
        <x:f>IF(A537=1,G537,O536+G537)</x:f>
        <x:v>3671325</x:v>
      </x:c>
      <x:c r="P537" s="37" t="n">
        <x:f>EDATE(Dashboard!$B$10,A537)</x:f>
        <x:v>61332</x:v>
      </x:c>
    </x:row>
    <x:row r="538">
      <x:c r="A538" s="33" t="n">
        <x:v>537</x:v>
      </x:c>
      <x:c r="B538" s="33" t="str">
        <x:f>IF(A538&lt;=Dashboard!$F$8,"Holiday",IF(A538&lt;=Dashboard!$F$8+Dashboard!$F$7,"Repayment","Closed"))</x:f>
        <x:v>Closed</x:v>
      </x:c>
      <x:c r="C538" s="32">
        <x:f>IF(A538=1,Dashboard!$B$6,IF(B538="Holiday",J537,L537))</x:f>
      </x:c>
      <x:c r="D538" s="32">
        <x:f>IF(A538=1,0,IF(B538="Holiday",K537,0))</x:f>
      </x:c>
      <x:c r="E538" s="32">
        <x:f>C538+D538</x:f>
      </x:c>
      <x:c r="F538" s="32">
        <x:f>IF(B538="Holiday",IF(Dashboard!$B$14="Principal Only",MIN(Dashboard!$B$15,C538),0),0)</x:f>
      </x:c>
      <x:c r="G538" s="32" t="n">
        <x:f>IF(B538="Closed",0,IF(B538="Holiday",IF(Dashboard!$B$14="Interest Only",C538*Dashboard!$F$6,MAX(0,(C538-F538)*Dashboard!$F$6)),E538*Dashboard!$F$6))</x:f>
        <x:v>0</x:v>
      </x:c>
      <x:c r="H538" s="32" t="n">
        <x:f>IF(B538="Holiday",IF(Dashboard!$B$14="Interest Only",G538,F538),IF(B538="Closed",0,MIN(Dashboard!$F$10,E538+G538)))</x:f>
        <x:v>0</x:v>
      </x:c>
      <x:c r="I538" s="32" t="n">
        <x:f>IF(B538="Holiday",F538,IF(B538="Closed",0,MAX(0,H538-G538)))</x:f>
        <x:v>0</x:v>
      </x:c>
      <x:c r="J538" s="32" t="n">
        <x:f>IF(B538="Holiday",MAX(0,C538-F538),IF(B538="Closed",0,MAX(0,E538-I538)))</x:f>
        <x:v>0</x:v>
      </x:c>
      <x:c r="K538" s="32" t="n">
        <x:f>IF(B538="Holiday",IF(Dashboard!$B$14="Interest Only",D538,D538+G538),0)</x:f>
        <x:v>0</x:v>
      </x:c>
      <x:c r="L538" s="32" t="n">
        <x:f>J538+K538</x:f>
        <x:v>0</x:v>
      </x:c>
      <x:c r="M538" s="32" t="n">
        <x:f>IF(A538=1,H538,M537+H538)</x:f>
        <x:v>0</x:v>
      </x:c>
      <x:c r="N538" s="32" t="n">
        <x:f>IF(A538=1,I538,N537+I538)</x:f>
        <x:v>0</x:v>
      </x:c>
      <x:c r="O538" s="32" t="n">
        <x:f>IF(A538=1,G538,O537+G538)</x:f>
        <x:v>3671325</x:v>
      </x:c>
      <x:c r="P538" s="37" t="n">
        <x:f>EDATE(Dashboard!$B$10,A538)</x:f>
        <x:v>61363</x:v>
      </x:c>
    </x:row>
    <x:row r="539">
      <x:c r="A539" s="33" t="n">
        <x:v>538</x:v>
      </x:c>
      <x:c r="B539" s="33" t="str">
        <x:f>IF(A539&lt;=Dashboard!$F$8,"Holiday",IF(A539&lt;=Dashboard!$F$8+Dashboard!$F$7,"Repayment","Closed"))</x:f>
        <x:v>Closed</x:v>
      </x:c>
      <x:c r="C539" s="32">
        <x:f>IF(A539=1,Dashboard!$B$6,IF(B539="Holiday",J538,L538))</x:f>
      </x:c>
      <x:c r="D539" s="32">
        <x:f>IF(A539=1,0,IF(B539="Holiday",K538,0))</x:f>
      </x:c>
      <x:c r="E539" s="32">
        <x:f>C539+D539</x:f>
      </x:c>
      <x:c r="F539" s="32">
        <x:f>IF(B539="Holiday",IF(Dashboard!$B$14="Principal Only",MIN(Dashboard!$B$15,C539),0),0)</x:f>
      </x:c>
      <x:c r="G539" s="32" t="n">
        <x:f>IF(B539="Closed",0,IF(B539="Holiday",IF(Dashboard!$B$14="Interest Only",C539*Dashboard!$F$6,MAX(0,(C539-F539)*Dashboard!$F$6)),E539*Dashboard!$F$6))</x:f>
        <x:v>0</x:v>
      </x:c>
      <x:c r="H539" s="32" t="n">
        <x:f>IF(B539="Holiday",IF(Dashboard!$B$14="Interest Only",G539,F539),IF(B539="Closed",0,MIN(Dashboard!$F$10,E539+G539)))</x:f>
        <x:v>0</x:v>
      </x:c>
      <x:c r="I539" s="32" t="n">
        <x:f>IF(B539="Holiday",F539,IF(B539="Closed",0,MAX(0,H539-G539)))</x:f>
        <x:v>0</x:v>
      </x:c>
      <x:c r="J539" s="32" t="n">
        <x:f>IF(B539="Holiday",MAX(0,C539-F539),IF(B539="Closed",0,MAX(0,E539-I539)))</x:f>
        <x:v>0</x:v>
      </x:c>
      <x:c r="K539" s="32" t="n">
        <x:f>IF(B539="Holiday",IF(Dashboard!$B$14="Interest Only",D539,D539+G539),0)</x:f>
        <x:v>0</x:v>
      </x:c>
      <x:c r="L539" s="32" t="n">
        <x:f>J539+K539</x:f>
        <x:v>0</x:v>
      </x:c>
      <x:c r="M539" s="32" t="n">
        <x:f>IF(A539=1,H539,M538+H539)</x:f>
        <x:v>0</x:v>
      </x:c>
      <x:c r="N539" s="32" t="n">
        <x:f>IF(A539=1,I539,N538+I539)</x:f>
        <x:v>0</x:v>
      </x:c>
      <x:c r="O539" s="32" t="n">
        <x:f>IF(A539=1,G539,O538+G539)</x:f>
        <x:v>3671325</x:v>
      </x:c>
      <x:c r="P539" s="37" t="n">
        <x:f>EDATE(Dashboard!$B$10,A539)</x:f>
        <x:v>61394</x:v>
      </x:c>
    </x:row>
    <x:row r="540">
      <x:c r="A540" s="33" t="n">
        <x:v>539</x:v>
      </x:c>
      <x:c r="B540" s="33" t="str">
        <x:f>IF(A540&lt;=Dashboard!$F$8,"Holiday",IF(A540&lt;=Dashboard!$F$8+Dashboard!$F$7,"Repayment","Closed"))</x:f>
        <x:v>Closed</x:v>
      </x:c>
      <x:c r="C540" s="32">
        <x:f>IF(A540=1,Dashboard!$B$6,IF(B540="Holiday",J539,L539))</x:f>
      </x:c>
      <x:c r="D540" s="32">
        <x:f>IF(A540=1,0,IF(B540="Holiday",K539,0))</x:f>
      </x:c>
      <x:c r="E540" s="32">
        <x:f>C540+D540</x:f>
      </x:c>
      <x:c r="F540" s="32">
        <x:f>IF(B540="Holiday",IF(Dashboard!$B$14="Principal Only",MIN(Dashboard!$B$15,C540),0),0)</x:f>
      </x:c>
      <x:c r="G540" s="32" t="n">
        <x:f>IF(B540="Closed",0,IF(B540="Holiday",IF(Dashboard!$B$14="Interest Only",C540*Dashboard!$F$6,MAX(0,(C540-F540)*Dashboard!$F$6)),E540*Dashboard!$F$6))</x:f>
        <x:v>0</x:v>
      </x:c>
      <x:c r="H540" s="32" t="n">
        <x:f>IF(B540="Holiday",IF(Dashboard!$B$14="Interest Only",G540,F540),IF(B540="Closed",0,MIN(Dashboard!$F$10,E540+G540)))</x:f>
        <x:v>0</x:v>
      </x:c>
      <x:c r="I540" s="32" t="n">
        <x:f>IF(B540="Holiday",F540,IF(B540="Closed",0,MAX(0,H540-G540)))</x:f>
        <x:v>0</x:v>
      </x:c>
      <x:c r="J540" s="32" t="n">
        <x:f>IF(B540="Holiday",MAX(0,C540-F540),IF(B540="Closed",0,MAX(0,E540-I540)))</x:f>
        <x:v>0</x:v>
      </x:c>
      <x:c r="K540" s="32" t="n">
        <x:f>IF(B540="Holiday",IF(Dashboard!$B$14="Interest Only",D540,D540+G540),0)</x:f>
        <x:v>0</x:v>
      </x:c>
      <x:c r="L540" s="32" t="n">
        <x:f>J540+K540</x:f>
        <x:v>0</x:v>
      </x:c>
      <x:c r="M540" s="32" t="n">
        <x:f>IF(A540=1,H540,M539+H540)</x:f>
        <x:v>0</x:v>
      </x:c>
      <x:c r="N540" s="32" t="n">
        <x:f>IF(A540=1,I540,N539+I540)</x:f>
        <x:v>0</x:v>
      </x:c>
      <x:c r="O540" s="32" t="n">
        <x:f>IF(A540=1,G540,O539+G540)</x:f>
        <x:v>3671325</x:v>
      </x:c>
      <x:c r="P540" s="37" t="n">
        <x:f>EDATE(Dashboard!$B$10,A540)</x:f>
        <x:v>61423</x:v>
      </x:c>
    </x:row>
    <x:row r="541">
      <x:c r="A541" s="33" t="n">
        <x:v>540</x:v>
      </x:c>
      <x:c r="B541" s="33" t="str">
        <x:f>IF(A541&lt;=Dashboard!$F$8,"Holiday",IF(A541&lt;=Dashboard!$F$8+Dashboard!$F$7,"Repayment","Closed"))</x:f>
        <x:v>Closed</x:v>
      </x:c>
      <x:c r="C541" s="32">
        <x:f>IF(A541=1,Dashboard!$B$6,IF(B541="Holiday",J540,L540))</x:f>
      </x:c>
      <x:c r="D541" s="32">
        <x:f>IF(A541=1,0,IF(B541="Holiday",K540,0))</x:f>
      </x:c>
      <x:c r="E541" s="32">
        <x:f>C541+D541</x:f>
      </x:c>
      <x:c r="F541" s="32">
        <x:f>IF(B541="Holiday",IF(Dashboard!$B$14="Principal Only",MIN(Dashboard!$B$15,C541),0),0)</x:f>
      </x:c>
      <x:c r="G541" s="32" t="n">
        <x:f>IF(B541="Closed",0,IF(B541="Holiday",IF(Dashboard!$B$14="Interest Only",C541*Dashboard!$F$6,MAX(0,(C541-F541)*Dashboard!$F$6)),E541*Dashboard!$F$6))</x:f>
        <x:v>0</x:v>
      </x:c>
      <x:c r="H541" s="32" t="n">
        <x:f>IF(B541="Holiday",IF(Dashboard!$B$14="Interest Only",G541,F541),IF(B541="Closed",0,MIN(Dashboard!$F$10,E541+G541)))</x:f>
        <x:v>0</x:v>
      </x:c>
      <x:c r="I541" s="32" t="n">
        <x:f>IF(B541="Holiday",F541,IF(B541="Closed",0,MAX(0,H541-G541)))</x:f>
        <x:v>0</x:v>
      </x:c>
      <x:c r="J541" s="32" t="n">
        <x:f>IF(B541="Holiday",MAX(0,C541-F541),IF(B541="Closed",0,MAX(0,E541-I541)))</x:f>
        <x:v>0</x:v>
      </x:c>
      <x:c r="K541" s="32" t="n">
        <x:f>IF(B541="Holiday",IF(Dashboard!$B$14="Interest Only",D541,D541+G541),0)</x:f>
        <x:v>0</x:v>
      </x:c>
      <x:c r="L541" s="32" t="n">
        <x:f>J541+K541</x:f>
        <x:v>0</x:v>
      </x:c>
      <x:c r="M541" s="32" t="n">
        <x:f>IF(A541=1,H541,M540+H541)</x:f>
        <x:v>0</x:v>
      </x:c>
      <x:c r="N541" s="32" t="n">
        <x:f>IF(A541=1,I541,N540+I541)</x:f>
        <x:v>0</x:v>
      </x:c>
      <x:c r="O541" s="32" t="n">
        <x:f>IF(A541=1,G541,O540+G541)</x:f>
        <x:v>3671325</x:v>
      </x:c>
      <x:c r="P541" s="37" t="n">
        <x:f>EDATE(Dashboard!$B$10,A541)</x:f>
        <x:v>61454</x:v>
      </x:c>
    </x:row>
    <x:row r="542">
      <x:c r="A542" s="33" t="n">
        <x:v>541</x:v>
      </x:c>
      <x:c r="B542" s="33" t="str">
        <x:f>IF(A542&lt;=Dashboard!$F$8,"Holiday",IF(A542&lt;=Dashboard!$F$8+Dashboard!$F$7,"Repayment","Closed"))</x:f>
        <x:v>Closed</x:v>
      </x:c>
      <x:c r="C542" s="32">
        <x:f>IF(A542=1,Dashboard!$B$6,IF(B542="Holiday",J541,L541))</x:f>
      </x:c>
      <x:c r="D542" s="32">
        <x:f>IF(A542=1,0,IF(B542="Holiday",K541,0))</x:f>
      </x:c>
      <x:c r="E542" s="32">
        <x:f>C542+D542</x:f>
      </x:c>
      <x:c r="F542" s="32">
        <x:f>IF(B542="Holiday",IF(Dashboard!$B$14="Principal Only",MIN(Dashboard!$B$15,C542),0),0)</x:f>
      </x:c>
      <x:c r="G542" s="32" t="n">
        <x:f>IF(B542="Closed",0,IF(B542="Holiday",IF(Dashboard!$B$14="Interest Only",C542*Dashboard!$F$6,MAX(0,(C542-F542)*Dashboard!$F$6)),E542*Dashboard!$F$6))</x:f>
        <x:v>0</x:v>
      </x:c>
      <x:c r="H542" s="32" t="n">
        <x:f>IF(B542="Holiday",IF(Dashboard!$B$14="Interest Only",G542,F542),IF(B542="Closed",0,MIN(Dashboard!$F$10,E542+G542)))</x:f>
        <x:v>0</x:v>
      </x:c>
      <x:c r="I542" s="32" t="n">
        <x:f>IF(B542="Holiday",F542,IF(B542="Closed",0,MAX(0,H542-G542)))</x:f>
        <x:v>0</x:v>
      </x:c>
      <x:c r="J542" s="32" t="n">
        <x:f>IF(B542="Holiday",MAX(0,C542-F542),IF(B542="Closed",0,MAX(0,E542-I542)))</x:f>
        <x:v>0</x:v>
      </x:c>
      <x:c r="K542" s="32" t="n">
        <x:f>IF(B542="Holiday",IF(Dashboard!$B$14="Interest Only",D542,D542+G542),0)</x:f>
        <x:v>0</x:v>
      </x:c>
      <x:c r="L542" s="32" t="n">
        <x:f>J542+K542</x:f>
        <x:v>0</x:v>
      </x:c>
      <x:c r="M542" s="32" t="n">
        <x:f>IF(A542=1,H542,M541+H542)</x:f>
        <x:v>0</x:v>
      </x:c>
      <x:c r="N542" s="32" t="n">
        <x:f>IF(A542=1,I542,N541+I542)</x:f>
        <x:v>0</x:v>
      </x:c>
      <x:c r="O542" s="32" t="n">
        <x:f>IF(A542=1,G542,O541+G542)</x:f>
        <x:v>3671325</x:v>
      </x:c>
      <x:c r="P542" s="37" t="n">
        <x:f>EDATE(Dashboard!$B$10,A542)</x:f>
        <x:v>61484</x:v>
      </x:c>
    </x:row>
    <x:row r="543">
      <x:c r="A543" s="33" t="n">
        <x:v>542</x:v>
      </x:c>
      <x:c r="B543" s="33" t="str">
        <x:f>IF(A543&lt;=Dashboard!$F$8,"Holiday",IF(A543&lt;=Dashboard!$F$8+Dashboard!$F$7,"Repayment","Closed"))</x:f>
        <x:v>Closed</x:v>
      </x:c>
      <x:c r="C543" s="32">
        <x:f>IF(A543=1,Dashboard!$B$6,IF(B543="Holiday",J542,L542))</x:f>
      </x:c>
      <x:c r="D543" s="32">
        <x:f>IF(A543=1,0,IF(B543="Holiday",K542,0))</x:f>
      </x:c>
      <x:c r="E543" s="32">
        <x:f>C543+D543</x:f>
      </x:c>
      <x:c r="F543" s="32">
        <x:f>IF(B543="Holiday",IF(Dashboard!$B$14="Principal Only",MIN(Dashboard!$B$15,C543),0),0)</x:f>
      </x:c>
      <x:c r="G543" s="32" t="n">
        <x:f>IF(B543="Closed",0,IF(B543="Holiday",IF(Dashboard!$B$14="Interest Only",C543*Dashboard!$F$6,MAX(0,(C543-F543)*Dashboard!$F$6)),E543*Dashboard!$F$6))</x:f>
        <x:v>0</x:v>
      </x:c>
      <x:c r="H543" s="32" t="n">
        <x:f>IF(B543="Holiday",IF(Dashboard!$B$14="Interest Only",G543,F543),IF(B543="Closed",0,MIN(Dashboard!$F$10,E543+G543)))</x:f>
        <x:v>0</x:v>
      </x:c>
      <x:c r="I543" s="32" t="n">
        <x:f>IF(B543="Holiday",F543,IF(B543="Closed",0,MAX(0,H543-G543)))</x:f>
        <x:v>0</x:v>
      </x:c>
      <x:c r="J543" s="32" t="n">
        <x:f>IF(B543="Holiday",MAX(0,C543-F543),IF(B543="Closed",0,MAX(0,E543-I543)))</x:f>
        <x:v>0</x:v>
      </x:c>
      <x:c r="K543" s="32" t="n">
        <x:f>IF(B543="Holiday",IF(Dashboard!$B$14="Interest Only",D543,D543+G543),0)</x:f>
        <x:v>0</x:v>
      </x:c>
      <x:c r="L543" s="32" t="n">
        <x:f>J543+K543</x:f>
        <x:v>0</x:v>
      </x:c>
      <x:c r="M543" s="32" t="n">
        <x:f>IF(A543=1,H543,M542+H543)</x:f>
        <x:v>0</x:v>
      </x:c>
      <x:c r="N543" s="32" t="n">
        <x:f>IF(A543=1,I543,N542+I543)</x:f>
        <x:v>0</x:v>
      </x:c>
      <x:c r="O543" s="32" t="n">
        <x:f>IF(A543=1,G543,O542+G543)</x:f>
        <x:v>3671325</x:v>
      </x:c>
      <x:c r="P543" s="37" t="n">
        <x:f>EDATE(Dashboard!$B$10,A543)</x:f>
        <x:v>61515</x:v>
      </x:c>
    </x:row>
    <x:row r="544">
      <x:c r="A544" s="33" t="n">
        <x:v>543</x:v>
      </x:c>
      <x:c r="B544" s="33" t="str">
        <x:f>IF(A544&lt;=Dashboard!$F$8,"Holiday",IF(A544&lt;=Dashboard!$F$8+Dashboard!$F$7,"Repayment","Closed"))</x:f>
        <x:v>Closed</x:v>
      </x:c>
      <x:c r="C544" s="32">
        <x:f>IF(A544=1,Dashboard!$B$6,IF(B544="Holiday",J543,L543))</x:f>
      </x:c>
      <x:c r="D544" s="32">
        <x:f>IF(A544=1,0,IF(B544="Holiday",K543,0))</x:f>
      </x:c>
      <x:c r="E544" s="32">
        <x:f>C544+D544</x:f>
      </x:c>
      <x:c r="F544" s="32">
        <x:f>IF(B544="Holiday",IF(Dashboard!$B$14="Principal Only",MIN(Dashboard!$B$15,C544),0),0)</x:f>
      </x:c>
      <x:c r="G544" s="32" t="n">
        <x:f>IF(B544="Closed",0,IF(B544="Holiday",IF(Dashboard!$B$14="Interest Only",C544*Dashboard!$F$6,MAX(0,(C544-F544)*Dashboard!$F$6)),E544*Dashboard!$F$6))</x:f>
        <x:v>0</x:v>
      </x:c>
      <x:c r="H544" s="32" t="n">
        <x:f>IF(B544="Holiday",IF(Dashboard!$B$14="Interest Only",G544,F544),IF(B544="Closed",0,MIN(Dashboard!$F$10,E544+G544)))</x:f>
        <x:v>0</x:v>
      </x:c>
      <x:c r="I544" s="32" t="n">
        <x:f>IF(B544="Holiday",F544,IF(B544="Closed",0,MAX(0,H544-G544)))</x:f>
        <x:v>0</x:v>
      </x:c>
      <x:c r="J544" s="32" t="n">
        <x:f>IF(B544="Holiday",MAX(0,C544-F544),IF(B544="Closed",0,MAX(0,E544-I544)))</x:f>
        <x:v>0</x:v>
      </x:c>
      <x:c r="K544" s="32" t="n">
        <x:f>IF(B544="Holiday",IF(Dashboard!$B$14="Interest Only",D544,D544+G544),0)</x:f>
        <x:v>0</x:v>
      </x:c>
      <x:c r="L544" s="32" t="n">
        <x:f>J544+K544</x:f>
        <x:v>0</x:v>
      </x:c>
      <x:c r="M544" s="32" t="n">
        <x:f>IF(A544=1,H544,M543+H544)</x:f>
        <x:v>0</x:v>
      </x:c>
      <x:c r="N544" s="32" t="n">
        <x:f>IF(A544=1,I544,N543+I544)</x:f>
        <x:v>0</x:v>
      </x:c>
      <x:c r="O544" s="32" t="n">
        <x:f>IF(A544=1,G544,O543+G544)</x:f>
        <x:v>3671325</x:v>
      </x:c>
      <x:c r="P544" s="37" t="n">
        <x:f>EDATE(Dashboard!$B$10,A544)</x:f>
        <x:v>61545</x:v>
      </x:c>
    </x:row>
    <x:row r="545">
      <x:c r="A545" s="33" t="n">
        <x:v>544</x:v>
      </x:c>
      <x:c r="B545" s="33" t="str">
        <x:f>IF(A545&lt;=Dashboard!$F$8,"Holiday",IF(A545&lt;=Dashboard!$F$8+Dashboard!$F$7,"Repayment","Closed"))</x:f>
        <x:v>Closed</x:v>
      </x:c>
      <x:c r="C545" s="32">
        <x:f>IF(A545=1,Dashboard!$B$6,IF(B545="Holiday",J544,L544))</x:f>
      </x:c>
      <x:c r="D545" s="32">
        <x:f>IF(A545=1,0,IF(B545="Holiday",K544,0))</x:f>
      </x:c>
      <x:c r="E545" s="32">
        <x:f>C545+D545</x:f>
      </x:c>
      <x:c r="F545" s="32">
        <x:f>IF(B545="Holiday",IF(Dashboard!$B$14="Principal Only",MIN(Dashboard!$B$15,C545),0),0)</x:f>
      </x:c>
      <x:c r="G545" s="32" t="n">
        <x:f>IF(B545="Closed",0,IF(B545="Holiday",IF(Dashboard!$B$14="Interest Only",C545*Dashboard!$F$6,MAX(0,(C545-F545)*Dashboard!$F$6)),E545*Dashboard!$F$6))</x:f>
        <x:v>0</x:v>
      </x:c>
      <x:c r="H545" s="32" t="n">
        <x:f>IF(B545="Holiday",IF(Dashboard!$B$14="Interest Only",G545,F545),IF(B545="Closed",0,MIN(Dashboard!$F$10,E545+G545)))</x:f>
        <x:v>0</x:v>
      </x:c>
      <x:c r="I545" s="32" t="n">
        <x:f>IF(B545="Holiday",F545,IF(B545="Closed",0,MAX(0,H545-G545)))</x:f>
        <x:v>0</x:v>
      </x:c>
      <x:c r="J545" s="32" t="n">
        <x:f>IF(B545="Holiday",MAX(0,C545-F545),IF(B545="Closed",0,MAX(0,E545-I545)))</x:f>
        <x:v>0</x:v>
      </x:c>
      <x:c r="K545" s="32" t="n">
        <x:f>IF(B545="Holiday",IF(Dashboard!$B$14="Interest Only",D545,D545+G545),0)</x:f>
        <x:v>0</x:v>
      </x:c>
      <x:c r="L545" s="32" t="n">
        <x:f>J545+K545</x:f>
        <x:v>0</x:v>
      </x:c>
      <x:c r="M545" s="32" t="n">
        <x:f>IF(A545=1,H545,M544+H545)</x:f>
        <x:v>0</x:v>
      </x:c>
      <x:c r="N545" s="32" t="n">
        <x:f>IF(A545=1,I545,N544+I545)</x:f>
        <x:v>0</x:v>
      </x:c>
      <x:c r="O545" s="32" t="n">
        <x:f>IF(A545=1,G545,O544+G545)</x:f>
        <x:v>3671325</x:v>
      </x:c>
      <x:c r="P545" s="37" t="n">
        <x:f>EDATE(Dashboard!$B$10,A545)</x:f>
        <x:v>61576</x:v>
      </x:c>
    </x:row>
    <x:row r="546">
      <x:c r="A546" s="33" t="n">
        <x:v>545</x:v>
      </x:c>
      <x:c r="B546" s="33" t="str">
        <x:f>IF(A546&lt;=Dashboard!$F$8,"Holiday",IF(A546&lt;=Dashboard!$F$8+Dashboard!$F$7,"Repayment","Closed"))</x:f>
        <x:v>Closed</x:v>
      </x:c>
      <x:c r="C546" s="32">
        <x:f>IF(A546=1,Dashboard!$B$6,IF(B546="Holiday",J545,L545))</x:f>
      </x:c>
      <x:c r="D546" s="32">
        <x:f>IF(A546=1,0,IF(B546="Holiday",K545,0))</x:f>
      </x:c>
      <x:c r="E546" s="32">
        <x:f>C546+D546</x:f>
      </x:c>
      <x:c r="F546" s="32">
        <x:f>IF(B546="Holiday",IF(Dashboard!$B$14="Principal Only",MIN(Dashboard!$B$15,C546),0),0)</x:f>
      </x:c>
      <x:c r="G546" s="32" t="n">
        <x:f>IF(B546="Closed",0,IF(B546="Holiday",IF(Dashboard!$B$14="Interest Only",C546*Dashboard!$F$6,MAX(0,(C546-F546)*Dashboard!$F$6)),E546*Dashboard!$F$6))</x:f>
        <x:v>0</x:v>
      </x:c>
      <x:c r="H546" s="32" t="n">
        <x:f>IF(B546="Holiday",IF(Dashboard!$B$14="Interest Only",G546,F546),IF(B546="Closed",0,MIN(Dashboard!$F$10,E546+G546)))</x:f>
        <x:v>0</x:v>
      </x:c>
      <x:c r="I546" s="32" t="n">
        <x:f>IF(B546="Holiday",F546,IF(B546="Closed",0,MAX(0,H546-G546)))</x:f>
        <x:v>0</x:v>
      </x:c>
      <x:c r="J546" s="32" t="n">
        <x:f>IF(B546="Holiday",MAX(0,C546-F546),IF(B546="Closed",0,MAX(0,E546-I546)))</x:f>
        <x:v>0</x:v>
      </x:c>
      <x:c r="K546" s="32" t="n">
        <x:f>IF(B546="Holiday",IF(Dashboard!$B$14="Interest Only",D546,D546+G546),0)</x:f>
        <x:v>0</x:v>
      </x:c>
      <x:c r="L546" s="32" t="n">
        <x:f>J546+K546</x:f>
        <x:v>0</x:v>
      </x:c>
      <x:c r="M546" s="32" t="n">
        <x:f>IF(A546=1,H546,M545+H546)</x:f>
        <x:v>0</x:v>
      </x:c>
      <x:c r="N546" s="32" t="n">
        <x:f>IF(A546=1,I546,N545+I546)</x:f>
        <x:v>0</x:v>
      </x:c>
      <x:c r="O546" s="32" t="n">
        <x:f>IF(A546=1,G546,O545+G546)</x:f>
        <x:v>3671325</x:v>
      </x:c>
      <x:c r="P546" s="37" t="n">
        <x:f>EDATE(Dashboard!$B$10,A546)</x:f>
        <x:v>61607</x:v>
      </x:c>
    </x:row>
    <x:row r="547">
      <x:c r="A547" s="33" t="n">
        <x:v>546</x:v>
      </x:c>
      <x:c r="B547" s="33" t="str">
        <x:f>IF(A547&lt;=Dashboard!$F$8,"Holiday",IF(A547&lt;=Dashboard!$F$8+Dashboard!$F$7,"Repayment","Closed"))</x:f>
        <x:v>Closed</x:v>
      </x:c>
      <x:c r="C547" s="32">
        <x:f>IF(A547=1,Dashboard!$B$6,IF(B547="Holiday",J546,L546))</x:f>
      </x:c>
      <x:c r="D547" s="32">
        <x:f>IF(A547=1,0,IF(B547="Holiday",K546,0))</x:f>
      </x:c>
      <x:c r="E547" s="32">
        <x:f>C547+D547</x:f>
      </x:c>
      <x:c r="F547" s="32">
        <x:f>IF(B547="Holiday",IF(Dashboard!$B$14="Principal Only",MIN(Dashboard!$B$15,C547),0),0)</x:f>
      </x:c>
      <x:c r="G547" s="32" t="n">
        <x:f>IF(B547="Closed",0,IF(B547="Holiday",IF(Dashboard!$B$14="Interest Only",C547*Dashboard!$F$6,MAX(0,(C547-F547)*Dashboard!$F$6)),E547*Dashboard!$F$6))</x:f>
        <x:v>0</x:v>
      </x:c>
      <x:c r="H547" s="32" t="n">
        <x:f>IF(B547="Holiday",IF(Dashboard!$B$14="Interest Only",G547,F547),IF(B547="Closed",0,MIN(Dashboard!$F$10,E547+G547)))</x:f>
        <x:v>0</x:v>
      </x:c>
      <x:c r="I547" s="32" t="n">
        <x:f>IF(B547="Holiday",F547,IF(B547="Closed",0,MAX(0,H547-G547)))</x:f>
        <x:v>0</x:v>
      </x:c>
      <x:c r="J547" s="32" t="n">
        <x:f>IF(B547="Holiday",MAX(0,C547-F547),IF(B547="Closed",0,MAX(0,E547-I547)))</x:f>
        <x:v>0</x:v>
      </x:c>
      <x:c r="K547" s="32" t="n">
        <x:f>IF(B547="Holiday",IF(Dashboard!$B$14="Interest Only",D547,D547+G547),0)</x:f>
        <x:v>0</x:v>
      </x:c>
      <x:c r="L547" s="32" t="n">
        <x:f>J547+K547</x:f>
        <x:v>0</x:v>
      </x:c>
      <x:c r="M547" s="32" t="n">
        <x:f>IF(A547=1,H547,M546+H547)</x:f>
        <x:v>0</x:v>
      </x:c>
      <x:c r="N547" s="32" t="n">
        <x:f>IF(A547=1,I547,N546+I547)</x:f>
        <x:v>0</x:v>
      </x:c>
      <x:c r="O547" s="32" t="n">
        <x:f>IF(A547=1,G547,O546+G547)</x:f>
        <x:v>3671325</x:v>
      </x:c>
      <x:c r="P547" s="37" t="n">
        <x:f>EDATE(Dashboard!$B$10,A547)</x:f>
        <x:v>61637</x:v>
      </x:c>
    </x:row>
    <x:row r="548">
      <x:c r="A548" s="33" t="n">
        <x:v>547</x:v>
      </x:c>
      <x:c r="B548" s="33" t="str">
        <x:f>IF(A548&lt;=Dashboard!$F$8,"Holiday",IF(A548&lt;=Dashboard!$F$8+Dashboard!$F$7,"Repayment","Closed"))</x:f>
        <x:v>Closed</x:v>
      </x:c>
      <x:c r="C548" s="32">
        <x:f>IF(A548=1,Dashboard!$B$6,IF(B548="Holiday",J547,L547))</x:f>
      </x:c>
      <x:c r="D548" s="32">
        <x:f>IF(A548=1,0,IF(B548="Holiday",K547,0))</x:f>
      </x:c>
      <x:c r="E548" s="32">
        <x:f>C548+D548</x:f>
      </x:c>
      <x:c r="F548" s="32">
        <x:f>IF(B548="Holiday",IF(Dashboard!$B$14="Principal Only",MIN(Dashboard!$B$15,C548),0),0)</x:f>
      </x:c>
      <x:c r="G548" s="32" t="n">
        <x:f>IF(B548="Closed",0,IF(B548="Holiday",IF(Dashboard!$B$14="Interest Only",C548*Dashboard!$F$6,MAX(0,(C548-F548)*Dashboard!$F$6)),E548*Dashboard!$F$6))</x:f>
        <x:v>0</x:v>
      </x:c>
      <x:c r="H548" s="32" t="n">
        <x:f>IF(B548="Holiday",IF(Dashboard!$B$14="Interest Only",G548,F548),IF(B548="Closed",0,MIN(Dashboard!$F$10,E548+G548)))</x:f>
        <x:v>0</x:v>
      </x:c>
      <x:c r="I548" s="32" t="n">
        <x:f>IF(B548="Holiday",F548,IF(B548="Closed",0,MAX(0,H548-G548)))</x:f>
        <x:v>0</x:v>
      </x:c>
      <x:c r="J548" s="32" t="n">
        <x:f>IF(B548="Holiday",MAX(0,C548-F548),IF(B548="Closed",0,MAX(0,E548-I548)))</x:f>
        <x:v>0</x:v>
      </x:c>
      <x:c r="K548" s="32" t="n">
        <x:f>IF(B548="Holiday",IF(Dashboard!$B$14="Interest Only",D548,D548+G548),0)</x:f>
        <x:v>0</x:v>
      </x:c>
      <x:c r="L548" s="32" t="n">
        <x:f>J548+K548</x:f>
        <x:v>0</x:v>
      </x:c>
      <x:c r="M548" s="32" t="n">
        <x:f>IF(A548=1,H548,M547+H548)</x:f>
        <x:v>0</x:v>
      </x:c>
      <x:c r="N548" s="32" t="n">
        <x:f>IF(A548=1,I548,N547+I548)</x:f>
        <x:v>0</x:v>
      </x:c>
      <x:c r="O548" s="32" t="n">
        <x:f>IF(A548=1,G548,O547+G548)</x:f>
        <x:v>3671325</x:v>
      </x:c>
      <x:c r="P548" s="37" t="n">
        <x:f>EDATE(Dashboard!$B$10,A548)</x:f>
        <x:v>61668</x:v>
      </x:c>
    </x:row>
    <x:row r="549">
      <x:c r="A549" s="33" t="n">
        <x:v>548</x:v>
      </x:c>
      <x:c r="B549" s="33" t="str">
        <x:f>IF(A549&lt;=Dashboard!$F$8,"Holiday",IF(A549&lt;=Dashboard!$F$8+Dashboard!$F$7,"Repayment","Closed"))</x:f>
        <x:v>Closed</x:v>
      </x:c>
      <x:c r="C549" s="32">
        <x:f>IF(A549=1,Dashboard!$B$6,IF(B549="Holiday",J548,L548))</x:f>
      </x:c>
      <x:c r="D549" s="32">
        <x:f>IF(A549=1,0,IF(B549="Holiday",K548,0))</x:f>
      </x:c>
      <x:c r="E549" s="32">
        <x:f>C549+D549</x:f>
      </x:c>
      <x:c r="F549" s="32">
        <x:f>IF(B549="Holiday",IF(Dashboard!$B$14="Principal Only",MIN(Dashboard!$B$15,C549),0),0)</x:f>
      </x:c>
      <x:c r="G549" s="32" t="n">
        <x:f>IF(B549="Closed",0,IF(B549="Holiday",IF(Dashboard!$B$14="Interest Only",C549*Dashboard!$F$6,MAX(0,(C549-F549)*Dashboard!$F$6)),E549*Dashboard!$F$6))</x:f>
        <x:v>0</x:v>
      </x:c>
      <x:c r="H549" s="32" t="n">
        <x:f>IF(B549="Holiday",IF(Dashboard!$B$14="Interest Only",G549,F549),IF(B549="Closed",0,MIN(Dashboard!$F$10,E549+G549)))</x:f>
        <x:v>0</x:v>
      </x:c>
      <x:c r="I549" s="32" t="n">
        <x:f>IF(B549="Holiday",F549,IF(B549="Closed",0,MAX(0,H549-G549)))</x:f>
        <x:v>0</x:v>
      </x:c>
      <x:c r="J549" s="32" t="n">
        <x:f>IF(B549="Holiday",MAX(0,C549-F549),IF(B549="Closed",0,MAX(0,E549-I549)))</x:f>
        <x:v>0</x:v>
      </x:c>
      <x:c r="K549" s="32" t="n">
        <x:f>IF(B549="Holiday",IF(Dashboard!$B$14="Interest Only",D549,D549+G549),0)</x:f>
        <x:v>0</x:v>
      </x:c>
      <x:c r="L549" s="32" t="n">
        <x:f>J549+K549</x:f>
        <x:v>0</x:v>
      </x:c>
      <x:c r="M549" s="32" t="n">
        <x:f>IF(A549=1,H549,M548+H549)</x:f>
        <x:v>0</x:v>
      </x:c>
      <x:c r="N549" s="32" t="n">
        <x:f>IF(A549=1,I549,N548+I549)</x:f>
        <x:v>0</x:v>
      </x:c>
      <x:c r="O549" s="32" t="n">
        <x:f>IF(A549=1,G549,O548+G549)</x:f>
        <x:v>3671325</x:v>
      </x:c>
      <x:c r="P549" s="37" t="n">
        <x:f>EDATE(Dashboard!$B$10,A549)</x:f>
        <x:v>61698</x:v>
      </x:c>
    </x:row>
    <x:row r="550">
      <x:c r="A550" s="33" t="n">
        <x:v>549</x:v>
      </x:c>
      <x:c r="B550" s="33" t="str">
        <x:f>IF(A550&lt;=Dashboard!$F$8,"Holiday",IF(A550&lt;=Dashboard!$F$8+Dashboard!$F$7,"Repayment","Closed"))</x:f>
        <x:v>Closed</x:v>
      </x:c>
      <x:c r="C550" s="32">
        <x:f>IF(A550=1,Dashboard!$B$6,IF(B550="Holiday",J549,L549))</x:f>
      </x:c>
      <x:c r="D550" s="32">
        <x:f>IF(A550=1,0,IF(B550="Holiday",K549,0))</x:f>
      </x:c>
      <x:c r="E550" s="32">
        <x:f>C550+D550</x:f>
      </x:c>
      <x:c r="F550" s="32">
        <x:f>IF(B550="Holiday",IF(Dashboard!$B$14="Principal Only",MIN(Dashboard!$B$15,C550),0),0)</x:f>
      </x:c>
      <x:c r="G550" s="32" t="n">
        <x:f>IF(B550="Closed",0,IF(B550="Holiday",IF(Dashboard!$B$14="Interest Only",C550*Dashboard!$F$6,MAX(0,(C550-F550)*Dashboard!$F$6)),E550*Dashboard!$F$6))</x:f>
        <x:v>0</x:v>
      </x:c>
      <x:c r="H550" s="32" t="n">
        <x:f>IF(B550="Holiday",IF(Dashboard!$B$14="Interest Only",G550,F550),IF(B550="Closed",0,MIN(Dashboard!$F$10,E550+G550)))</x:f>
        <x:v>0</x:v>
      </x:c>
      <x:c r="I550" s="32" t="n">
        <x:f>IF(B550="Holiday",F550,IF(B550="Closed",0,MAX(0,H550-G550)))</x:f>
        <x:v>0</x:v>
      </x:c>
      <x:c r="J550" s="32" t="n">
        <x:f>IF(B550="Holiday",MAX(0,C550-F550),IF(B550="Closed",0,MAX(0,E550-I550)))</x:f>
        <x:v>0</x:v>
      </x:c>
      <x:c r="K550" s="32" t="n">
        <x:f>IF(B550="Holiday",IF(Dashboard!$B$14="Interest Only",D550,D550+G550),0)</x:f>
        <x:v>0</x:v>
      </x:c>
      <x:c r="L550" s="32" t="n">
        <x:f>J550+K550</x:f>
        <x:v>0</x:v>
      </x:c>
      <x:c r="M550" s="32" t="n">
        <x:f>IF(A550=1,H550,M549+H550)</x:f>
        <x:v>0</x:v>
      </x:c>
      <x:c r="N550" s="32" t="n">
        <x:f>IF(A550=1,I550,N549+I550)</x:f>
        <x:v>0</x:v>
      </x:c>
      <x:c r="O550" s="32" t="n">
        <x:f>IF(A550=1,G550,O549+G550)</x:f>
        <x:v>3671325</x:v>
      </x:c>
      <x:c r="P550" s="37" t="n">
        <x:f>EDATE(Dashboard!$B$10,A550)</x:f>
        <x:v>61729</x:v>
      </x:c>
    </x:row>
    <x:row r="551">
      <x:c r="A551" s="33" t="n">
        <x:v>550</x:v>
      </x:c>
      <x:c r="B551" s="33" t="str">
        <x:f>IF(A551&lt;=Dashboard!$F$8,"Holiday",IF(A551&lt;=Dashboard!$F$8+Dashboard!$F$7,"Repayment","Closed"))</x:f>
        <x:v>Closed</x:v>
      </x:c>
      <x:c r="C551" s="32">
        <x:f>IF(A551=1,Dashboard!$B$6,IF(B551="Holiday",J550,L550))</x:f>
      </x:c>
      <x:c r="D551" s="32">
        <x:f>IF(A551=1,0,IF(B551="Holiday",K550,0))</x:f>
      </x:c>
      <x:c r="E551" s="32">
        <x:f>C551+D551</x:f>
      </x:c>
      <x:c r="F551" s="32">
        <x:f>IF(B551="Holiday",IF(Dashboard!$B$14="Principal Only",MIN(Dashboard!$B$15,C551),0),0)</x:f>
      </x:c>
      <x:c r="G551" s="32" t="n">
        <x:f>IF(B551="Closed",0,IF(B551="Holiday",IF(Dashboard!$B$14="Interest Only",C551*Dashboard!$F$6,MAX(0,(C551-F551)*Dashboard!$F$6)),E551*Dashboard!$F$6))</x:f>
        <x:v>0</x:v>
      </x:c>
      <x:c r="H551" s="32" t="n">
        <x:f>IF(B551="Holiday",IF(Dashboard!$B$14="Interest Only",G551,F551),IF(B551="Closed",0,MIN(Dashboard!$F$10,E551+G551)))</x:f>
        <x:v>0</x:v>
      </x:c>
      <x:c r="I551" s="32" t="n">
        <x:f>IF(B551="Holiday",F551,IF(B551="Closed",0,MAX(0,H551-G551)))</x:f>
        <x:v>0</x:v>
      </x:c>
      <x:c r="J551" s="32" t="n">
        <x:f>IF(B551="Holiday",MAX(0,C551-F551),IF(B551="Closed",0,MAX(0,E551-I551)))</x:f>
        <x:v>0</x:v>
      </x:c>
      <x:c r="K551" s="32" t="n">
        <x:f>IF(B551="Holiday",IF(Dashboard!$B$14="Interest Only",D551,D551+G551),0)</x:f>
        <x:v>0</x:v>
      </x:c>
      <x:c r="L551" s="32" t="n">
        <x:f>J551+K551</x:f>
        <x:v>0</x:v>
      </x:c>
      <x:c r="M551" s="32" t="n">
        <x:f>IF(A551=1,H551,M550+H551)</x:f>
        <x:v>0</x:v>
      </x:c>
      <x:c r="N551" s="32" t="n">
        <x:f>IF(A551=1,I551,N550+I551)</x:f>
        <x:v>0</x:v>
      </x:c>
      <x:c r="O551" s="32" t="n">
        <x:f>IF(A551=1,G551,O550+G551)</x:f>
        <x:v>3671325</x:v>
      </x:c>
      <x:c r="P551" s="37" t="n">
        <x:f>EDATE(Dashboard!$B$10,A551)</x:f>
        <x:v>61760</x:v>
      </x:c>
    </x:row>
    <x:row r="552">
      <x:c r="A552" s="33" t="n">
        <x:v>551</x:v>
      </x:c>
      <x:c r="B552" s="33" t="str">
        <x:f>IF(A552&lt;=Dashboard!$F$8,"Holiday",IF(A552&lt;=Dashboard!$F$8+Dashboard!$F$7,"Repayment","Closed"))</x:f>
        <x:v>Closed</x:v>
      </x:c>
      <x:c r="C552" s="32">
        <x:f>IF(A552=1,Dashboard!$B$6,IF(B552="Holiday",J551,L551))</x:f>
      </x:c>
      <x:c r="D552" s="32">
        <x:f>IF(A552=1,0,IF(B552="Holiday",K551,0))</x:f>
      </x:c>
      <x:c r="E552" s="32">
        <x:f>C552+D552</x:f>
      </x:c>
      <x:c r="F552" s="32">
        <x:f>IF(B552="Holiday",IF(Dashboard!$B$14="Principal Only",MIN(Dashboard!$B$15,C552),0),0)</x:f>
      </x:c>
      <x:c r="G552" s="32" t="n">
        <x:f>IF(B552="Closed",0,IF(B552="Holiday",IF(Dashboard!$B$14="Interest Only",C552*Dashboard!$F$6,MAX(0,(C552-F552)*Dashboard!$F$6)),E552*Dashboard!$F$6))</x:f>
        <x:v>0</x:v>
      </x:c>
      <x:c r="H552" s="32" t="n">
        <x:f>IF(B552="Holiday",IF(Dashboard!$B$14="Interest Only",G552,F552),IF(B552="Closed",0,MIN(Dashboard!$F$10,E552+G552)))</x:f>
        <x:v>0</x:v>
      </x:c>
      <x:c r="I552" s="32" t="n">
        <x:f>IF(B552="Holiday",F552,IF(B552="Closed",0,MAX(0,H552-G552)))</x:f>
        <x:v>0</x:v>
      </x:c>
      <x:c r="J552" s="32" t="n">
        <x:f>IF(B552="Holiday",MAX(0,C552-F552),IF(B552="Closed",0,MAX(0,E552-I552)))</x:f>
        <x:v>0</x:v>
      </x:c>
      <x:c r="K552" s="32" t="n">
        <x:f>IF(B552="Holiday",IF(Dashboard!$B$14="Interest Only",D552,D552+G552),0)</x:f>
        <x:v>0</x:v>
      </x:c>
      <x:c r="L552" s="32" t="n">
        <x:f>J552+K552</x:f>
        <x:v>0</x:v>
      </x:c>
      <x:c r="M552" s="32" t="n">
        <x:f>IF(A552=1,H552,M551+H552)</x:f>
        <x:v>0</x:v>
      </x:c>
      <x:c r="N552" s="32" t="n">
        <x:f>IF(A552=1,I552,N551+I552)</x:f>
        <x:v>0</x:v>
      </x:c>
      <x:c r="O552" s="32" t="n">
        <x:f>IF(A552=1,G552,O551+G552)</x:f>
        <x:v>3671325</x:v>
      </x:c>
      <x:c r="P552" s="37" t="n">
        <x:f>EDATE(Dashboard!$B$10,A552)</x:f>
        <x:v>61788</x:v>
      </x:c>
    </x:row>
    <x:row r="553">
      <x:c r="A553" s="33" t="n">
        <x:v>552</x:v>
      </x:c>
      <x:c r="B553" s="33" t="str">
        <x:f>IF(A553&lt;=Dashboard!$F$8,"Holiday",IF(A553&lt;=Dashboard!$F$8+Dashboard!$F$7,"Repayment","Closed"))</x:f>
        <x:v>Closed</x:v>
      </x:c>
      <x:c r="C553" s="32">
        <x:f>IF(A553=1,Dashboard!$B$6,IF(B553="Holiday",J552,L552))</x:f>
      </x:c>
      <x:c r="D553" s="32">
        <x:f>IF(A553=1,0,IF(B553="Holiday",K552,0))</x:f>
      </x:c>
      <x:c r="E553" s="32">
        <x:f>C553+D553</x:f>
      </x:c>
      <x:c r="F553" s="32">
        <x:f>IF(B553="Holiday",IF(Dashboard!$B$14="Principal Only",MIN(Dashboard!$B$15,C553),0),0)</x:f>
      </x:c>
      <x:c r="G553" s="32" t="n">
        <x:f>IF(B553="Closed",0,IF(B553="Holiday",IF(Dashboard!$B$14="Interest Only",C553*Dashboard!$F$6,MAX(0,(C553-F553)*Dashboard!$F$6)),E553*Dashboard!$F$6))</x:f>
        <x:v>0</x:v>
      </x:c>
      <x:c r="H553" s="32" t="n">
        <x:f>IF(B553="Holiday",IF(Dashboard!$B$14="Interest Only",G553,F553),IF(B553="Closed",0,MIN(Dashboard!$F$10,E553+G553)))</x:f>
        <x:v>0</x:v>
      </x:c>
      <x:c r="I553" s="32" t="n">
        <x:f>IF(B553="Holiday",F553,IF(B553="Closed",0,MAX(0,H553-G553)))</x:f>
        <x:v>0</x:v>
      </x:c>
      <x:c r="J553" s="32" t="n">
        <x:f>IF(B553="Holiday",MAX(0,C553-F553),IF(B553="Closed",0,MAX(0,E553-I553)))</x:f>
        <x:v>0</x:v>
      </x:c>
      <x:c r="K553" s="32" t="n">
        <x:f>IF(B553="Holiday",IF(Dashboard!$B$14="Interest Only",D553,D553+G553),0)</x:f>
        <x:v>0</x:v>
      </x:c>
      <x:c r="L553" s="32" t="n">
        <x:f>J553+K553</x:f>
        <x:v>0</x:v>
      </x:c>
      <x:c r="M553" s="32" t="n">
        <x:f>IF(A553=1,H553,M552+H553)</x:f>
        <x:v>0</x:v>
      </x:c>
      <x:c r="N553" s="32" t="n">
        <x:f>IF(A553=1,I553,N552+I553)</x:f>
        <x:v>0</x:v>
      </x:c>
      <x:c r="O553" s="32" t="n">
        <x:f>IF(A553=1,G553,O552+G553)</x:f>
        <x:v>3671325</x:v>
      </x:c>
      <x:c r="P553" s="37" t="n">
        <x:f>EDATE(Dashboard!$B$10,A553)</x:f>
        <x:v>61819</x:v>
      </x:c>
    </x:row>
    <x:row r="554">
      <x:c r="A554" s="33" t="n">
        <x:v>553</x:v>
      </x:c>
      <x:c r="B554" s="33" t="str">
        <x:f>IF(A554&lt;=Dashboard!$F$8,"Holiday",IF(A554&lt;=Dashboard!$F$8+Dashboard!$F$7,"Repayment","Closed"))</x:f>
        <x:v>Closed</x:v>
      </x:c>
      <x:c r="C554" s="32">
        <x:f>IF(A554=1,Dashboard!$B$6,IF(B554="Holiday",J553,L553))</x:f>
      </x:c>
      <x:c r="D554" s="32">
        <x:f>IF(A554=1,0,IF(B554="Holiday",K553,0))</x:f>
      </x:c>
      <x:c r="E554" s="32">
        <x:f>C554+D554</x:f>
      </x:c>
      <x:c r="F554" s="32">
        <x:f>IF(B554="Holiday",IF(Dashboard!$B$14="Principal Only",MIN(Dashboard!$B$15,C554),0),0)</x:f>
      </x:c>
      <x:c r="G554" s="32" t="n">
        <x:f>IF(B554="Closed",0,IF(B554="Holiday",IF(Dashboard!$B$14="Interest Only",C554*Dashboard!$F$6,MAX(0,(C554-F554)*Dashboard!$F$6)),E554*Dashboard!$F$6))</x:f>
        <x:v>0</x:v>
      </x:c>
      <x:c r="H554" s="32" t="n">
        <x:f>IF(B554="Holiday",IF(Dashboard!$B$14="Interest Only",G554,F554),IF(B554="Closed",0,MIN(Dashboard!$F$10,E554+G554)))</x:f>
        <x:v>0</x:v>
      </x:c>
      <x:c r="I554" s="32" t="n">
        <x:f>IF(B554="Holiday",F554,IF(B554="Closed",0,MAX(0,H554-G554)))</x:f>
        <x:v>0</x:v>
      </x:c>
      <x:c r="J554" s="32" t="n">
        <x:f>IF(B554="Holiday",MAX(0,C554-F554),IF(B554="Closed",0,MAX(0,E554-I554)))</x:f>
        <x:v>0</x:v>
      </x:c>
      <x:c r="K554" s="32" t="n">
        <x:f>IF(B554="Holiday",IF(Dashboard!$B$14="Interest Only",D554,D554+G554),0)</x:f>
        <x:v>0</x:v>
      </x:c>
      <x:c r="L554" s="32" t="n">
        <x:f>J554+K554</x:f>
        <x:v>0</x:v>
      </x:c>
      <x:c r="M554" s="32" t="n">
        <x:f>IF(A554=1,H554,M553+H554)</x:f>
        <x:v>0</x:v>
      </x:c>
      <x:c r="N554" s="32" t="n">
        <x:f>IF(A554=1,I554,N553+I554)</x:f>
        <x:v>0</x:v>
      </x:c>
      <x:c r="O554" s="32" t="n">
        <x:f>IF(A554=1,G554,O553+G554)</x:f>
        <x:v>3671325</x:v>
      </x:c>
      <x:c r="P554" s="37" t="n">
        <x:f>EDATE(Dashboard!$B$10,A554)</x:f>
        <x:v>61849</x:v>
      </x:c>
    </x:row>
    <x:row r="555">
      <x:c r="A555" s="33" t="n">
        <x:v>554</x:v>
      </x:c>
      <x:c r="B555" s="33" t="str">
        <x:f>IF(A555&lt;=Dashboard!$F$8,"Holiday",IF(A555&lt;=Dashboard!$F$8+Dashboard!$F$7,"Repayment","Closed"))</x:f>
        <x:v>Closed</x:v>
      </x:c>
      <x:c r="C555" s="32">
        <x:f>IF(A555=1,Dashboard!$B$6,IF(B555="Holiday",J554,L554))</x:f>
      </x:c>
      <x:c r="D555" s="32">
        <x:f>IF(A555=1,0,IF(B555="Holiday",K554,0))</x:f>
      </x:c>
      <x:c r="E555" s="32">
        <x:f>C555+D555</x:f>
      </x:c>
      <x:c r="F555" s="32">
        <x:f>IF(B555="Holiday",IF(Dashboard!$B$14="Principal Only",MIN(Dashboard!$B$15,C555),0),0)</x:f>
      </x:c>
      <x:c r="G555" s="32" t="n">
        <x:f>IF(B555="Closed",0,IF(B555="Holiday",IF(Dashboard!$B$14="Interest Only",C555*Dashboard!$F$6,MAX(0,(C555-F555)*Dashboard!$F$6)),E555*Dashboard!$F$6))</x:f>
        <x:v>0</x:v>
      </x:c>
      <x:c r="H555" s="32" t="n">
        <x:f>IF(B555="Holiday",IF(Dashboard!$B$14="Interest Only",G555,F555),IF(B555="Closed",0,MIN(Dashboard!$F$10,E555+G555)))</x:f>
        <x:v>0</x:v>
      </x:c>
      <x:c r="I555" s="32" t="n">
        <x:f>IF(B555="Holiday",F555,IF(B555="Closed",0,MAX(0,H555-G555)))</x:f>
        <x:v>0</x:v>
      </x:c>
      <x:c r="J555" s="32" t="n">
        <x:f>IF(B555="Holiday",MAX(0,C555-F555),IF(B555="Closed",0,MAX(0,E555-I555)))</x:f>
        <x:v>0</x:v>
      </x:c>
      <x:c r="K555" s="32" t="n">
        <x:f>IF(B555="Holiday",IF(Dashboard!$B$14="Interest Only",D555,D555+G555),0)</x:f>
        <x:v>0</x:v>
      </x:c>
      <x:c r="L555" s="32" t="n">
        <x:f>J555+K555</x:f>
        <x:v>0</x:v>
      </x:c>
      <x:c r="M555" s="32" t="n">
        <x:f>IF(A555=1,H555,M554+H555)</x:f>
        <x:v>0</x:v>
      </x:c>
      <x:c r="N555" s="32" t="n">
        <x:f>IF(A555=1,I555,N554+I555)</x:f>
        <x:v>0</x:v>
      </x:c>
      <x:c r="O555" s="32" t="n">
        <x:f>IF(A555=1,G555,O554+G555)</x:f>
        <x:v>3671325</x:v>
      </x:c>
      <x:c r="P555" s="37" t="n">
        <x:f>EDATE(Dashboard!$B$10,A555)</x:f>
        <x:v>61880</x:v>
      </x:c>
    </x:row>
    <x:row r="556">
      <x:c r="A556" s="33" t="n">
        <x:v>555</x:v>
      </x:c>
      <x:c r="B556" s="33" t="str">
        <x:f>IF(A556&lt;=Dashboard!$F$8,"Holiday",IF(A556&lt;=Dashboard!$F$8+Dashboard!$F$7,"Repayment","Closed"))</x:f>
        <x:v>Closed</x:v>
      </x:c>
      <x:c r="C556" s="32">
        <x:f>IF(A556=1,Dashboard!$B$6,IF(B556="Holiday",J555,L555))</x:f>
      </x:c>
      <x:c r="D556" s="32">
        <x:f>IF(A556=1,0,IF(B556="Holiday",K555,0))</x:f>
      </x:c>
      <x:c r="E556" s="32">
        <x:f>C556+D556</x:f>
      </x:c>
      <x:c r="F556" s="32">
        <x:f>IF(B556="Holiday",IF(Dashboard!$B$14="Principal Only",MIN(Dashboard!$B$15,C556),0),0)</x:f>
      </x:c>
      <x:c r="G556" s="32" t="n">
        <x:f>IF(B556="Closed",0,IF(B556="Holiday",IF(Dashboard!$B$14="Interest Only",C556*Dashboard!$F$6,MAX(0,(C556-F556)*Dashboard!$F$6)),E556*Dashboard!$F$6))</x:f>
        <x:v>0</x:v>
      </x:c>
      <x:c r="H556" s="32" t="n">
        <x:f>IF(B556="Holiday",IF(Dashboard!$B$14="Interest Only",G556,F556),IF(B556="Closed",0,MIN(Dashboard!$F$10,E556+G556)))</x:f>
        <x:v>0</x:v>
      </x:c>
      <x:c r="I556" s="32" t="n">
        <x:f>IF(B556="Holiday",F556,IF(B556="Closed",0,MAX(0,H556-G556)))</x:f>
        <x:v>0</x:v>
      </x:c>
      <x:c r="J556" s="32" t="n">
        <x:f>IF(B556="Holiday",MAX(0,C556-F556),IF(B556="Closed",0,MAX(0,E556-I556)))</x:f>
        <x:v>0</x:v>
      </x:c>
      <x:c r="K556" s="32" t="n">
        <x:f>IF(B556="Holiday",IF(Dashboard!$B$14="Interest Only",D556,D556+G556),0)</x:f>
        <x:v>0</x:v>
      </x:c>
      <x:c r="L556" s="32" t="n">
        <x:f>J556+K556</x:f>
        <x:v>0</x:v>
      </x:c>
      <x:c r="M556" s="32" t="n">
        <x:f>IF(A556=1,H556,M555+H556)</x:f>
        <x:v>0</x:v>
      </x:c>
      <x:c r="N556" s="32" t="n">
        <x:f>IF(A556=1,I556,N555+I556)</x:f>
        <x:v>0</x:v>
      </x:c>
      <x:c r="O556" s="32" t="n">
        <x:f>IF(A556=1,G556,O555+G556)</x:f>
        <x:v>3671325</x:v>
      </x:c>
      <x:c r="P556" s="37" t="n">
        <x:f>EDATE(Dashboard!$B$10,A556)</x:f>
        <x:v>61910</x:v>
      </x:c>
    </x:row>
    <x:row r="557">
      <x:c r="A557" s="33" t="n">
        <x:v>556</x:v>
      </x:c>
      <x:c r="B557" s="33" t="str">
        <x:f>IF(A557&lt;=Dashboard!$F$8,"Holiday",IF(A557&lt;=Dashboard!$F$8+Dashboard!$F$7,"Repayment","Closed"))</x:f>
        <x:v>Closed</x:v>
      </x:c>
      <x:c r="C557" s="32">
        <x:f>IF(A557=1,Dashboard!$B$6,IF(B557="Holiday",J556,L556))</x:f>
      </x:c>
      <x:c r="D557" s="32">
        <x:f>IF(A557=1,0,IF(B557="Holiday",K556,0))</x:f>
      </x:c>
      <x:c r="E557" s="32">
        <x:f>C557+D557</x:f>
      </x:c>
      <x:c r="F557" s="32">
        <x:f>IF(B557="Holiday",IF(Dashboard!$B$14="Principal Only",MIN(Dashboard!$B$15,C557),0),0)</x:f>
      </x:c>
      <x:c r="G557" s="32" t="n">
        <x:f>IF(B557="Closed",0,IF(B557="Holiday",IF(Dashboard!$B$14="Interest Only",C557*Dashboard!$F$6,MAX(0,(C557-F557)*Dashboard!$F$6)),E557*Dashboard!$F$6))</x:f>
        <x:v>0</x:v>
      </x:c>
      <x:c r="H557" s="32" t="n">
        <x:f>IF(B557="Holiday",IF(Dashboard!$B$14="Interest Only",G557,F557),IF(B557="Closed",0,MIN(Dashboard!$F$10,E557+G557)))</x:f>
        <x:v>0</x:v>
      </x:c>
      <x:c r="I557" s="32" t="n">
        <x:f>IF(B557="Holiday",F557,IF(B557="Closed",0,MAX(0,H557-G557)))</x:f>
        <x:v>0</x:v>
      </x:c>
      <x:c r="J557" s="32" t="n">
        <x:f>IF(B557="Holiday",MAX(0,C557-F557),IF(B557="Closed",0,MAX(0,E557-I557)))</x:f>
        <x:v>0</x:v>
      </x:c>
      <x:c r="K557" s="32" t="n">
        <x:f>IF(B557="Holiday",IF(Dashboard!$B$14="Interest Only",D557,D557+G557),0)</x:f>
        <x:v>0</x:v>
      </x:c>
      <x:c r="L557" s="32" t="n">
        <x:f>J557+K557</x:f>
        <x:v>0</x:v>
      </x:c>
      <x:c r="M557" s="32" t="n">
        <x:f>IF(A557=1,H557,M556+H557)</x:f>
        <x:v>0</x:v>
      </x:c>
      <x:c r="N557" s="32" t="n">
        <x:f>IF(A557=1,I557,N556+I557)</x:f>
        <x:v>0</x:v>
      </x:c>
      <x:c r="O557" s="32" t="n">
        <x:f>IF(A557=1,G557,O556+G557)</x:f>
        <x:v>3671325</x:v>
      </x:c>
      <x:c r="P557" s="37" t="n">
        <x:f>EDATE(Dashboard!$B$10,A557)</x:f>
        <x:v>61941</x:v>
      </x:c>
    </x:row>
    <x:row r="558">
      <x:c r="A558" s="33" t="n">
        <x:v>557</x:v>
      </x:c>
      <x:c r="B558" s="33" t="str">
        <x:f>IF(A558&lt;=Dashboard!$F$8,"Holiday",IF(A558&lt;=Dashboard!$F$8+Dashboard!$F$7,"Repayment","Closed"))</x:f>
        <x:v>Closed</x:v>
      </x:c>
      <x:c r="C558" s="32">
        <x:f>IF(A558=1,Dashboard!$B$6,IF(B558="Holiday",J557,L557))</x:f>
      </x:c>
      <x:c r="D558" s="32">
        <x:f>IF(A558=1,0,IF(B558="Holiday",K557,0))</x:f>
      </x:c>
      <x:c r="E558" s="32">
        <x:f>C558+D558</x:f>
      </x:c>
      <x:c r="F558" s="32">
        <x:f>IF(B558="Holiday",IF(Dashboard!$B$14="Principal Only",MIN(Dashboard!$B$15,C558),0),0)</x:f>
      </x:c>
      <x:c r="G558" s="32" t="n">
        <x:f>IF(B558="Closed",0,IF(B558="Holiday",IF(Dashboard!$B$14="Interest Only",C558*Dashboard!$F$6,MAX(0,(C558-F558)*Dashboard!$F$6)),E558*Dashboard!$F$6))</x:f>
        <x:v>0</x:v>
      </x:c>
      <x:c r="H558" s="32" t="n">
        <x:f>IF(B558="Holiday",IF(Dashboard!$B$14="Interest Only",G558,F558),IF(B558="Closed",0,MIN(Dashboard!$F$10,E558+G558)))</x:f>
        <x:v>0</x:v>
      </x:c>
      <x:c r="I558" s="32" t="n">
        <x:f>IF(B558="Holiday",F558,IF(B558="Closed",0,MAX(0,H558-G558)))</x:f>
        <x:v>0</x:v>
      </x:c>
      <x:c r="J558" s="32" t="n">
        <x:f>IF(B558="Holiday",MAX(0,C558-F558),IF(B558="Closed",0,MAX(0,E558-I558)))</x:f>
        <x:v>0</x:v>
      </x:c>
      <x:c r="K558" s="32" t="n">
        <x:f>IF(B558="Holiday",IF(Dashboard!$B$14="Interest Only",D558,D558+G558),0)</x:f>
        <x:v>0</x:v>
      </x:c>
      <x:c r="L558" s="32" t="n">
        <x:f>J558+K558</x:f>
        <x:v>0</x:v>
      </x:c>
      <x:c r="M558" s="32" t="n">
        <x:f>IF(A558=1,H558,M557+H558)</x:f>
        <x:v>0</x:v>
      </x:c>
      <x:c r="N558" s="32" t="n">
        <x:f>IF(A558=1,I558,N557+I558)</x:f>
        <x:v>0</x:v>
      </x:c>
      <x:c r="O558" s="32" t="n">
        <x:f>IF(A558=1,G558,O557+G558)</x:f>
        <x:v>3671325</x:v>
      </x:c>
      <x:c r="P558" s="37" t="n">
        <x:f>EDATE(Dashboard!$B$10,A558)</x:f>
        <x:v>61972</x:v>
      </x:c>
    </x:row>
    <x:row r="559">
      <x:c r="A559" s="33" t="n">
        <x:v>558</x:v>
      </x:c>
      <x:c r="B559" s="33" t="str">
        <x:f>IF(A559&lt;=Dashboard!$F$8,"Holiday",IF(A559&lt;=Dashboard!$F$8+Dashboard!$F$7,"Repayment","Closed"))</x:f>
        <x:v>Closed</x:v>
      </x:c>
      <x:c r="C559" s="32">
        <x:f>IF(A559=1,Dashboard!$B$6,IF(B559="Holiday",J558,L558))</x:f>
      </x:c>
      <x:c r="D559" s="32">
        <x:f>IF(A559=1,0,IF(B559="Holiday",K558,0))</x:f>
      </x:c>
      <x:c r="E559" s="32">
        <x:f>C559+D559</x:f>
      </x:c>
      <x:c r="F559" s="32">
        <x:f>IF(B559="Holiday",IF(Dashboard!$B$14="Principal Only",MIN(Dashboard!$B$15,C559),0),0)</x:f>
      </x:c>
      <x:c r="G559" s="32" t="n">
        <x:f>IF(B559="Closed",0,IF(B559="Holiday",IF(Dashboard!$B$14="Interest Only",C559*Dashboard!$F$6,MAX(0,(C559-F559)*Dashboard!$F$6)),E559*Dashboard!$F$6))</x:f>
        <x:v>0</x:v>
      </x:c>
      <x:c r="H559" s="32" t="n">
        <x:f>IF(B559="Holiday",IF(Dashboard!$B$14="Interest Only",G559,F559),IF(B559="Closed",0,MIN(Dashboard!$F$10,E559+G559)))</x:f>
        <x:v>0</x:v>
      </x:c>
      <x:c r="I559" s="32" t="n">
        <x:f>IF(B559="Holiday",F559,IF(B559="Closed",0,MAX(0,H559-G559)))</x:f>
        <x:v>0</x:v>
      </x:c>
      <x:c r="J559" s="32" t="n">
        <x:f>IF(B559="Holiday",MAX(0,C559-F559),IF(B559="Closed",0,MAX(0,E559-I559)))</x:f>
        <x:v>0</x:v>
      </x:c>
      <x:c r="K559" s="32" t="n">
        <x:f>IF(B559="Holiday",IF(Dashboard!$B$14="Interest Only",D559,D559+G559),0)</x:f>
        <x:v>0</x:v>
      </x:c>
      <x:c r="L559" s="32" t="n">
        <x:f>J559+K559</x:f>
        <x:v>0</x:v>
      </x:c>
      <x:c r="M559" s="32" t="n">
        <x:f>IF(A559=1,H559,M558+H559)</x:f>
        <x:v>0</x:v>
      </x:c>
      <x:c r="N559" s="32" t="n">
        <x:f>IF(A559=1,I559,N558+I559)</x:f>
        <x:v>0</x:v>
      </x:c>
      <x:c r="O559" s="32" t="n">
        <x:f>IF(A559=1,G559,O558+G559)</x:f>
        <x:v>3671325</x:v>
      </x:c>
      <x:c r="P559" s="37" t="n">
        <x:f>EDATE(Dashboard!$B$10,A559)</x:f>
        <x:v>62002</x:v>
      </x:c>
    </x:row>
    <x:row r="560">
      <x:c r="A560" s="33" t="n">
        <x:v>559</x:v>
      </x:c>
      <x:c r="B560" s="33" t="str">
        <x:f>IF(A560&lt;=Dashboard!$F$8,"Holiday",IF(A560&lt;=Dashboard!$F$8+Dashboard!$F$7,"Repayment","Closed"))</x:f>
        <x:v>Closed</x:v>
      </x:c>
      <x:c r="C560" s="32">
        <x:f>IF(A560=1,Dashboard!$B$6,IF(B560="Holiday",J559,L559))</x:f>
      </x:c>
      <x:c r="D560" s="32">
        <x:f>IF(A560=1,0,IF(B560="Holiday",K559,0))</x:f>
      </x:c>
      <x:c r="E560" s="32">
        <x:f>C560+D560</x:f>
      </x:c>
      <x:c r="F560" s="32">
        <x:f>IF(B560="Holiday",IF(Dashboard!$B$14="Principal Only",MIN(Dashboard!$B$15,C560),0),0)</x:f>
      </x:c>
      <x:c r="G560" s="32" t="n">
        <x:f>IF(B560="Closed",0,IF(B560="Holiday",IF(Dashboard!$B$14="Interest Only",C560*Dashboard!$F$6,MAX(0,(C560-F560)*Dashboard!$F$6)),E560*Dashboard!$F$6))</x:f>
        <x:v>0</x:v>
      </x:c>
      <x:c r="H560" s="32" t="n">
        <x:f>IF(B560="Holiday",IF(Dashboard!$B$14="Interest Only",G560,F560),IF(B560="Closed",0,MIN(Dashboard!$F$10,E560+G560)))</x:f>
        <x:v>0</x:v>
      </x:c>
      <x:c r="I560" s="32" t="n">
        <x:f>IF(B560="Holiday",F560,IF(B560="Closed",0,MAX(0,H560-G560)))</x:f>
        <x:v>0</x:v>
      </x:c>
      <x:c r="J560" s="32" t="n">
        <x:f>IF(B560="Holiday",MAX(0,C560-F560),IF(B560="Closed",0,MAX(0,E560-I560)))</x:f>
        <x:v>0</x:v>
      </x:c>
      <x:c r="K560" s="32" t="n">
        <x:f>IF(B560="Holiday",IF(Dashboard!$B$14="Interest Only",D560,D560+G560),0)</x:f>
        <x:v>0</x:v>
      </x:c>
      <x:c r="L560" s="32" t="n">
        <x:f>J560+K560</x:f>
        <x:v>0</x:v>
      </x:c>
      <x:c r="M560" s="32" t="n">
        <x:f>IF(A560=1,H560,M559+H560)</x:f>
        <x:v>0</x:v>
      </x:c>
      <x:c r="N560" s="32" t="n">
        <x:f>IF(A560=1,I560,N559+I560)</x:f>
        <x:v>0</x:v>
      </x:c>
      <x:c r="O560" s="32" t="n">
        <x:f>IF(A560=1,G560,O559+G560)</x:f>
        <x:v>3671325</x:v>
      </x:c>
      <x:c r="P560" s="37" t="n">
        <x:f>EDATE(Dashboard!$B$10,A560)</x:f>
        <x:v>62033</x:v>
      </x:c>
    </x:row>
    <x:row r="561">
      <x:c r="A561" s="33" t="n">
        <x:v>560</x:v>
      </x:c>
      <x:c r="B561" s="33" t="str">
        <x:f>IF(A561&lt;=Dashboard!$F$8,"Holiday",IF(A561&lt;=Dashboard!$F$8+Dashboard!$F$7,"Repayment","Closed"))</x:f>
        <x:v>Closed</x:v>
      </x:c>
      <x:c r="C561" s="32">
        <x:f>IF(A561=1,Dashboard!$B$6,IF(B561="Holiday",J560,L560))</x:f>
      </x:c>
      <x:c r="D561" s="32">
        <x:f>IF(A561=1,0,IF(B561="Holiday",K560,0))</x:f>
      </x:c>
      <x:c r="E561" s="32">
        <x:f>C561+D561</x:f>
      </x:c>
      <x:c r="F561" s="32">
        <x:f>IF(B561="Holiday",IF(Dashboard!$B$14="Principal Only",MIN(Dashboard!$B$15,C561),0),0)</x:f>
      </x:c>
      <x:c r="G561" s="32" t="n">
        <x:f>IF(B561="Closed",0,IF(B561="Holiday",IF(Dashboard!$B$14="Interest Only",C561*Dashboard!$F$6,MAX(0,(C561-F561)*Dashboard!$F$6)),E561*Dashboard!$F$6))</x:f>
        <x:v>0</x:v>
      </x:c>
      <x:c r="H561" s="32" t="n">
        <x:f>IF(B561="Holiday",IF(Dashboard!$B$14="Interest Only",G561,F561),IF(B561="Closed",0,MIN(Dashboard!$F$10,E561+G561)))</x:f>
        <x:v>0</x:v>
      </x:c>
      <x:c r="I561" s="32" t="n">
        <x:f>IF(B561="Holiday",F561,IF(B561="Closed",0,MAX(0,H561-G561)))</x:f>
        <x:v>0</x:v>
      </x:c>
      <x:c r="J561" s="32" t="n">
        <x:f>IF(B561="Holiday",MAX(0,C561-F561),IF(B561="Closed",0,MAX(0,E561-I561)))</x:f>
        <x:v>0</x:v>
      </x:c>
      <x:c r="K561" s="32" t="n">
        <x:f>IF(B561="Holiday",IF(Dashboard!$B$14="Interest Only",D561,D561+G561),0)</x:f>
        <x:v>0</x:v>
      </x:c>
      <x:c r="L561" s="32" t="n">
        <x:f>J561+K561</x:f>
        <x:v>0</x:v>
      </x:c>
      <x:c r="M561" s="32" t="n">
        <x:f>IF(A561=1,H561,M560+H561)</x:f>
        <x:v>0</x:v>
      </x:c>
      <x:c r="N561" s="32" t="n">
        <x:f>IF(A561=1,I561,N560+I561)</x:f>
        <x:v>0</x:v>
      </x:c>
      <x:c r="O561" s="32" t="n">
        <x:f>IF(A561=1,G561,O560+G561)</x:f>
        <x:v>3671325</x:v>
      </x:c>
      <x:c r="P561" s="37" t="n">
        <x:f>EDATE(Dashboard!$B$10,A561)</x:f>
        <x:v>62063</x:v>
      </x:c>
    </x:row>
    <x:row r="562">
      <x:c r="A562" s="33" t="n">
        <x:v>561</x:v>
      </x:c>
      <x:c r="B562" s="33" t="str">
        <x:f>IF(A562&lt;=Dashboard!$F$8,"Holiday",IF(A562&lt;=Dashboard!$F$8+Dashboard!$F$7,"Repayment","Closed"))</x:f>
        <x:v>Closed</x:v>
      </x:c>
      <x:c r="C562" s="32">
        <x:f>IF(A562=1,Dashboard!$B$6,IF(B562="Holiday",J561,L561))</x:f>
      </x:c>
      <x:c r="D562" s="32">
        <x:f>IF(A562=1,0,IF(B562="Holiday",K561,0))</x:f>
      </x:c>
      <x:c r="E562" s="32">
        <x:f>C562+D562</x:f>
      </x:c>
      <x:c r="F562" s="32">
        <x:f>IF(B562="Holiday",IF(Dashboard!$B$14="Principal Only",MIN(Dashboard!$B$15,C562),0),0)</x:f>
      </x:c>
      <x:c r="G562" s="32" t="n">
        <x:f>IF(B562="Closed",0,IF(B562="Holiday",IF(Dashboard!$B$14="Interest Only",C562*Dashboard!$F$6,MAX(0,(C562-F562)*Dashboard!$F$6)),E562*Dashboard!$F$6))</x:f>
        <x:v>0</x:v>
      </x:c>
      <x:c r="H562" s="32" t="n">
        <x:f>IF(B562="Holiday",IF(Dashboard!$B$14="Interest Only",G562,F562),IF(B562="Closed",0,MIN(Dashboard!$F$10,E562+G562)))</x:f>
        <x:v>0</x:v>
      </x:c>
      <x:c r="I562" s="32" t="n">
        <x:f>IF(B562="Holiday",F562,IF(B562="Closed",0,MAX(0,H562-G562)))</x:f>
        <x:v>0</x:v>
      </x:c>
      <x:c r="J562" s="32" t="n">
        <x:f>IF(B562="Holiday",MAX(0,C562-F562),IF(B562="Closed",0,MAX(0,E562-I562)))</x:f>
        <x:v>0</x:v>
      </x:c>
      <x:c r="K562" s="32" t="n">
        <x:f>IF(B562="Holiday",IF(Dashboard!$B$14="Interest Only",D562,D562+G562),0)</x:f>
        <x:v>0</x:v>
      </x:c>
      <x:c r="L562" s="32" t="n">
        <x:f>J562+K562</x:f>
        <x:v>0</x:v>
      </x:c>
      <x:c r="M562" s="32" t="n">
        <x:f>IF(A562=1,H562,M561+H562)</x:f>
        <x:v>0</x:v>
      </x:c>
      <x:c r="N562" s="32" t="n">
        <x:f>IF(A562=1,I562,N561+I562)</x:f>
        <x:v>0</x:v>
      </x:c>
      <x:c r="O562" s="32" t="n">
        <x:f>IF(A562=1,G562,O561+G562)</x:f>
        <x:v>3671325</x:v>
      </x:c>
      <x:c r="P562" s="37" t="n">
        <x:f>EDATE(Dashboard!$B$10,A562)</x:f>
        <x:v>62094</x:v>
      </x:c>
    </x:row>
    <x:row r="563">
      <x:c r="A563" s="33" t="n">
        <x:v>562</x:v>
      </x:c>
      <x:c r="B563" s="33" t="str">
        <x:f>IF(A563&lt;=Dashboard!$F$8,"Holiday",IF(A563&lt;=Dashboard!$F$8+Dashboard!$F$7,"Repayment","Closed"))</x:f>
        <x:v>Closed</x:v>
      </x:c>
      <x:c r="C563" s="32">
        <x:f>IF(A563=1,Dashboard!$B$6,IF(B563="Holiday",J562,L562))</x:f>
      </x:c>
      <x:c r="D563" s="32">
        <x:f>IF(A563=1,0,IF(B563="Holiday",K562,0))</x:f>
      </x:c>
      <x:c r="E563" s="32">
        <x:f>C563+D563</x:f>
      </x:c>
      <x:c r="F563" s="32">
        <x:f>IF(B563="Holiday",IF(Dashboard!$B$14="Principal Only",MIN(Dashboard!$B$15,C563),0),0)</x:f>
      </x:c>
      <x:c r="G563" s="32" t="n">
        <x:f>IF(B563="Closed",0,IF(B563="Holiday",IF(Dashboard!$B$14="Interest Only",C563*Dashboard!$F$6,MAX(0,(C563-F563)*Dashboard!$F$6)),E563*Dashboard!$F$6))</x:f>
        <x:v>0</x:v>
      </x:c>
      <x:c r="H563" s="32" t="n">
        <x:f>IF(B563="Holiday",IF(Dashboard!$B$14="Interest Only",G563,F563),IF(B563="Closed",0,MIN(Dashboard!$F$10,E563+G563)))</x:f>
        <x:v>0</x:v>
      </x:c>
      <x:c r="I563" s="32" t="n">
        <x:f>IF(B563="Holiday",F563,IF(B563="Closed",0,MAX(0,H563-G563)))</x:f>
        <x:v>0</x:v>
      </x:c>
      <x:c r="J563" s="32" t="n">
        <x:f>IF(B563="Holiday",MAX(0,C563-F563),IF(B563="Closed",0,MAX(0,E563-I563)))</x:f>
        <x:v>0</x:v>
      </x:c>
      <x:c r="K563" s="32" t="n">
        <x:f>IF(B563="Holiday",IF(Dashboard!$B$14="Interest Only",D563,D563+G563),0)</x:f>
        <x:v>0</x:v>
      </x:c>
      <x:c r="L563" s="32" t="n">
        <x:f>J563+K563</x:f>
        <x:v>0</x:v>
      </x:c>
      <x:c r="M563" s="32" t="n">
        <x:f>IF(A563=1,H563,M562+H563)</x:f>
        <x:v>0</x:v>
      </x:c>
      <x:c r="N563" s="32" t="n">
        <x:f>IF(A563=1,I563,N562+I563)</x:f>
        <x:v>0</x:v>
      </x:c>
      <x:c r="O563" s="32" t="n">
        <x:f>IF(A563=1,G563,O562+G563)</x:f>
        <x:v>3671325</x:v>
      </x:c>
      <x:c r="P563" s="37" t="n">
        <x:f>EDATE(Dashboard!$B$10,A563)</x:f>
        <x:v>62125</x:v>
      </x:c>
    </x:row>
    <x:row r="564">
      <x:c r="A564" s="33" t="n">
        <x:v>563</x:v>
      </x:c>
      <x:c r="B564" s="33" t="str">
        <x:f>IF(A564&lt;=Dashboard!$F$8,"Holiday",IF(A564&lt;=Dashboard!$F$8+Dashboard!$F$7,"Repayment","Closed"))</x:f>
        <x:v>Closed</x:v>
      </x:c>
      <x:c r="C564" s="32">
        <x:f>IF(A564=1,Dashboard!$B$6,IF(B564="Holiday",J563,L563))</x:f>
      </x:c>
      <x:c r="D564" s="32">
        <x:f>IF(A564=1,0,IF(B564="Holiday",K563,0))</x:f>
      </x:c>
      <x:c r="E564" s="32">
        <x:f>C564+D564</x:f>
      </x:c>
      <x:c r="F564" s="32">
        <x:f>IF(B564="Holiday",IF(Dashboard!$B$14="Principal Only",MIN(Dashboard!$B$15,C564),0),0)</x:f>
      </x:c>
      <x:c r="G564" s="32" t="n">
        <x:f>IF(B564="Closed",0,IF(B564="Holiday",IF(Dashboard!$B$14="Interest Only",C564*Dashboard!$F$6,MAX(0,(C564-F564)*Dashboard!$F$6)),E564*Dashboard!$F$6))</x:f>
        <x:v>0</x:v>
      </x:c>
      <x:c r="H564" s="32" t="n">
        <x:f>IF(B564="Holiday",IF(Dashboard!$B$14="Interest Only",G564,F564),IF(B564="Closed",0,MIN(Dashboard!$F$10,E564+G564)))</x:f>
        <x:v>0</x:v>
      </x:c>
      <x:c r="I564" s="32" t="n">
        <x:f>IF(B564="Holiday",F564,IF(B564="Closed",0,MAX(0,H564-G564)))</x:f>
        <x:v>0</x:v>
      </x:c>
      <x:c r="J564" s="32" t="n">
        <x:f>IF(B564="Holiday",MAX(0,C564-F564),IF(B564="Closed",0,MAX(0,E564-I564)))</x:f>
        <x:v>0</x:v>
      </x:c>
      <x:c r="K564" s="32" t="n">
        <x:f>IF(B564="Holiday",IF(Dashboard!$B$14="Interest Only",D564,D564+G564),0)</x:f>
        <x:v>0</x:v>
      </x:c>
      <x:c r="L564" s="32" t="n">
        <x:f>J564+K564</x:f>
        <x:v>0</x:v>
      </x:c>
      <x:c r="M564" s="32" t="n">
        <x:f>IF(A564=1,H564,M563+H564)</x:f>
        <x:v>0</x:v>
      </x:c>
      <x:c r="N564" s="32" t="n">
        <x:f>IF(A564=1,I564,N563+I564)</x:f>
        <x:v>0</x:v>
      </x:c>
      <x:c r="O564" s="32" t="n">
        <x:f>IF(A564=1,G564,O563+G564)</x:f>
        <x:v>3671325</x:v>
      </x:c>
      <x:c r="P564" s="37" t="n">
        <x:f>EDATE(Dashboard!$B$10,A564)</x:f>
        <x:v>62153</x:v>
      </x:c>
    </x:row>
    <x:row r="565">
      <x:c r="A565" s="33" t="n">
        <x:v>564</x:v>
      </x:c>
      <x:c r="B565" s="33" t="str">
        <x:f>IF(A565&lt;=Dashboard!$F$8,"Holiday",IF(A565&lt;=Dashboard!$F$8+Dashboard!$F$7,"Repayment","Closed"))</x:f>
        <x:v>Closed</x:v>
      </x:c>
      <x:c r="C565" s="32">
        <x:f>IF(A565=1,Dashboard!$B$6,IF(B565="Holiday",J564,L564))</x:f>
      </x:c>
      <x:c r="D565" s="32">
        <x:f>IF(A565=1,0,IF(B565="Holiday",K564,0))</x:f>
      </x:c>
      <x:c r="E565" s="32">
        <x:f>C565+D565</x:f>
      </x:c>
      <x:c r="F565" s="32">
        <x:f>IF(B565="Holiday",IF(Dashboard!$B$14="Principal Only",MIN(Dashboard!$B$15,C565),0),0)</x:f>
      </x:c>
      <x:c r="G565" s="32" t="n">
        <x:f>IF(B565="Closed",0,IF(B565="Holiday",IF(Dashboard!$B$14="Interest Only",C565*Dashboard!$F$6,MAX(0,(C565-F565)*Dashboard!$F$6)),E565*Dashboard!$F$6))</x:f>
        <x:v>0</x:v>
      </x:c>
      <x:c r="H565" s="32" t="n">
        <x:f>IF(B565="Holiday",IF(Dashboard!$B$14="Interest Only",G565,F565),IF(B565="Closed",0,MIN(Dashboard!$F$10,E565+G565)))</x:f>
        <x:v>0</x:v>
      </x:c>
      <x:c r="I565" s="32" t="n">
        <x:f>IF(B565="Holiday",F565,IF(B565="Closed",0,MAX(0,H565-G565)))</x:f>
        <x:v>0</x:v>
      </x:c>
      <x:c r="J565" s="32" t="n">
        <x:f>IF(B565="Holiday",MAX(0,C565-F565),IF(B565="Closed",0,MAX(0,E565-I565)))</x:f>
        <x:v>0</x:v>
      </x:c>
      <x:c r="K565" s="32" t="n">
        <x:f>IF(B565="Holiday",IF(Dashboard!$B$14="Interest Only",D565,D565+G565),0)</x:f>
        <x:v>0</x:v>
      </x:c>
      <x:c r="L565" s="32" t="n">
        <x:f>J565+K565</x:f>
        <x:v>0</x:v>
      </x:c>
      <x:c r="M565" s="32" t="n">
        <x:f>IF(A565=1,H565,M564+H565)</x:f>
        <x:v>0</x:v>
      </x:c>
      <x:c r="N565" s="32" t="n">
        <x:f>IF(A565=1,I565,N564+I565)</x:f>
        <x:v>0</x:v>
      </x:c>
      <x:c r="O565" s="32" t="n">
        <x:f>IF(A565=1,G565,O564+G565)</x:f>
        <x:v>3671325</x:v>
      </x:c>
      <x:c r="P565" s="37" t="n">
        <x:f>EDATE(Dashboard!$B$10,A565)</x:f>
        <x:v>62184</x:v>
      </x:c>
    </x:row>
    <x:row r="566">
      <x:c r="A566" s="33" t="n">
        <x:v>565</x:v>
      </x:c>
      <x:c r="B566" s="33" t="str">
        <x:f>IF(A566&lt;=Dashboard!$F$8,"Holiday",IF(A566&lt;=Dashboard!$F$8+Dashboard!$F$7,"Repayment","Closed"))</x:f>
        <x:v>Closed</x:v>
      </x:c>
      <x:c r="C566" s="32">
        <x:f>IF(A566=1,Dashboard!$B$6,IF(B566="Holiday",J565,L565))</x:f>
      </x:c>
      <x:c r="D566" s="32">
        <x:f>IF(A566=1,0,IF(B566="Holiday",K565,0))</x:f>
      </x:c>
      <x:c r="E566" s="32">
        <x:f>C566+D566</x:f>
      </x:c>
      <x:c r="F566" s="32">
        <x:f>IF(B566="Holiday",IF(Dashboard!$B$14="Principal Only",MIN(Dashboard!$B$15,C566),0),0)</x:f>
      </x:c>
      <x:c r="G566" s="32" t="n">
        <x:f>IF(B566="Closed",0,IF(B566="Holiday",IF(Dashboard!$B$14="Interest Only",C566*Dashboard!$F$6,MAX(0,(C566-F566)*Dashboard!$F$6)),E566*Dashboard!$F$6))</x:f>
        <x:v>0</x:v>
      </x:c>
      <x:c r="H566" s="32" t="n">
        <x:f>IF(B566="Holiday",IF(Dashboard!$B$14="Interest Only",G566,F566),IF(B566="Closed",0,MIN(Dashboard!$F$10,E566+G566)))</x:f>
        <x:v>0</x:v>
      </x:c>
      <x:c r="I566" s="32" t="n">
        <x:f>IF(B566="Holiday",F566,IF(B566="Closed",0,MAX(0,H566-G566)))</x:f>
        <x:v>0</x:v>
      </x:c>
      <x:c r="J566" s="32" t="n">
        <x:f>IF(B566="Holiday",MAX(0,C566-F566),IF(B566="Closed",0,MAX(0,E566-I566)))</x:f>
        <x:v>0</x:v>
      </x:c>
      <x:c r="K566" s="32" t="n">
        <x:f>IF(B566="Holiday",IF(Dashboard!$B$14="Interest Only",D566,D566+G566),0)</x:f>
        <x:v>0</x:v>
      </x:c>
      <x:c r="L566" s="32" t="n">
        <x:f>J566+K566</x:f>
        <x:v>0</x:v>
      </x:c>
      <x:c r="M566" s="32" t="n">
        <x:f>IF(A566=1,H566,M565+H566)</x:f>
        <x:v>0</x:v>
      </x:c>
      <x:c r="N566" s="32" t="n">
        <x:f>IF(A566=1,I566,N565+I566)</x:f>
        <x:v>0</x:v>
      </x:c>
      <x:c r="O566" s="32" t="n">
        <x:f>IF(A566=1,G566,O565+G566)</x:f>
        <x:v>3671325</x:v>
      </x:c>
      <x:c r="P566" s="37" t="n">
        <x:f>EDATE(Dashboard!$B$10,A566)</x:f>
        <x:v>62214</x:v>
      </x:c>
    </x:row>
    <x:row r="567">
      <x:c r="A567" s="33" t="n">
        <x:v>566</x:v>
      </x:c>
      <x:c r="B567" s="33" t="str">
        <x:f>IF(A567&lt;=Dashboard!$F$8,"Holiday",IF(A567&lt;=Dashboard!$F$8+Dashboard!$F$7,"Repayment","Closed"))</x:f>
        <x:v>Closed</x:v>
      </x:c>
      <x:c r="C567" s="32">
        <x:f>IF(A567=1,Dashboard!$B$6,IF(B567="Holiday",J566,L566))</x:f>
      </x:c>
      <x:c r="D567" s="32">
        <x:f>IF(A567=1,0,IF(B567="Holiday",K566,0))</x:f>
      </x:c>
      <x:c r="E567" s="32">
        <x:f>C567+D567</x:f>
      </x:c>
      <x:c r="F567" s="32">
        <x:f>IF(B567="Holiday",IF(Dashboard!$B$14="Principal Only",MIN(Dashboard!$B$15,C567),0),0)</x:f>
      </x:c>
      <x:c r="G567" s="32" t="n">
        <x:f>IF(B567="Closed",0,IF(B567="Holiday",IF(Dashboard!$B$14="Interest Only",C567*Dashboard!$F$6,MAX(0,(C567-F567)*Dashboard!$F$6)),E567*Dashboard!$F$6))</x:f>
        <x:v>0</x:v>
      </x:c>
      <x:c r="H567" s="32" t="n">
        <x:f>IF(B567="Holiday",IF(Dashboard!$B$14="Interest Only",G567,F567),IF(B567="Closed",0,MIN(Dashboard!$F$10,E567+G567)))</x:f>
        <x:v>0</x:v>
      </x:c>
      <x:c r="I567" s="32" t="n">
        <x:f>IF(B567="Holiday",F567,IF(B567="Closed",0,MAX(0,H567-G567)))</x:f>
        <x:v>0</x:v>
      </x:c>
      <x:c r="J567" s="32" t="n">
        <x:f>IF(B567="Holiday",MAX(0,C567-F567),IF(B567="Closed",0,MAX(0,E567-I567)))</x:f>
        <x:v>0</x:v>
      </x:c>
      <x:c r="K567" s="32" t="n">
        <x:f>IF(B567="Holiday",IF(Dashboard!$B$14="Interest Only",D567,D567+G567),0)</x:f>
        <x:v>0</x:v>
      </x:c>
      <x:c r="L567" s="32" t="n">
        <x:f>J567+K567</x:f>
        <x:v>0</x:v>
      </x:c>
      <x:c r="M567" s="32" t="n">
        <x:f>IF(A567=1,H567,M566+H567)</x:f>
        <x:v>0</x:v>
      </x:c>
      <x:c r="N567" s="32" t="n">
        <x:f>IF(A567=1,I567,N566+I567)</x:f>
        <x:v>0</x:v>
      </x:c>
      <x:c r="O567" s="32" t="n">
        <x:f>IF(A567=1,G567,O566+G567)</x:f>
        <x:v>3671325</x:v>
      </x:c>
      <x:c r="P567" s="37" t="n">
        <x:f>EDATE(Dashboard!$B$10,A567)</x:f>
        <x:v>62245</x:v>
      </x:c>
    </x:row>
    <x:row r="568">
      <x:c r="A568" s="33" t="n">
        <x:v>567</x:v>
      </x:c>
      <x:c r="B568" s="33" t="str">
        <x:f>IF(A568&lt;=Dashboard!$F$8,"Holiday",IF(A568&lt;=Dashboard!$F$8+Dashboard!$F$7,"Repayment","Closed"))</x:f>
        <x:v>Closed</x:v>
      </x:c>
      <x:c r="C568" s="32">
        <x:f>IF(A568=1,Dashboard!$B$6,IF(B568="Holiday",J567,L567))</x:f>
      </x:c>
      <x:c r="D568" s="32">
        <x:f>IF(A568=1,0,IF(B568="Holiday",K567,0))</x:f>
      </x:c>
      <x:c r="E568" s="32">
        <x:f>C568+D568</x:f>
      </x:c>
      <x:c r="F568" s="32">
        <x:f>IF(B568="Holiday",IF(Dashboard!$B$14="Principal Only",MIN(Dashboard!$B$15,C568),0),0)</x:f>
      </x:c>
      <x:c r="G568" s="32" t="n">
        <x:f>IF(B568="Closed",0,IF(B568="Holiday",IF(Dashboard!$B$14="Interest Only",C568*Dashboard!$F$6,MAX(0,(C568-F568)*Dashboard!$F$6)),E568*Dashboard!$F$6))</x:f>
        <x:v>0</x:v>
      </x:c>
      <x:c r="H568" s="32" t="n">
        <x:f>IF(B568="Holiday",IF(Dashboard!$B$14="Interest Only",G568,F568),IF(B568="Closed",0,MIN(Dashboard!$F$10,E568+G568)))</x:f>
        <x:v>0</x:v>
      </x:c>
      <x:c r="I568" s="32" t="n">
        <x:f>IF(B568="Holiday",F568,IF(B568="Closed",0,MAX(0,H568-G568)))</x:f>
        <x:v>0</x:v>
      </x:c>
      <x:c r="J568" s="32" t="n">
        <x:f>IF(B568="Holiday",MAX(0,C568-F568),IF(B568="Closed",0,MAX(0,E568-I568)))</x:f>
        <x:v>0</x:v>
      </x:c>
      <x:c r="K568" s="32" t="n">
        <x:f>IF(B568="Holiday",IF(Dashboard!$B$14="Interest Only",D568,D568+G568),0)</x:f>
        <x:v>0</x:v>
      </x:c>
      <x:c r="L568" s="32" t="n">
        <x:f>J568+K568</x:f>
        <x:v>0</x:v>
      </x:c>
      <x:c r="M568" s="32" t="n">
        <x:f>IF(A568=1,H568,M567+H568)</x:f>
        <x:v>0</x:v>
      </x:c>
      <x:c r="N568" s="32" t="n">
        <x:f>IF(A568=1,I568,N567+I568)</x:f>
        <x:v>0</x:v>
      </x:c>
      <x:c r="O568" s="32" t="n">
        <x:f>IF(A568=1,G568,O567+G568)</x:f>
        <x:v>3671325</x:v>
      </x:c>
      <x:c r="P568" s="37" t="n">
        <x:f>EDATE(Dashboard!$B$10,A568)</x:f>
        <x:v>62275</x:v>
      </x:c>
    </x:row>
    <x:row r="569">
      <x:c r="A569" s="33" t="n">
        <x:v>568</x:v>
      </x:c>
      <x:c r="B569" s="33" t="str">
        <x:f>IF(A569&lt;=Dashboard!$F$8,"Holiday",IF(A569&lt;=Dashboard!$F$8+Dashboard!$F$7,"Repayment","Closed"))</x:f>
        <x:v>Closed</x:v>
      </x:c>
      <x:c r="C569" s="32">
        <x:f>IF(A569=1,Dashboard!$B$6,IF(B569="Holiday",J568,L568))</x:f>
      </x:c>
      <x:c r="D569" s="32">
        <x:f>IF(A569=1,0,IF(B569="Holiday",K568,0))</x:f>
      </x:c>
      <x:c r="E569" s="32">
        <x:f>C569+D569</x:f>
      </x:c>
      <x:c r="F569" s="32">
        <x:f>IF(B569="Holiday",IF(Dashboard!$B$14="Principal Only",MIN(Dashboard!$B$15,C569),0),0)</x:f>
      </x:c>
      <x:c r="G569" s="32" t="n">
        <x:f>IF(B569="Closed",0,IF(B569="Holiday",IF(Dashboard!$B$14="Interest Only",C569*Dashboard!$F$6,MAX(0,(C569-F569)*Dashboard!$F$6)),E569*Dashboard!$F$6))</x:f>
        <x:v>0</x:v>
      </x:c>
      <x:c r="H569" s="32" t="n">
        <x:f>IF(B569="Holiday",IF(Dashboard!$B$14="Interest Only",G569,F569),IF(B569="Closed",0,MIN(Dashboard!$F$10,E569+G569)))</x:f>
        <x:v>0</x:v>
      </x:c>
      <x:c r="I569" s="32" t="n">
        <x:f>IF(B569="Holiday",F569,IF(B569="Closed",0,MAX(0,H569-G569)))</x:f>
        <x:v>0</x:v>
      </x:c>
      <x:c r="J569" s="32" t="n">
        <x:f>IF(B569="Holiday",MAX(0,C569-F569),IF(B569="Closed",0,MAX(0,E569-I569)))</x:f>
        <x:v>0</x:v>
      </x:c>
      <x:c r="K569" s="32" t="n">
        <x:f>IF(B569="Holiday",IF(Dashboard!$B$14="Interest Only",D569,D569+G569),0)</x:f>
        <x:v>0</x:v>
      </x:c>
      <x:c r="L569" s="32" t="n">
        <x:f>J569+K569</x:f>
        <x:v>0</x:v>
      </x:c>
      <x:c r="M569" s="32" t="n">
        <x:f>IF(A569=1,H569,M568+H569)</x:f>
        <x:v>0</x:v>
      </x:c>
      <x:c r="N569" s="32" t="n">
        <x:f>IF(A569=1,I569,N568+I569)</x:f>
        <x:v>0</x:v>
      </x:c>
      <x:c r="O569" s="32" t="n">
        <x:f>IF(A569=1,G569,O568+G569)</x:f>
        <x:v>3671325</x:v>
      </x:c>
      <x:c r="P569" s="37" t="n">
        <x:f>EDATE(Dashboard!$B$10,A569)</x:f>
        <x:v>62306</x:v>
      </x:c>
    </x:row>
    <x:row r="570">
      <x:c r="A570" s="33" t="n">
        <x:v>569</x:v>
      </x:c>
      <x:c r="B570" s="33" t="str">
        <x:f>IF(A570&lt;=Dashboard!$F$8,"Holiday",IF(A570&lt;=Dashboard!$F$8+Dashboard!$F$7,"Repayment","Closed"))</x:f>
        <x:v>Closed</x:v>
      </x:c>
      <x:c r="C570" s="32">
        <x:f>IF(A570=1,Dashboard!$B$6,IF(B570="Holiday",J569,L569))</x:f>
      </x:c>
      <x:c r="D570" s="32">
        <x:f>IF(A570=1,0,IF(B570="Holiday",K569,0))</x:f>
      </x:c>
      <x:c r="E570" s="32">
        <x:f>C570+D570</x:f>
      </x:c>
      <x:c r="F570" s="32">
        <x:f>IF(B570="Holiday",IF(Dashboard!$B$14="Principal Only",MIN(Dashboard!$B$15,C570),0),0)</x:f>
      </x:c>
      <x:c r="G570" s="32" t="n">
        <x:f>IF(B570="Closed",0,IF(B570="Holiday",IF(Dashboard!$B$14="Interest Only",C570*Dashboard!$F$6,MAX(0,(C570-F570)*Dashboard!$F$6)),E570*Dashboard!$F$6))</x:f>
        <x:v>0</x:v>
      </x:c>
      <x:c r="H570" s="32" t="n">
        <x:f>IF(B570="Holiday",IF(Dashboard!$B$14="Interest Only",G570,F570),IF(B570="Closed",0,MIN(Dashboard!$F$10,E570+G570)))</x:f>
        <x:v>0</x:v>
      </x:c>
      <x:c r="I570" s="32" t="n">
        <x:f>IF(B570="Holiday",F570,IF(B570="Closed",0,MAX(0,H570-G570)))</x:f>
        <x:v>0</x:v>
      </x:c>
      <x:c r="J570" s="32" t="n">
        <x:f>IF(B570="Holiday",MAX(0,C570-F570),IF(B570="Closed",0,MAX(0,E570-I570)))</x:f>
        <x:v>0</x:v>
      </x:c>
      <x:c r="K570" s="32" t="n">
        <x:f>IF(B570="Holiday",IF(Dashboard!$B$14="Interest Only",D570,D570+G570),0)</x:f>
        <x:v>0</x:v>
      </x:c>
      <x:c r="L570" s="32" t="n">
        <x:f>J570+K570</x:f>
        <x:v>0</x:v>
      </x:c>
      <x:c r="M570" s="32" t="n">
        <x:f>IF(A570=1,H570,M569+H570)</x:f>
        <x:v>0</x:v>
      </x:c>
      <x:c r="N570" s="32" t="n">
        <x:f>IF(A570=1,I570,N569+I570)</x:f>
        <x:v>0</x:v>
      </x:c>
      <x:c r="O570" s="32" t="n">
        <x:f>IF(A570=1,G570,O569+G570)</x:f>
        <x:v>3671325</x:v>
      </x:c>
      <x:c r="P570" s="37" t="n">
        <x:f>EDATE(Dashboard!$B$10,A570)</x:f>
        <x:v>62337</x:v>
      </x:c>
    </x:row>
    <x:row r="571">
      <x:c r="A571" s="33" t="n">
        <x:v>570</x:v>
      </x:c>
      <x:c r="B571" s="33" t="str">
        <x:f>IF(A571&lt;=Dashboard!$F$8,"Holiday",IF(A571&lt;=Dashboard!$F$8+Dashboard!$F$7,"Repayment","Closed"))</x:f>
        <x:v>Closed</x:v>
      </x:c>
      <x:c r="C571" s="32">
        <x:f>IF(A571=1,Dashboard!$B$6,IF(B571="Holiday",J570,L570))</x:f>
      </x:c>
      <x:c r="D571" s="32">
        <x:f>IF(A571=1,0,IF(B571="Holiday",K570,0))</x:f>
      </x:c>
      <x:c r="E571" s="32">
        <x:f>C571+D571</x:f>
      </x:c>
      <x:c r="F571" s="32">
        <x:f>IF(B571="Holiday",IF(Dashboard!$B$14="Principal Only",MIN(Dashboard!$B$15,C571),0),0)</x:f>
      </x:c>
      <x:c r="G571" s="32" t="n">
        <x:f>IF(B571="Closed",0,IF(B571="Holiday",IF(Dashboard!$B$14="Interest Only",C571*Dashboard!$F$6,MAX(0,(C571-F571)*Dashboard!$F$6)),E571*Dashboard!$F$6))</x:f>
        <x:v>0</x:v>
      </x:c>
      <x:c r="H571" s="32" t="n">
        <x:f>IF(B571="Holiday",IF(Dashboard!$B$14="Interest Only",G571,F571),IF(B571="Closed",0,MIN(Dashboard!$F$10,E571+G571)))</x:f>
        <x:v>0</x:v>
      </x:c>
      <x:c r="I571" s="32" t="n">
        <x:f>IF(B571="Holiday",F571,IF(B571="Closed",0,MAX(0,H571-G571)))</x:f>
        <x:v>0</x:v>
      </x:c>
      <x:c r="J571" s="32" t="n">
        <x:f>IF(B571="Holiday",MAX(0,C571-F571),IF(B571="Closed",0,MAX(0,E571-I571)))</x:f>
        <x:v>0</x:v>
      </x:c>
      <x:c r="K571" s="32" t="n">
        <x:f>IF(B571="Holiday",IF(Dashboard!$B$14="Interest Only",D571,D571+G571),0)</x:f>
        <x:v>0</x:v>
      </x:c>
      <x:c r="L571" s="32" t="n">
        <x:f>J571+K571</x:f>
        <x:v>0</x:v>
      </x:c>
      <x:c r="M571" s="32" t="n">
        <x:f>IF(A571=1,H571,M570+H571)</x:f>
        <x:v>0</x:v>
      </x:c>
      <x:c r="N571" s="32" t="n">
        <x:f>IF(A571=1,I571,N570+I571)</x:f>
        <x:v>0</x:v>
      </x:c>
      <x:c r="O571" s="32" t="n">
        <x:f>IF(A571=1,G571,O570+G571)</x:f>
        <x:v>3671325</x:v>
      </x:c>
      <x:c r="P571" s="37" t="n">
        <x:f>EDATE(Dashboard!$B$10,A571)</x:f>
        <x:v>62367</x:v>
      </x:c>
    </x:row>
    <x:row r="572">
      <x:c r="A572" s="33" t="n">
        <x:v>571</x:v>
      </x:c>
      <x:c r="B572" s="33" t="str">
        <x:f>IF(A572&lt;=Dashboard!$F$8,"Holiday",IF(A572&lt;=Dashboard!$F$8+Dashboard!$F$7,"Repayment","Closed"))</x:f>
        <x:v>Closed</x:v>
      </x:c>
      <x:c r="C572" s="32">
        <x:f>IF(A572=1,Dashboard!$B$6,IF(B572="Holiday",J571,L571))</x:f>
      </x:c>
      <x:c r="D572" s="32">
        <x:f>IF(A572=1,0,IF(B572="Holiday",K571,0))</x:f>
      </x:c>
      <x:c r="E572" s="32">
        <x:f>C572+D572</x:f>
      </x:c>
      <x:c r="F572" s="32">
        <x:f>IF(B572="Holiday",IF(Dashboard!$B$14="Principal Only",MIN(Dashboard!$B$15,C572),0),0)</x:f>
      </x:c>
      <x:c r="G572" s="32" t="n">
        <x:f>IF(B572="Closed",0,IF(B572="Holiday",IF(Dashboard!$B$14="Interest Only",C572*Dashboard!$F$6,MAX(0,(C572-F572)*Dashboard!$F$6)),E572*Dashboard!$F$6))</x:f>
        <x:v>0</x:v>
      </x:c>
      <x:c r="H572" s="32" t="n">
        <x:f>IF(B572="Holiday",IF(Dashboard!$B$14="Interest Only",G572,F572),IF(B572="Closed",0,MIN(Dashboard!$F$10,E572+G572)))</x:f>
        <x:v>0</x:v>
      </x:c>
      <x:c r="I572" s="32" t="n">
        <x:f>IF(B572="Holiday",F572,IF(B572="Closed",0,MAX(0,H572-G572)))</x:f>
        <x:v>0</x:v>
      </x:c>
      <x:c r="J572" s="32" t="n">
        <x:f>IF(B572="Holiday",MAX(0,C572-F572),IF(B572="Closed",0,MAX(0,E572-I572)))</x:f>
        <x:v>0</x:v>
      </x:c>
      <x:c r="K572" s="32" t="n">
        <x:f>IF(B572="Holiday",IF(Dashboard!$B$14="Interest Only",D572,D572+G572),0)</x:f>
        <x:v>0</x:v>
      </x:c>
      <x:c r="L572" s="32" t="n">
        <x:f>J572+K572</x:f>
        <x:v>0</x:v>
      </x:c>
      <x:c r="M572" s="32" t="n">
        <x:f>IF(A572=1,H572,M571+H572)</x:f>
        <x:v>0</x:v>
      </x:c>
      <x:c r="N572" s="32" t="n">
        <x:f>IF(A572=1,I572,N571+I572)</x:f>
        <x:v>0</x:v>
      </x:c>
      <x:c r="O572" s="32" t="n">
        <x:f>IF(A572=1,G572,O571+G572)</x:f>
        <x:v>3671325</x:v>
      </x:c>
      <x:c r="P572" s="37" t="n">
        <x:f>EDATE(Dashboard!$B$10,A572)</x:f>
        <x:v>62398</x:v>
      </x:c>
    </x:row>
    <x:row r="573">
      <x:c r="A573" s="33" t="n">
        <x:v>572</x:v>
      </x:c>
      <x:c r="B573" s="33" t="str">
        <x:f>IF(A573&lt;=Dashboard!$F$8,"Holiday",IF(A573&lt;=Dashboard!$F$8+Dashboard!$F$7,"Repayment","Closed"))</x:f>
        <x:v>Closed</x:v>
      </x:c>
      <x:c r="C573" s="32">
        <x:f>IF(A573=1,Dashboard!$B$6,IF(B573="Holiday",J572,L572))</x:f>
      </x:c>
      <x:c r="D573" s="32">
        <x:f>IF(A573=1,0,IF(B573="Holiday",K572,0))</x:f>
      </x:c>
      <x:c r="E573" s="32">
        <x:f>C573+D573</x:f>
      </x:c>
      <x:c r="F573" s="32">
        <x:f>IF(B573="Holiday",IF(Dashboard!$B$14="Principal Only",MIN(Dashboard!$B$15,C573),0),0)</x:f>
      </x:c>
      <x:c r="G573" s="32" t="n">
        <x:f>IF(B573="Closed",0,IF(B573="Holiday",IF(Dashboard!$B$14="Interest Only",C573*Dashboard!$F$6,MAX(0,(C573-F573)*Dashboard!$F$6)),E573*Dashboard!$F$6))</x:f>
        <x:v>0</x:v>
      </x:c>
      <x:c r="H573" s="32" t="n">
        <x:f>IF(B573="Holiday",IF(Dashboard!$B$14="Interest Only",G573,F573),IF(B573="Closed",0,MIN(Dashboard!$F$10,E573+G573)))</x:f>
        <x:v>0</x:v>
      </x:c>
      <x:c r="I573" s="32" t="n">
        <x:f>IF(B573="Holiday",F573,IF(B573="Closed",0,MAX(0,H573-G573)))</x:f>
        <x:v>0</x:v>
      </x:c>
      <x:c r="J573" s="32" t="n">
        <x:f>IF(B573="Holiday",MAX(0,C573-F573),IF(B573="Closed",0,MAX(0,E573-I573)))</x:f>
        <x:v>0</x:v>
      </x:c>
      <x:c r="K573" s="32" t="n">
        <x:f>IF(B573="Holiday",IF(Dashboard!$B$14="Interest Only",D573,D573+G573),0)</x:f>
        <x:v>0</x:v>
      </x:c>
      <x:c r="L573" s="32" t="n">
        <x:f>J573+K573</x:f>
        <x:v>0</x:v>
      </x:c>
      <x:c r="M573" s="32" t="n">
        <x:f>IF(A573=1,H573,M572+H573)</x:f>
        <x:v>0</x:v>
      </x:c>
      <x:c r="N573" s="32" t="n">
        <x:f>IF(A573=1,I573,N572+I573)</x:f>
        <x:v>0</x:v>
      </x:c>
      <x:c r="O573" s="32" t="n">
        <x:f>IF(A573=1,G573,O572+G573)</x:f>
        <x:v>3671325</x:v>
      </x:c>
      <x:c r="P573" s="37" t="n">
        <x:f>EDATE(Dashboard!$B$10,A573)</x:f>
        <x:v>62428</x:v>
      </x:c>
    </x:row>
    <x:row r="574">
      <x:c r="A574" s="33" t="n">
        <x:v>573</x:v>
      </x:c>
      <x:c r="B574" s="33" t="str">
        <x:f>IF(A574&lt;=Dashboard!$F$8,"Holiday",IF(A574&lt;=Dashboard!$F$8+Dashboard!$F$7,"Repayment","Closed"))</x:f>
        <x:v>Closed</x:v>
      </x:c>
      <x:c r="C574" s="32">
        <x:f>IF(A574=1,Dashboard!$B$6,IF(B574="Holiday",J573,L573))</x:f>
      </x:c>
      <x:c r="D574" s="32">
        <x:f>IF(A574=1,0,IF(B574="Holiday",K573,0))</x:f>
      </x:c>
      <x:c r="E574" s="32">
        <x:f>C574+D574</x:f>
      </x:c>
      <x:c r="F574" s="32">
        <x:f>IF(B574="Holiday",IF(Dashboard!$B$14="Principal Only",MIN(Dashboard!$B$15,C574),0),0)</x:f>
      </x:c>
      <x:c r="G574" s="32" t="n">
        <x:f>IF(B574="Closed",0,IF(B574="Holiday",IF(Dashboard!$B$14="Interest Only",C574*Dashboard!$F$6,MAX(0,(C574-F574)*Dashboard!$F$6)),E574*Dashboard!$F$6))</x:f>
        <x:v>0</x:v>
      </x:c>
      <x:c r="H574" s="32" t="n">
        <x:f>IF(B574="Holiday",IF(Dashboard!$B$14="Interest Only",G574,F574),IF(B574="Closed",0,MIN(Dashboard!$F$10,E574+G574)))</x:f>
        <x:v>0</x:v>
      </x:c>
      <x:c r="I574" s="32" t="n">
        <x:f>IF(B574="Holiday",F574,IF(B574="Closed",0,MAX(0,H574-G574)))</x:f>
        <x:v>0</x:v>
      </x:c>
      <x:c r="J574" s="32" t="n">
        <x:f>IF(B574="Holiday",MAX(0,C574-F574),IF(B574="Closed",0,MAX(0,E574-I574)))</x:f>
        <x:v>0</x:v>
      </x:c>
      <x:c r="K574" s="32" t="n">
        <x:f>IF(B574="Holiday",IF(Dashboard!$B$14="Interest Only",D574,D574+G574),0)</x:f>
        <x:v>0</x:v>
      </x:c>
      <x:c r="L574" s="32" t="n">
        <x:f>J574+K574</x:f>
        <x:v>0</x:v>
      </x:c>
      <x:c r="M574" s="32" t="n">
        <x:f>IF(A574=1,H574,M573+H574)</x:f>
        <x:v>0</x:v>
      </x:c>
      <x:c r="N574" s="32" t="n">
        <x:f>IF(A574=1,I574,N573+I574)</x:f>
        <x:v>0</x:v>
      </x:c>
      <x:c r="O574" s="32" t="n">
        <x:f>IF(A574=1,G574,O573+G574)</x:f>
        <x:v>3671325</x:v>
      </x:c>
      <x:c r="P574" s="37" t="n">
        <x:f>EDATE(Dashboard!$B$10,A574)</x:f>
        <x:v>62459</x:v>
      </x:c>
    </x:row>
    <x:row r="575">
      <x:c r="A575" s="33" t="n">
        <x:v>574</x:v>
      </x:c>
      <x:c r="B575" s="33" t="str">
        <x:f>IF(A575&lt;=Dashboard!$F$8,"Holiday",IF(A575&lt;=Dashboard!$F$8+Dashboard!$F$7,"Repayment","Closed"))</x:f>
        <x:v>Closed</x:v>
      </x:c>
      <x:c r="C575" s="32">
        <x:f>IF(A575=1,Dashboard!$B$6,IF(B575="Holiday",J574,L574))</x:f>
      </x:c>
      <x:c r="D575" s="32">
        <x:f>IF(A575=1,0,IF(B575="Holiday",K574,0))</x:f>
      </x:c>
      <x:c r="E575" s="32">
        <x:f>C575+D575</x:f>
      </x:c>
      <x:c r="F575" s="32">
        <x:f>IF(B575="Holiday",IF(Dashboard!$B$14="Principal Only",MIN(Dashboard!$B$15,C575),0),0)</x:f>
      </x:c>
      <x:c r="G575" s="32" t="n">
        <x:f>IF(B575="Closed",0,IF(B575="Holiday",IF(Dashboard!$B$14="Interest Only",C575*Dashboard!$F$6,MAX(0,(C575-F575)*Dashboard!$F$6)),E575*Dashboard!$F$6))</x:f>
        <x:v>0</x:v>
      </x:c>
      <x:c r="H575" s="32" t="n">
        <x:f>IF(B575="Holiday",IF(Dashboard!$B$14="Interest Only",G575,F575),IF(B575="Closed",0,MIN(Dashboard!$F$10,E575+G575)))</x:f>
        <x:v>0</x:v>
      </x:c>
      <x:c r="I575" s="32" t="n">
        <x:f>IF(B575="Holiday",F575,IF(B575="Closed",0,MAX(0,H575-G575)))</x:f>
        <x:v>0</x:v>
      </x:c>
      <x:c r="J575" s="32" t="n">
        <x:f>IF(B575="Holiday",MAX(0,C575-F575),IF(B575="Closed",0,MAX(0,E575-I575)))</x:f>
        <x:v>0</x:v>
      </x:c>
      <x:c r="K575" s="32" t="n">
        <x:f>IF(B575="Holiday",IF(Dashboard!$B$14="Interest Only",D575,D575+G575),0)</x:f>
        <x:v>0</x:v>
      </x:c>
      <x:c r="L575" s="32" t="n">
        <x:f>J575+K575</x:f>
        <x:v>0</x:v>
      </x:c>
      <x:c r="M575" s="32" t="n">
        <x:f>IF(A575=1,H575,M574+H575)</x:f>
        <x:v>0</x:v>
      </x:c>
      <x:c r="N575" s="32" t="n">
        <x:f>IF(A575=1,I575,N574+I575)</x:f>
        <x:v>0</x:v>
      </x:c>
      <x:c r="O575" s="32" t="n">
        <x:f>IF(A575=1,G575,O574+G575)</x:f>
        <x:v>3671325</x:v>
      </x:c>
      <x:c r="P575" s="37" t="n">
        <x:f>EDATE(Dashboard!$B$10,A575)</x:f>
        <x:v>62490</x:v>
      </x:c>
    </x:row>
    <x:row r="576">
      <x:c r="A576" s="33" t="n">
        <x:v>575</x:v>
      </x:c>
      <x:c r="B576" s="33" t="str">
        <x:f>IF(A576&lt;=Dashboard!$F$8,"Holiday",IF(A576&lt;=Dashboard!$F$8+Dashboard!$F$7,"Repayment","Closed"))</x:f>
        <x:v>Closed</x:v>
      </x:c>
      <x:c r="C576" s="32">
        <x:f>IF(A576=1,Dashboard!$B$6,IF(B576="Holiday",J575,L575))</x:f>
      </x:c>
      <x:c r="D576" s="32">
        <x:f>IF(A576=1,0,IF(B576="Holiday",K575,0))</x:f>
      </x:c>
      <x:c r="E576" s="32">
        <x:f>C576+D576</x:f>
      </x:c>
      <x:c r="F576" s="32">
        <x:f>IF(B576="Holiday",IF(Dashboard!$B$14="Principal Only",MIN(Dashboard!$B$15,C576),0),0)</x:f>
      </x:c>
      <x:c r="G576" s="32" t="n">
        <x:f>IF(B576="Closed",0,IF(B576="Holiday",IF(Dashboard!$B$14="Interest Only",C576*Dashboard!$F$6,MAX(0,(C576-F576)*Dashboard!$F$6)),E576*Dashboard!$F$6))</x:f>
        <x:v>0</x:v>
      </x:c>
      <x:c r="H576" s="32" t="n">
        <x:f>IF(B576="Holiday",IF(Dashboard!$B$14="Interest Only",G576,F576),IF(B576="Closed",0,MIN(Dashboard!$F$10,E576+G576)))</x:f>
        <x:v>0</x:v>
      </x:c>
      <x:c r="I576" s="32" t="n">
        <x:f>IF(B576="Holiday",F576,IF(B576="Closed",0,MAX(0,H576-G576)))</x:f>
        <x:v>0</x:v>
      </x:c>
      <x:c r="J576" s="32" t="n">
        <x:f>IF(B576="Holiday",MAX(0,C576-F576),IF(B576="Closed",0,MAX(0,E576-I576)))</x:f>
        <x:v>0</x:v>
      </x:c>
      <x:c r="K576" s="32" t="n">
        <x:f>IF(B576="Holiday",IF(Dashboard!$B$14="Interest Only",D576,D576+G576),0)</x:f>
        <x:v>0</x:v>
      </x:c>
      <x:c r="L576" s="32" t="n">
        <x:f>J576+K576</x:f>
        <x:v>0</x:v>
      </x:c>
      <x:c r="M576" s="32" t="n">
        <x:f>IF(A576=1,H576,M575+H576)</x:f>
        <x:v>0</x:v>
      </x:c>
      <x:c r="N576" s="32" t="n">
        <x:f>IF(A576=1,I576,N575+I576)</x:f>
        <x:v>0</x:v>
      </x:c>
      <x:c r="O576" s="32" t="n">
        <x:f>IF(A576=1,G576,O575+G576)</x:f>
        <x:v>3671325</x:v>
      </x:c>
      <x:c r="P576" s="37" t="n">
        <x:f>EDATE(Dashboard!$B$10,A576)</x:f>
        <x:v>62518</x:v>
      </x:c>
    </x:row>
    <x:row r="577">
      <x:c r="A577" s="33" t="n">
        <x:v>576</x:v>
      </x:c>
      <x:c r="B577" s="33" t="str">
        <x:f>IF(A577&lt;=Dashboard!$F$8,"Holiday",IF(A577&lt;=Dashboard!$F$8+Dashboard!$F$7,"Repayment","Closed"))</x:f>
        <x:v>Closed</x:v>
      </x:c>
      <x:c r="C577" s="32">
        <x:f>IF(A577=1,Dashboard!$B$6,IF(B577="Holiday",J576,L576))</x:f>
      </x:c>
      <x:c r="D577" s="32">
        <x:f>IF(A577=1,0,IF(B577="Holiday",K576,0))</x:f>
      </x:c>
      <x:c r="E577" s="32">
        <x:f>C577+D577</x:f>
      </x:c>
      <x:c r="F577" s="32">
        <x:f>IF(B577="Holiday",IF(Dashboard!$B$14="Principal Only",MIN(Dashboard!$B$15,C577),0),0)</x:f>
      </x:c>
      <x:c r="G577" s="32" t="n">
        <x:f>IF(B577="Closed",0,IF(B577="Holiday",IF(Dashboard!$B$14="Interest Only",C577*Dashboard!$F$6,MAX(0,(C577-F577)*Dashboard!$F$6)),E577*Dashboard!$F$6))</x:f>
        <x:v>0</x:v>
      </x:c>
      <x:c r="H577" s="32" t="n">
        <x:f>IF(B577="Holiday",IF(Dashboard!$B$14="Interest Only",G577,F577),IF(B577="Closed",0,MIN(Dashboard!$F$10,E577+G577)))</x:f>
        <x:v>0</x:v>
      </x:c>
      <x:c r="I577" s="32" t="n">
        <x:f>IF(B577="Holiday",F577,IF(B577="Closed",0,MAX(0,H577-G577)))</x:f>
        <x:v>0</x:v>
      </x:c>
      <x:c r="J577" s="32" t="n">
        <x:f>IF(B577="Holiday",MAX(0,C577-F577),IF(B577="Closed",0,MAX(0,E577-I577)))</x:f>
        <x:v>0</x:v>
      </x:c>
      <x:c r="K577" s="32" t="n">
        <x:f>IF(B577="Holiday",IF(Dashboard!$B$14="Interest Only",D577,D577+G577),0)</x:f>
        <x:v>0</x:v>
      </x:c>
      <x:c r="L577" s="32" t="n">
        <x:f>J577+K577</x:f>
        <x:v>0</x:v>
      </x:c>
      <x:c r="M577" s="32" t="n">
        <x:f>IF(A577=1,H577,M576+H577)</x:f>
        <x:v>0</x:v>
      </x:c>
      <x:c r="N577" s="32" t="n">
        <x:f>IF(A577=1,I577,N576+I577)</x:f>
        <x:v>0</x:v>
      </x:c>
      <x:c r="O577" s="32" t="n">
        <x:f>IF(A577=1,G577,O576+G577)</x:f>
        <x:v>3671325</x:v>
      </x:c>
      <x:c r="P577" s="37" t="n">
        <x:f>EDATE(Dashboard!$B$10,A577)</x:f>
        <x:v>62549</x:v>
      </x:c>
    </x:row>
    <x:row r="578">
      <x:c r="A578" s="33" t="n">
        <x:v>577</x:v>
      </x:c>
      <x:c r="B578" s="33" t="str">
        <x:f>IF(A578&lt;=Dashboard!$F$8,"Holiday",IF(A578&lt;=Dashboard!$F$8+Dashboard!$F$7,"Repayment","Closed"))</x:f>
        <x:v>Closed</x:v>
      </x:c>
      <x:c r="C578" s="32">
        <x:f>IF(A578=1,Dashboard!$B$6,IF(B578="Holiday",J577,L577))</x:f>
      </x:c>
      <x:c r="D578" s="32">
        <x:f>IF(A578=1,0,IF(B578="Holiday",K577,0))</x:f>
      </x:c>
      <x:c r="E578" s="32">
        <x:f>C578+D578</x:f>
      </x:c>
      <x:c r="F578" s="32">
        <x:f>IF(B578="Holiday",IF(Dashboard!$B$14="Principal Only",MIN(Dashboard!$B$15,C578),0),0)</x:f>
      </x:c>
      <x:c r="G578" s="32" t="n">
        <x:f>IF(B578="Closed",0,IF(B578="Holiday",IF(Dashboard!$B$14="Interest Only",C578*Dashboard!$F$6,MAX(0,(C578-F578)*Dashboard!$F$6)),E578*Dashboard!$F$6))</x:f>
        <x:v>0</x:v>
      </x:c>
      <x:c r="H578" s="32" t="n">
        <x:f>IF(B578="Holiday",IF(Dashboard!$B$14="Interest Only",G578,F578),IF(B578="Closed",0,MIN(Dashboard!$F$10,E578+G578)))</x:f>
        <x:v>0</x:v>
      </x:c>
      <x:c r="I578" s="32" t="n">
        <x:f>IF(B578="Holiday",F578,IF(B578="Closed",0,MAX(0,H578-G578)))</x:f>
        <x:v>0</x:v>
      </x:c>
      <x:c r="J578" s="32" t="n">
        <x:f>IF(B578="Holiday",MAX(0,C578-F578),IF(B578="Closed",0,MAX(0,E578-I578)))</x:f>
        <x:v>0</x:v>
      </x:c>
      <x:c r="K578" s="32" t="n">
        <x:f>IF(B578="Holiday",IF(Dashboard!$B$14="Interest Only",D578,D578+G578),0)</x:f>
        <x:v>0</x:v>
      </x:c>
      <x:c r="L578" s="32" t="n">
        <x:f>J578+K578</x:f>
        <x:v>0</x:v>
      </x:c>
      <x:c r="M578" s="32" t="n">
        <x:f>IF(A578=1,H578,M577+H578)</x:f>
        <x:v>0</x:v>
      </x:c>
      <x:c r="N578" s="32" t="n">
        <x:f>IF(A578=1,I578,N577+I578)</x:f>
        <x:v>0</x:v>
      </x:c>
      <x:c r="O578" s="32" t="n">
        <x:f>IF(A578=1,G578,O577+G578)</x:f>
        <x:v>3671325</x:v>
      </x:c>
      <x:c r="P578" s="37" t="n">
        <x:f>EDATE(Dashboard!$B$10,A578)</x:f>
        <x:v>62579</x:v>
      </x:c>
    </x:row>
    <x:row r="579">
      <x:c r="A579" s="33" t="n">
        <x:v>578</x:v>
      </x:c>
      <x:c r="B579" s="33" t="str">
        <x:f>IF(A579&lt;=Dashboard!$F$8,"Holiday",IF(A579&lt;=Dashboard!$F$8+Dashboard!$F$7,"Repayment","Closed"))</x:f>
        <x:v>Closed</x:v>
      </x:c>
      <x:c r="C579" s="32">
        <x:f>IF(A579=1,Dashboard!$B$6,IF(B579="Holiday",J578,L578))</x:f>
      </x:c>
      <x:c r="D579" s="32">
        <x:f>IF(A579=1,0,IF(B579="Holiday",K578,0))</x:f>
      </x:c>
      <x:c r="E579" s="32">
        <x:f>C579+D579</x:f>
      </x:c>
      <x:c r="F579" s="32">
        <x:f>IF(B579="Holiday",IF(Dashboard!$B$14="Principal Only",MIN(Dashboard!$B$15,C579),0),0)</x:f>
      </x:c>
      <x:c r="G579" s="32" t="n">
        <x:f>IF(B579="Closed",0,IF(B579="Holiday",IF(Dashboard!$B$14="Interest Only",C579*Dashboard!$F$6,MAX(0,(C579-F579)*Dashboard!$F$6)),E579*Dashboard!$F$6))</x:f>
        <x:v>0</x:v>
      </x:c>
      <x:c r="H579" s="32" t="n">
        <x:f>IF(B579="Holiday",IF(Dashboard!$B$14="Interest Only",G579,F579),IF(B579="Closed",0,MIN(Dashboard!$F$10,E579+G579)))</x:f>
        <x:v>0</x:v>
      </x:c>
      <x:c r="I579" s="32" t="n">
        <x:f>IF(B579="Holiday",F579,IF(B579="Closed",0,MAX(0,H579-G579)))</x:f>
        <x:v>0</x:v>
      </x:c>
      <x:c r="J579" s="32" t="n">
        <x:f>IF(B579="Holiday",MAX(0,C579-F579),IF(B579="Closed",0,MAX(0,E579-I579)))</x:f>
        <x:v>0</x:v>
      </x:c>
      <x:c r="K579" s="32" t="n">
        <x:f>IF(B579="Holiday",IF(Dashboard!$B$14="Interest Only",D579,D579+G579),0)</x:f>
        <x:v>0</x:v>
      </x:c>
      <x:c r="L579" s="32" t="n">
        <x:f>J579+K579</x:f>
        <x:v>0</x:v>
      </x:c>
      <x:c r="M579" s="32" t="n">
        <x:f>IF(A579=1,H579,M578+H579)</x:f>
        <x:v>0</x:v>
      </x:c>
      <x:c r="N579" s="32" t="n">
        <x:f>IF(A579=1,I579,N578+I579)</x:f>
        <x:v>0</x:v>
      </x:c>
      <x:c r="O579" s="32" t="n">
        <x:f>IF(A579=1,G579,O578+G579)</x:f>
        <x:v>3671325</x:v>
      </x:c>
      <x:c r="P579" s="37" t="n">
        <x:f>EDATE(Dashboard!$B$10,A579)</x:f>
        <x:v>62610</x:v>
      </x:c>
    </x:row>
    <x:row r="580">
      <x:c r="A580" s="33" t="n">
        <x:v>579</x:v>
      </x:c>
      <x:c r="B580" s="33" t="str">
        <x:f>IF(A580&lt;=Dashboard!$F$8,"Holiday",IF(A580&lt;=Dashboard!$F$8+Dashboard!$F$7,"Repayment","Closed"))</x:f>
        <x:v>Closed</x:v>
      </x:c>
      <x:c r="C580" s="32">
        <x:f>IF(A580=1,Dashboard!$B$6,IF(B580="Holiday",J579,L579))</x:f>
      </x:c>
      <x:c r="D580" s="32">
        <x:f>IF(A580=1,0,IF(B580="Holiday",K579,0))</x:f>
      </x:c>
      <x:c r="E580" s="32">
        <x:f>C580+D580</x:f>
      </x:c>
      <x:c r="F580" s="32">
        <x:f>IF(B580="Holiday",IF(Dashboard!$B$14="Principal Only",MIN(Dashboard!$B$15,C580),0),0)</x:f>
      </x:c>
      <x:c r="G580" s="32" t="n">
        <x:f>IF(B580="Closed",0,IF(B580="Holiday",IF(Dashboard!$B$14="Interest Only",C580*Dashboard!$F$6,MAX(0,(C580-F580)*Dashboard!$F$6)),E580*Dashboard!$F$6))</x:f>
        <x:v>0</x:v>
      </x:c>
      <x:c r="H580" s="32" t="n">
        <x:f>IF(B580="Holiday",IF(Dashboard!$B$14="Interest Only",G580,F580),IF(B580="Closed",0,MIN(Dashboard!$F$10,E580+G580)))</x:f>
        <x:v>0</x:v>
      </x:c>
      <x:c r="I580" s="32" t="n">
        <x:f>IF(B580="Holiday",F580,IF(B580="Closed",0,MAX(0,H580-G580)))</x:f>
        <x:v>0</x:v>
      </x:c>
      <x:c r="J580" s="32" t="n">
        <x:f>IF(B580="Holiday",MAX(0,C580-F580),IF(B580="Closed",0,MAX(0,E580-I580)))</x:f>
        <x:v>0</x:v>
      </x:c>
      <x:c r="K580" s="32" t="n">
        <x:f>IF(B580="Holiday",IF(Dashboard!$B$14="Interest Only",D580,D580+G580),0)</x:f>
        <x:v>0</x:v>
      </x:c>
      <x:c r="L580" s="32" t="n">
        <x:f>J580+K580</x:f>
        <x:v>0</x:v>
      </x:c>
      <x:c r="M580" s="32" t="n">
        <x:f>IF(A580=1,H580,M579+H580)</x:f>
        <x:v>0</x:v>
      </x:c>
      <x:c r="N580" s="32" t="n">
        <x:f>IF(A580=1,I580,N579+I580)</x:f>
        <x:v>0</x:v>
      </x:c>
      <x:c r="O580" s="32" t="n">
        <x:f>IF(A580=1,G580,O579+G580)</x:f>
        <x:v>3671325</x:v>
      </x:c>
      <x:c r="P580" s="37" t="n">
        <x:f>EDATE(Dashboard!$B$10,A580)</x:f>
        <x:v>62640</x:v>
      </x:c>
    </x:row>
    <x:row r="581">
      <x:c r="A581" s="33" t="n">
        <x:v>580</x:v>
      </x:c>
      <x:c r="B581" s="33" t="str">
        <x:f>IF(A581&lt;=Dashboard!$F$8,"Holiday",IF(A581&lt;=Dashboard!$F$8+Dashboard!$F$7,"Repayment","Closed"))</x:f>
        <x:v>Closed</x:v>
      </x:c>
      <x:c r="C581" s="32">
        <x:f>IF(A581=1,Dashboard!$B$6,IF(B581="Holiday",J580,L580))</x:f>
      </x:c>
      <x:c r="D581" s="32">
        <x:f>IF(A581=1,0,IF(B581="Holiday",K580,0))</x:f>
      </x:c>
      <x:c r="E581" s="32">
        <x:f>C581+D581</x:f>
      </x:c>
      <x:c r="F581" s="32">
        <x:f>IF(B581="Holiday",IF(Dashboard!$B$14="Principal Only",MIN(Dashboard!$B$15,C581),0),0)</x:f>
      </x:c>
      <x:c r="G581" s="32" t="n">
        <x:f>IF(B581="Closed",0,IF(B581="Holiday",IF(Dashboard!$B$14="Interest Only",C581*Dashboard!$F$6,MAX(0,(C581-F581)*Dashboard!$F$6)),E581*Dashboard!$F$6))</x:f>
        <x:v>0</x:v>
      </x:c>
      <x:c r="H581" s="32" t="n">
        <x:f>IF(B581="Holiday",IF(Dashboard!$B$14="Interest Only",G581,F581),IF(B581="Closed",0,MIN(Dashboard!$F$10,E581+G581)))</x:f>
        <x:v>0</x:v>
      </x:c>
      <x:c r="I581" s="32" t="n">
        <x:f>IF(B581="Holiday",F581,IF(B581="Closed",0,MAX(0,H581-G581)))</x:f>
        <x:v>0</x:v>
      </x:c>
      <x:c r="J581" s="32" t="n">
        <x:f>IF(B581="Holiday",MAX(0,C581-F581),IF(B581="Closed",0,MAX(0,E581-I581)))</x:f>
        <x:v>0</x:v>
      </x:c>
      <x:c r="K581" s="32" t="n">
        <x:f>IF(B581="Holiday",IF(Dashboard!$B$14="Interest Only",D581,D581+G581),0)</x:f>
        <x:v>0</x:v>
      </x:c>
      <x:c r="L581" s="32" t="n">
        <x:f>J581+K581</x:f>
        <x:v>0</x:v>
      </x:c>
      <x:c r="M581" s="32" t="n">
        <x:f>IF(A581=1,H581,M580+H581)</x:f>
        <x:v>0</x:v>
      </x:c>
      <x:c r="N581" s="32" t="n">
        <x:f>IF(A581=1,I581,N580+I581)</x:f>
        <x:v>0</x:v>
      </x:c>
      <x:c r="O581" s="32" t="n">
        <x:f>IF(A581=1,G581,O580+G581)</x:f>
        <x:v>3671325</x:v>
      </x:c>
      <x:c r="P581" s="37" t="n">
        <x:f>EDATE(Dashboard!$B$10,A581)</x:f>
        <x:v>62671</x:v>
      </x:c>
    </x:row>
    <x:row r="582">
      <x:c r="A582" s="33" t="n">
        <x:v>581</x:v>
      </x:c>
      <x:c r="B582" s="33" t="str">
        <x:f>IF(A582&lt;=Dashboard!$F$8,"Holiday",IF(A582&lt;=Dashboard!$F$8+Dashboard!$F$7,"Repayment","Closed"))</x:f>
        <x:v>Closed</x:v>
      </x:c>
      <x:c r="C582" s="32">
        <x:f>IF(A582=1,Dashboard!$B$6,IF(B582="Holiday",J581,L581))</x:f>
      </x:c>
      <x:c r="D582" s="32">
        <x:f>IF(A582=1,0,IF(B582="Holiday",K581,0))</x:f>
      </x:c>
      <x:c r="E582" s="32">
        <x:f>C582+D582</x:f>
      </x:c>
      <x:c r="F582" s="32">
        <x:f>IF(B582="Holiday",IF(Dashboard!$B$14="Principal Only",MIN(Dashboard!$B$15,C582),0),0)</x:f>
      </x:c>
      <x:c r="G582" s="32" t="n">
        <x:f>IF(B582="Closed",0,IF(B582="Holiday",IF(Dashboard!$B$14="Interest Only",C582*Dashboard!$F$6,MAX(0,(C582-F582)*Dashboard!$F$6)),E582*Dashboard!$F$6))</x:f>
        <x:v>0</x:v>
      </x:c>
      <x:c r="H582" s="32" t="n">
        <x:f>IF(B582="Holiday",IF(Dashboard!$B$14="Interest Only",G582,F582),IF(B582="Closed",0,MIN(Dashboard!$F$10,E582+G582)))</x:f>
        <x:v>0</x:v>
      </x:c>
      <x:c r="I582" s="32" t="n">
        <x:f>IF(B582="Holiday",F582,IF(B582="Closed",0,MAX(0,H582-G582)))</x:f>
        <x:v>0</x:v>
      </x:c>
      <x:c r="J582" s="32" t="n">
        <x:f>IF(B582="Holiday",MAX(0,C582-F582),IF(B582="Closed",0,MAX(0,E582-I582)))</x:f>
        <x:v>0</x:v>
      </x:c>
      <x:c r="K582" s="32" t="n">
        <x:f>IF(B582="Holiday",IF(Dashboard!$B$14="Interest Only",D582,D582+G582),0)</x:f>
        <x:v>0</x:v>
      </x:c>
      <x:c r="L582" s="32" t="n">
        <x:f>J582+K582</x:f>
        <x:v>0</x:v>
      </x:c>
      <x:c r="M582" s="32" t="n">
        <x:f>IF(A582=1,H582,M581+H582)</x:f>
        <x:v>0</x:v>
      </x:c>
      <x:c r="N582" s="32" t="n">
        <x:f>IF(A582=1,I582,N581+I582)</x:f>
        <x:v>0</x:v>
      </x:c>
      <x:c r="O582" s="32" t="n">
        <x:f>IF(A582=1,G582,O581+G582)</x:f>
        <x:v>3671325</x:v>
      </x:c>
      <x:c r="P582" s="37" t="n">
        <x:f>EDATE(Dashboard!$B$10,A582)</x:f>
        <x:v>62702</x:v>
      </x:c>
    </x:row>
    <x:row r="583">
      <x:c r="A583" s="33" t="n">
        <x:v>582</x:v>
      </x:c>
      <x:c r="B583" s="33" t="str">
        <x:f>IF(A583&lt;=Dashboard!$F$8,"Holiday",IF(A583&lt;=Dashboard!$F$8+Dashboard!$F$7,"Repayment","Closed"))</x:f>
        <x:v>Closed</x:v>
      </x:c>
      <x:c r="C583" s="32">
        <x:f>IF(A583=1,Dashboard!$B$6,IF(B583="Holiday",J582,L582))</x:f>
      </x:c>
      <x:c r="D583" s="32">
        <x:f>IF(A583=1,0,IF(B583="Holiday",K582,0))</x:f>
      </x:c>
      <x:c r="E583" s="32">
        <x:f>C583+D583</x:f>
      </x:c>
      <x:c r="F583" s="32">
        <x:f>IF(B583="Holiday",IF(Dashboard!$B$14="Principal Only",MIN(Dashboard!$B$15,C583),0),0)</x:f>
      </x:c>
      <x:c r="G583" s="32" t="n">
        <x:f>IF(B583="Closed",0,IF(B583="Holiday",IF(Dashboard!$B$14="Interest Only",C583*Dashboard!$F$6,MAX(0,(C583-F583)*Dashboard!$F$6)),E583*Dashboard!$F$6))</x:f>
        <x:v>0</x:v>
      </x:c>
      <x:c r="H583" s="32" t="n">
        <x:f>IF(B583="Holiday",IF(Dashboard!$B$14="Interest Only",G583,F583),IF(B583="Closed",0,MIN(Dashboard!$F$10,E583+G583)))</x:f>
        <x:v>0</x:v>
      </x:c>
      <x:c r="I583" s="32" t="n">
        <x:f>IF(B583="Holiday",F583,IF(B583="Closed",0,MAX(0,H583-G583)))</x:f>
        <x:v>0</x:v>
      </x:c>
      <x:c r="J583" s="32" t="n">
        <x:f>IF(B583="Holiday",MAX(0,C583-F583),IF(B583="Closed",0,MAX(0,E583-I583)))</x:f>
        <x:v>0</x:v>
      </x:c>
      <x:c r="K583" s="32" t="n">
        <x:f>IF(B583="Holiday",IF(Dashboard!$B$14="Interest Only",D583,D583+G583),0)</x:f>
        <x:v>0</x:v>
      </x:c>
      <x:c r="L583" s="32" t="n">
        <x:f>J583+K583</x:f>
        <x:v>0</x:v>
      </x:c>
      <x:c r="M583" s="32" t="n">
        <x:f>IF(A583=1,H583,M582+H583)</x:f>
        <x:v>0</x:v>
      </x:c>
      <x:c r="N583" s="32" t="n">
        <x:f>IF(A583=1,I583,N582+I583)</x:f>
        <x:v>0</x:v>
      </x:c>
      <x:c r="O583" s="32" t="n">
        <x:f>IF(A583=1,G583,O582+G583)</x:f>
        <x:v>3671325</x:v>
      </x:c>
      <x:c r="P583" s="37" t="n">
        <x:f>EDATE(Dashboard!$B$10,A583)</x:f>
        <x:v>62732</x:v>
      </x:c>
    </x:row>
    <x:row r="584">
      <x:c r="A584" s="33" t="n">
        <x:v>583</x:v>
      </x:c>
      <x:c r="B584" s="33" t="str">
        <x:f>IF(A584&lt;=Dashboard!$F$8,"Holiday",IF(A584&lt;=Dashboard!$F$8+Dashboard!$F$7,"Repayment","Closed"))</x:f>
        <x:v>Closed</x:v>
      </x:c>
      <x:c r="C584" s="32">
        <x:f>IF(A584=1,Dashboard!$B$6,IF(B584="Holiday",J583,L583))</x:f>
      </x:c>
      <x:c r="D584" s="32">
        <x:f>IF(A584=1,0,IF(B584="Holiday",K583,0))</x:f>
      </x:c>
      <x:c r="E584" s="32">
        <x:f>C584+D584</x:f>
      </x:c>
      <x:c r="F584" s="32">
        <x:f>IF(B584="Holiday",IF(Dashboard!$B$14="Principal Only",MIN(Dashboard!$B$15,C584),0),0)</x:f>
      </x:c>
      <x:c r="G584" s="32" t="n">
        <x:f>IF(B584="Closed",0,IF(B584="Holiday",IF(Dashboard!$B$14="Interest Only",C584*Dashboard!$F$6,MAX(0,(C584-F584)*Dashboard!$F$6)),E584*Dashboard!$F$6))</x:f>
        <x:v>0</x:v>
      </x:c>
      <x:c r="H584" s="32" t="n">
        <x:f>IF(B584="Holiday",IF(Dashboard!$B$14="Interest Only",G584,F584),IF(B584="Closed",0,MIN(Dashboard!$F$10,E584+G584)))</x:f>
        <x:v>0</x:v>
      </x:c>
      <x:c r="I584" s="32" t="n">
        <x:f>IF(B584="Holiday",F584,IF(B584="Closed",0,MAX(0,H584-G584)))</x:f>
        <x:v>0</x:v>
      </x:c>
      <x:c r="J584" s="32" t="n">
        <x:f>IF(B584="Holiday",MAX(0,C584-F584),IF(B584="Closed",0,MAX(0,E584-I584)))</x:f>
        <x:v>0</x:v>
      </x:c>
      <x:c r="K584" s="32" t="n">
        <x:f>IF(B584="Holiday",IF(Dashboard!$B$14="Interest Only",D584,D584+G584),0)</x:f>
        <x:v>0</x:v>
      </x:c>
      <x:c r="L584" s="32" t="n">
        <x:f>J584+K584</x:f>
        <x:v>0</x:v>
      </x:c>
      <x:c r="M584" s="32" t="n">
        <x:f>IF(A584=1,H584,M583+H584)</x:f>
        <x:v>0</x:v>
      </x:c>
      <x:c r="N584" s="32" t="n">
        <x:f>IF(A584=1,I584,N583+I584)</x:f>
        <x:v>0</x:v>
      </x:c>
      <x:c r="O584" s="32" t="n">
        <x:f>IF(A584=1,G584,O583+G584)</x:f>
        <x:v>3671325</x:v>
      </x:c>
      <x:c r="P584" s="37" t="n">
        <x:f>EDATE(Dashboard!$B$10,A584)</x:f>
        <x:v>62763</x:v>
      </x:c>
    </x:row>
    <x:row r="585">
      <x:c r="A585" s="33" t="n">
        <x:v>584</x:v>
      </x:c>
      <x:c r="B585" s="33" t="str">
        <x:f>IF(A585&lt;=Dashboard!$F$8,"Holiday",IF(A585&lt;=Dashboard!$F$8+Dashboard!$F$7,"Repayment","Closed"))</x:f>
        <x:v>Closed</x:v>
      </x:c>
      <x:c r="C585" s="32">
        <x:f>IF(A585=1,Dashboard!$B$6,IF(B585="Holiday",J584,L584))</x:f>
      </x:c>
      <x:c r="D585" s="32">
        <x:f>IF(A585=1,0,IF(B585="Holiday",K584,0))</x:f>
      </x:c>
      <x:c r="E585" s="32">
        <x:f>C585+D585</x:f>
      </x:c>
      <x:c r="F585" s="32">
        <x:f>IF(B585="Holiday",IF(Dashboard!$B$14="Principal Only",MIN(Dashboard!$B$15,C585),0),0)</x:f>
      </x:c>
      <x:c r="G585" s="32" t="n">
        <x:f>IF(B585="Closed",0,IF(B585="Holiday",IF(Dashboard!$B$14="Interest Only",C585*Dashboard!$F$6,MAX(0,(C585-F585)*Dashboard!$F$6)),E585*Dashboard!$F$6))</x:f>
        <x:v>0</x:v>
      </x:c>
      <x:c r="H585" s="32" t="n">
        <x:f>IF(B585="Holiday",IF(Dashboard!$B$14="Interest Only",G585,F585),IF(B585="Closed",0,MIN(Dashboard!$F$10,E585+G585)))</x:f>
        <x:v>0</x:v>
      </x:c>
      <x:c r="I585" s="32" t="n">
        <x:f>IF(B585="Holiday",F585,IF(B585="Closed",0,MAX(0,H585-G585)))</x:f>
        <x:v>0</x:v>
      </x:c>
      <x:c r="J585" s="32" t="n">
        <x:f>IF(B585="Holiday",MAX(0,C585-F585),IF(B585="Closed",0,MAX(0,E585-I585)))</x:f>
        <x:v>0</x:v>
      </x:c>
      <x:c r="K585" s="32" t="n">
        <x:f>IF(B585="Holiday",IF(Dashboard!$B$14="Interest Only",D585,D585+G585),0)</x:f>
        <x:v>0</x:v>
      </x:c>
      <x:c r="L585" s="32" t="n">
        <x:f>J585+K585</x:f>
        <x:v>0</x:v>
      </x:c>
      <x:c r="M585" s="32" t="n">
        <x:f>IF(A585=1,H585,M584+H585)</x:f>
        <x:v>0</x:v>
      </x:c>
      <x:c r="N585" s="32" t="n">
        <x:f>IF(A585=1,I585,N584+I585)</x:f>
        <x:v>0</x:v>
      </x:c>
      <x:c r="O585" s="32" t="n">
        <x:f>IF(A585=1,G585,O584+G585)</x:f>
        <x:v>3671325</x:v>
      </x:c>
      <x:c r="P585" s="37" t="n">
        <x:f>EDATE(Dashboard!$B$10,A585)</x:f>
        <x:v>62793</x:v>
      </x:c>
    </x:row>
    <x:row r="586">
      <x:c r="A586" s="33" t="n">
        <x:v>585</x:v>
      </x:c>
      <x:c r="B586" s="33" t="str">
        <x:f>IF(A586&lt;=Dashboard!$F$8,"Holiday",IF(A586&lt;=Dashboard!$F$8+Dashboard!$F$7,"Repayment","Closed"))</x:f>
        <x:v>Closed</x:v>
      </x:c>
      <x:c r="C586" s="32">
        <x:f>IF(A586=1,Dashboard!$B$6,IF(B586="Holiday",J585,L585))</x:f>
      </x:c>
      <x:c r="D586" s="32">
        <x:f>IF(A586=1,0,IF(B586="Holiday",K585,0))</x:f>
      </x:c>
      <x:c r="E586" s="32">
        <x:f>C586+D586</x:f>
      </x:c>
      <x:c r="F586" s="32">
        <x:f>IF(B586="Holiday",IF(Dashboard!$B$14="Principal Only",MIN(Dashboard!$B$15,C586),0),0)</x:f>
      </x:c>
      <x:c r="G586" s="32" t="n">
        <x:f>IF(B586="Closed",0,IF(B586="Holiday",IF(Dashboard!$B$14="Interest Only",C586*Dashboard!$F$6,MAX(0,(C586-F586)*Dashboard!$F$6)),E586*Dashboard!$F$6))</x:f>
        <x:v>0</x:v>
      </x:c>
      <x:c r="H586" s="32" t="n">
        <x:f>IF(B586="Holiday",IF(Dashboard!$B$14="Interest Only",G586,F586),IF(B586="Closed",0,MIN(Dashboard!$F$10,E586+G586)))</x:f>
        <x:v>0</x:v>
      </x:c>
      <x:c r="I586" s="32" t="n">
        <x:f>IF(B586="Holiday",F586,IF(B586="Closed",0,MAX(0,H586-G586)))</x:f>
        <x:v>0</x:v>
      </x:c>
      <x:c r="J586" s="32" t="n">
        <x:f>IF(B586="Holiday",MAX(0,C586-F586),IF(B586="Closed",0,MAX(0,E586-I586)))</x:f>
        <x:v>0</x:v>
      </x:c>
      <x:c r="K586" s="32" t="n">
        <x:f>IF(B586="Holiday",IF(Dashboard!$B$14="Interest Only",D586,D586+G586),0)</x:f>
        <x:v>0</x:v>
      </x:c>
      <x:c r="L586" s="32" t="n">
        <x:f>J586+K586</x:f>
        <x:v>0</x:v>
      </x:c>
      <x:c r="M586" s="32" t="n">
        <x:f>IF(A586=1,H586,M585+H586)</x:f>
        <x:v>0</x:v>
      </x:c>
      <x:c r="N586" s="32" t="n">
        <x:f>IF(A586=1,I586,N585+I586)</x:f>
        <x:v>0</x:v>
      </x:c>
      <x:c r="O586" s="32" t="n">
        <x:f>IF(A586=1,G586,O585+G586)</x:f>
        <x:v>3671325</x:v>
      </x:c>
      <x:c r="P586" s="37" t="n">
        <x:f>EDATE(Dashboard!$B$10,A586)</x:f>
        <x:v>62824</x:v>
      </x:c>
    </x:row>
    <x:row r="587">
      <x:c r="A587" s="33" t="n">
        <x:v>586</x:v>
      </x:c>
      <x:c r="B587" s="33" t="str">
        <x:f>IF(A587&lt;=Dashboard!$F$8,"Holiday",IF(A587&lt;=Dashboard!$F$8+Dashboard!$F$7,"Repayment","Closed"))</x:f>
        <x:v>Closed</x:v>
      </x:c>
      <x:c r="C587" s="32">
        <x:f>IF(A587=1,Dashboard!$B$6,IF(B587="Holiday",J586,L586))</x:f>
      </x:c>
      <x:c r="D587" s="32">
        <x:f>IF(A587=1,0,IF(B587="Holiday",K586,0))</x:f>
      </x:c>
      <x:c r="E587" s="32">
        <x:f>C587+D587</x:f>
      </x:c>
      <x:c r="F587" s="32">
        <x:f>IF(B587="Holiday",IF(Dashboard!$B$14="Principal Only",MIN(Dashboard!$B$15,C587),0),0)</x:f>
      </x:c>
      <x:c r="G587" s="32" t="n">
        <x:f>IF(B587="Closed",0,IF(B587="Holiday",IF(Dashboard!$B$14="Interest Only",C587*Dashboard!$F$6,MAX(0,(C587-F587)*Dashboard!$F$6)),E587*Dashboard!$F$6))</x:f>
        <x:v>0</x:v>
      </x:c>
      <x:c r="H587" s="32" t="n">
        <x:f>IF(B587="Holiday",IF(Dashboard!$B$14="Interest Only",G587,F587),IF(B587="Closed",0,MIN(Dashboard!$F$10,E587+G587)))</x:f>
        <x:v>0</x:v>
      </x:c>
      <x:c r="I587" s="32" t="n">
        <x:f>IF(B587="Holiday",F587,IF(B587="Closed",0,MAX(0,H587-G587)))</x:f>
        <x:v>0</x:v>
      </x:c>
      <x:c r="J587" s="32" t="n">
        <x:f>IF(B587="Holiday",MAX(0,C587-F587),IF(B587="Closed",0,MAX(0,E587-I587)))</x:f>
        <x:v>0</x:v>
      </x:c>
      <x:c r="K587" s="32" t="n">
        <x:f>IF(B587="Holiday",IF(Dashboard!$B$14="Interest Only",D587,D587+G587),0)</x:f>
        <x:v>0</x:v>
      </x:c>
      <x:c r="L587" s="32" t="n">
        <x:f>J587+K587</x:f>
        <x:v>0</x:v>
      </x:c>
      <x:c r="M587" s="32" t="n">
        <x:f>IF(A587=1,H587,M586+H587)</x:f>
        <x:v>0</x:v>
      </x:c>
      <x:c r="N587" s="32" t="n">
        <x:f>IF(A587=1,I587,N586+I587)</x:f>
        <x:v>0</x:v>
      </x:c>
      <x:c r="O587" s="32" t="n">
        <x:f>IF(A587=1,G587,O586+G587)</x:f>
        <x:v>3671325</x:v>
      </x:c>
      <x:c r="P587" s="37" t="n">
        <x:f>EDATE(Dashboard!$B$10,A587)</x:f>
        <x:v>62855</x:v>
      </x:c>
    </x:row>
    <x:row r="588">
      <x:c r="A588" s="33" t="n">
        <x:v>587</x:v>
      </x:c>
      <x:c r="B588" s="33" t="str">
        <x:f>IF(A588&lt;=Dashboard!$F$8,"Holiday",IF(A588&lt;=Dashboard!$F$8+Dashboard!$F$7,"Repayment","Closed"))</x:f>
        <x:v>Closed</x:v>
      </x:c>
      <x:c r="C588" s="32">
        <x:f>IF(A588=1,Dashboard!$B$6,IF(B588="Holiday",J587,L587))</x:f>
      </x:c>
      <x:c r="D588" s="32">
        <x:f>IF(A588=1,0,IF(B588="Holiday",K587,0))</x:f>
      </x:c>
      <x:c r="E588" s="32">
        <x:f>C588+D588</x:f>
      </x:c>
      <x:c r="F588" s="32">
        <x:f>IF(B588="Holiday",IF(Dashboard!$B$14="Principal Only",MIN(Dashboard!$B$15,C588),0),0)</x:f>
      </x:c>
      <x:c r="G588" s="32" t="n">
        <x:f>IF(B588="Closed",0,IF(B588="Holiday",IF(Dashboard!$B$14="Interest Only",C588*Dashboard!$F$6,MAX(0,(C588-F588)*Dashboard!$F$6)),E588*Dashboard!$F$6))</x:f>
        <x:v>0</x:v>
      </x:c>
      <x:c r="H588" s="32" t="n">
        <x:f>IF(B588="Holiday",IF(Dashboard!$B$14="Interest Only",G588,F588),IF(B588="Closed",0,MIN(Dashboard!$F$10,E588+G588)))</x:f>
        <x:v>0</x:v>
      </x:c>
      <x:c r="I588" s="32" t="n">
        <x:f>IF(B588="Holiday",F588,IF(B588="Closed",0,MAX(0,H588-G588)))</x:f>
        <x:v>0</x:v>
      </x:c>
      <x:c r="J588" s="32" t="n">
        <x:f>IF(B588="Holiday",MAX(0,C588-F588),IF(B588="Closed",0,MAX(0,E588-I588)))</x:f>
        <x:v>0</x:v>
      </x:c>
      <x:c r="K588" s="32" t="n">
        <x:f>IF(B588="Holiday",IF(Dashboard!$B$14="Interest Only",D588,D588+G588),0)</x:f>
        <x:v>0</x:v>
      </x:c>
      <x:c r="L588" s="32" t="n">
        <x:f>J588+K588</x:f>
        <x:v>0</x:v>
      </x:c>
      <x:c r="M588" s="32" t="n">
        <x:f>IF(A588=1,H588,M587+H588)</x:f>
        <x:v>0</x:v>
      </x:c>
      <x:c r="N588" s="32" t="n">
        <x:f>IF(A588=1,I588,N587+I588)</x:f>
        <x:v>0</x:v>
      </x:c>
      <x:c r="O588" s="32" t="n">
        <x:f>IF(A588=1,G588,O587+G588)</x:f>
        <x:v>3671325</x:v>
      </x:c>
      <x:c r="P588" s="37" t="n">
        <x:f>EDATE(Dashboard!$B$10,A588)</x:f>
        <x:v>62884</x:v>
      </x:c>
    </x:row>
    <x:row r="589">
      <x:c r="A589" s="33" t="n">
        <x:v>588</x:v>
      </x:c>
      <x:c r="B589" s="33" t="str">
        <x:f>IF(A589&lt;=Dashboard!$F$8,"Holiday",IF(A589&lt;=Dashboard!$F$8+Dashboard!$F$7,"Repayment","Closed"))</x:f>
        <x:v>Closed</x:v>
      </x:c>
      <x:c r="C589" s="32">
        <x:f>IF(A589=1,Dashboard!$B$6,IF(B589="Holiday",J588,L588))</x:f>
      </x:c>
      <x:c r="D589" s="32">
        <x:f>IF(A589=1,0,IF(B589="Holiday",K588,0))</x:f>
      </x:c>
      <x:c r="E589" s="32">
        <x:f>C589+D589</x:f>
      </x:c>
      <x:c r="F589" s="32">
        <x:f>IF(B589="Holiday",IF(Dashboard!$B$14="Principal Only",MIN(Dashboard!$B$15,C589),0),0)</x:f>
      </x:c>
      <x:c r="G589" s="32" t="n">
        <x:f>IF(B589="Closed",0,IF(B589="Holiday",IF(Dashboard!$B$14="Interest Only",C589*Dashboard!$F$6,MAX(0,(C589-F589)*Dashboard!$F$6)),E589*Dashboard!$F$6))</x:f>
        <x:v>0</x:v>
      </x:c>
      <x:c r="H589" s="32" t="n">
        <x:f>IF(B589="Holiday",IF(Dashboard!$B$14="Interest Only",G589,F589),IF(B589="Closed",0,MIN(Dashboard!$F$10,E589+G589)))</x:f>
        <x:v>0</x:v>
      </x:c>
      <x:c r="I589" s="32" t="n">
        <x:f>IF(B589="Holiday",F589,IF(B589="Closed",0,MAX(0,H589-G589)))</x:f>
        <x:v>0</x:v>
      </x:c>
      <x:c r="J589" s="32" t="n">
        <x:f>IF(B589="Holiday",MAX(0,C589-F589),IF(B589="Closed",0,MAX(0,E589-I589)))</x:f>
        <x:v>0</x:v>
      </x:c>
      <x:c r="K589" s="32" t="n">
        <x:f>IF(B589="Holiday",IF(Dashboard!$B$14="Interest Only",D589,D589+G589),0)</x:f>
        <x:v>0</x:v>
      </x:c>
      <x:c r="L589" s="32" t="n">
        <x:f>J589+K589</x:f>
        <x:v>0</x:v>
      </x:c>
      <x:c r="M589" s="32" t="n">
        <x:f>IF(A589=1,H589,M588+H589)</x:f>
        <x:v>0</x:v>
      </x:c>
      <x:c r="N589" s="32" t="n">
        <x:f>IF(A589=1,I589,N588+I589)</x:f>
        <x:v>0</x:v>
      </x:c>
      <x:c r="O589" s="32" t="n">
        <x:f>IF(A589=1,G589,O588+G589)</x:f>
        <x:v>3671325</x:v>
      </x:c>
      <x:c r="P589" s="37" t="n">
        <x:f>EDATE(Dashboard!$B$10,A589)</x:f>
        <x:v>62915</x:v>
      </x:c>
    </x:row>
    <x:row r="590">
      <x:c r="A590" s="33" t="n">
        <x:v>589</x:v>
      </x:c>
      <x:c r="B590" s="33" t="str">
        <x:f>IF(A590&lt;=Dashboard!$F$8,"Holiday",IF(A590&lt;=Dashboard!$F$8+Dashboard!$F$7,"Repayment","Closed"))</x:f>
        <x:v>Closed</x:v>
      </x:c>
      <x:c r="C590" s="32">
        <x:f>IF(A590=1,Dashboard!$B$6,IF(B590="Holiday",J589,L589))</x:f>
      </x:c>
      <x:c r="D590" s="32">
        <x:f>IF(A590=1,0,IF(B590="Holiday",K589,0))</x:f>
      </x:c>
      <x:c r="E590" s="32">
        <x:f>C590+D590</x:f>
      </x:c>
      <x:c r="F590" s="32">
        <x:f>IF(B590="Holiday",IF(Dashboard!$B$14="Principal Only",MIN(Dashboard!$B$15,C590),0),0)</x:f>
      </x:c>
      <x:c r="G590" s="32" t="n">
        <x:f>IF(B590="Closed",0,IF(B590="Holiday",IF(Dashboard!$B$14="Interest Only",C590*Dashboard!$F$6,MAX(0,(C590-F590)*Dashboard!$F$6)),E590*Dashboard!$F$6))</x:f>
        <x:v>0</x:v>
      </x:c>
      <x:c r="H590" s="32" t="n">
        <x:f>IF(B590="Holiday",IF(Dashboard!$B$14="Interest Only",G590,F590),IF(B590="Closed",0,MIN(Dashboard!$F$10,E590+G590)))</x:f>
        <x:v>0</x:v>
      </x:c>
      <x:c r="I590" s="32" t="n">
        <x:f>IF(B590="Holiday",F590,IF(B590="Closed",0,MAX(0,H590-G590)))</x:f>
        <x:v>0</x:v>
      </x:c>
      <x:c r="J590" s="32" t="n">
        <x:f>IF(B590="Holiday",MAX(0,C590-F590),IF(B590="Closed",0,MAX(0,E590-I590)))</x:f>
        <x:v>0</x:v>
      </x:c>
      <x:c r="K590" s="32" t="n">
        <x:f>IF(B590="Holiday",IF(Dashboard!$B$14="Interest Only",D590,D590+G590),0)</x:f>
        <x:v>0</x:v>
      </x:c>
      <x:c r="L590" s="32" t="n">
        <x:f>J590+K590</x:f>
        <x:v>0</x:v>
      </x:c>
      <x:c r="M590" s="32" t="n">
        <x:f>IF(A590=1,H590,M589+H590)</x:f>
        <x:v>0</x:v>
      </x:c>
      <x:c r="N590" s="32" t="n">
        <x:f>IF(A590=1,I590,N589+I590)</x:f>
        <x:v>0</x:v>
      </x:c>
      <x:c r="O590" s="32" t="n">
        <x:f>IF(A590=1,G590,O589+G590)</x:f>
        <x:v>3671325</x:v>
      </x:c>
      <x:c r="P590" s="37" t="n">
        <x:f>EDATE(Dashboard!$B$10,A590)</x:f>
        <x:v>62945</x:v>
      </x:c>
    </x:row>
    <x:row r="591">
      <x:c r="A591" s="33" t="n">
        <x:v>590</x:v>
      </x:c>
      <x:c r="B591" s="33" t="str">
        <x:f>IF(A591&lt;=Dashboard!$F$8,"Holiday",IF(A591&lt;=Dashboard!$F$8+Dashboard!$F$7,"Repayment","Closed"))</x:f>
        <x:v>Closed</x:v>
      </x:c>
      <x:c r="C591" s="32">
        <x:f>IF(A591=1,Dashboard!$B$6,IF(B591="Holiday",J590,L590))</x:f>
      </x:c>
      <x:c r="D591" s="32">
        <x:f>IF(A591=1,0,IF(B591="Holiday",K590,0))</x:f>
      </x:c>
      <x:c r="E591" s="32">
        <x:f>C591+D591</x:f>
      </x:c>
      <x:c r="F591" s="32">
        <x:f>IF(B591="Holiday",IF(Dashboard!$B$14="Principal Only",MIN(Dashboard!$B$15,C591),0),0)</x:f>
      </x:c>
      <x:c r="G591" s="32" t="n">
        <x:f>IF(B591="Closed",0,IF(B591="Holiday",IF(Dashboard!$B$14="Interest Only",C591*Dashboard!$F$6,MAX(0,(C591-F591)*Dashboard!$F$6)),E591*Dashboard!$F$6))</x:f>
        <x:v>0</x:v>
      </x:c>
      <x:c r="H591" s="32" t="n">
        <x:f>IF(B591="Holiday",IF(Dashboard!$B$14="Interest Only",G591,F591),IF(B591="Closed",0,MIN(Dashboard!$F$10,E591+G591)))</x:f>
        <x:v>0</x:v>
      </x:c>
      <x:c r="I591" s="32" t="n">
        <x:f>IF(B591="Holiday",F591,IF(B591="Closed",0,MAX(0,H591-G591)))</x:f>
        <x:v>0</x:v>
      </x:c>
      <x:c r="J591" s="32" t="n">
        <x:f>IF(B591="Holiday",MAX(0,C591-F591),IF(B591="Closed",0,MAX(0,E591-I591)))</x:f>
        <x:v>0</x:v>
      </x:c>
      <x:c r="K591" s="32" t="n">
        <x:f>IF(B591="Holiday",IF(Dashboard!$B$14="Interest Only",D591,D591+G591),0)</x:f>
        <x:v>0</x:v>
      </x:c>
      <x:c r="L591" s="32" t="n">
        <x:f>J591+K591</x:f>
        <x:v>0</x:v>
      </x:c>
      <x:c r="M591" s="32" t="n">
        <x:f>IF(A591=1,H591,M590+H591)</x:f>
        <x:v>0</x:v>
      </x:c>
      <x:c r="N591" s="32" t="n">
        <x:f>IF(A591=1,I591,N590+I591)</x:f>
        <x:v>0</x:v>
      </x:c>
      <x:c r="O591" s="32" t="n">
        <x:f>IF(A591=1,G591,O590+G591)</x:f>
        <x:v>3671325</x:v>
      </x:c>
      <x:c r="P591" s="37" t="n">
        <x:f>EDATE(Dashboard!$B$10,A591)</x:f>
        <x:v>62976</x:v>
      </x:c>
    </x:row>
    <x:row r="592">
      <x:c r="A592" s="33" t="n">
        <x:v>591</x:v>
      </x:c>
      <x:c r="B592" s="33" t="str">
        <x:f>IF(A592&lt;=Dashboard!$F$8,"Holiday",IF(A592&lt;=Dashboard!$F$8+Dashboard!$F$7,"Repayment","Closed"))</x:f>
        <x:v>Closed</x:v>
      </x:c>
      <x:c r="C592" s="32">
        <x:f>IF(A592=1,Dashboard!$B$6,IF(B592="Holiday",J591,L591))</x:f>
      </x:c>
      <x:c r="D592" s="32">
        <x:f>IF(A592=1,0,IF(B592="Holiday",K591,0))</x:f>
      </x:c>
      <x:c r="E592" s="32">
        <x:f>C592+D592</x:f>
      </x:c>
      <x:c r="F592" s="32">
        <x:f>IF(B592="Holiday",IF(Dashboard!$B$14="Principal Only",MIN(Dashboard!$B$15,C592),0),0)</x:f>
      </x:c>
      <x:c r="G592" s="32" t="n">
        <x:f>IF(B592="Closed",0,IF(B592="Holiday",IF(Dashboard!$B$14="Interest Only",C592*Dashboard!$F$6,MAX(0,(C592-F592)*Dashboard!$F$6)),E592*Dashboard!$F$6))</x:f>
        <x:v>0</x:v>
      </x:c>
      <x:c r="H592" s="32" t="n">
        <x:f>IF(B592="Holiday",IF(Dashboard!$B$14="Interest Only",G592,F592),IF(B592="Closed",0,MIN(Dashboard!$F$10,E592+G592)))</x:f>
        <x:v>0</x:v>
      </x:c>
      <x:c r="I592" s="32" t="n">
        <x:f>IF(B592="Holiday",F592,IF(B592="Closed",0,MAX(0,H592-G592)))</x:f>
        <x:v>0</x:v>
      </x:c>
      <x:c r="J592" s="32" t="n">
        <x:f>IF(B592="Holiday",MAX(0,C592-F592),IF(B592="Closed",0,MAX(0,E592-I592)))</x:f>
        <x:v>0</x:v>
      </x:c>
      <x:c r="K592" s="32" t="n">
        <x:f>IF(B592="Holiday",IF(Dashboard!$B$14="Interest Only",D592,D592+G592),0)</x:f>
        <x:v>0</x:v>
      </x:c>
      <x:c r="L592" s="32" t="n">
        <x:f>J592+K592</x:f>
        <x:v>0</x:v>
      </x:c>
      <x:c r="M592" s="32" t="n">
        <x:f>IF(A592=1,H592,M591+H592)</x:f>
        <x:v>0</x:v>
      </x:c>
      <x:c r="N592" s="32" t="n">
        <x:f>IF(A592=1,I592,N591+I592)</x:f>
        <x:v>0</x:v>
      </x:c>
      <x:c r="O592" s="32" t="n">
        <x:f>IF(A592=1,G592,O591+G592)</x:f>
        <x:v>3671325</x:v>
      </x:c>
      <x:c r="P592" s="37" t="n">
        <x:f>EDATE(Dashboard!$B$10,A592)</x:f>
        <x:v>63006</x:v>
      </x:c>
    </x:row>
    <x:row r="593">
      <x:c r="A593" s="33" t="n">
        <x:v>592</x:v>
      </x:c>
      <x:c r="B593" s="33" t="str">
        <x:f>IF(A593&lt;=Dashboard!$F$8,"Holiday",IF(A593&lt;=Dashboard!$F$8+Dashboard!$F$7,"Repayment","Closed"))</x:f>
        <x:v>Closed</x:v>
      </x:c>
      <x:c r="C593" s="32">
        <x:f>IF(A593=1,Dashboard!$B$6,IF(B593="Holiday",J592,L592))</x:f>
      </x:c>
      <x:c r="D593" s="32">
        <x:f>IF(A593=1,0,IF(B593="Holiday",K592,0))</x:f>
      </x:c>
      <x:c r="E593" s="32">
        <x:f>C593+D593</x:f>
      </x:c>
      <x:c r="F593" s="32">
        <x:f>IF(B593="Holiday",IF(Dashboard!$B$14="Principal Only",MIN(Dashboard!$B$15,C593),0),0)</x:f>
      </x:c>
      <x:c r="G593" s="32" t="n">
        <x:f>IF(B593="Closed",0,IF(B593="Holiday",IF(Dashboard!$B$14="Interest Only",C593*Dashboard!$F$6,MAX(0,(C593-F593)*Dashboard!$F$6)),E593*Dashboard!$F$6))</x:f>
        <x:v>0</x:v>
      </x:c>
      <x:c r="H593" s="32" t="n">
        <x:f>IF(B593="Holiday",IF(Dashboard!$B$14="Interest Only",G593,F593),IF(B593="Closed",0,MIN(Dashboard!$F$10,E593+G593)))</x:f>
        <x:v>0</x:v>
      </x:c>
      <x:c r="I593" s="32" t="n">
        <x:f>IF(B593="Holiday",F593,IF(B593="Closed",0,MAX(0,H593-G593)))</x:f>
        <x:v>0</x:v>
      </x:c>
      <x:c r="J593" s="32" t="n">
        <x:f>IF(B593="Holiday",MAX(0,C593-F593),IF(B593="Closed",0,MAX(0,E593-I593)))</x:f>
        <x:v>0</x:v>
      </x:c>
      <x:c r="K593" s="32" t="n">
        <x:f>IF(B593="Holiday",IF(Dashboard!$B$14="Interest Only",D593,D593+G593),0)</x:f>
        <x:v>0</x:v>
      </x:c>
      <x:c r="L593" s="32" t="n">
        <x:f>J593+K593</x:f>
        <x:v>0</x:v>
      </x:c>
      <x:c r="M593" s="32" t="n">
        <x:f>IF(A593=1,H593,M592+H593)</x:f>
        <x:v>0</x:v>
      </x:c>
      <x:c r="N593" s="32" t="n">
        <x:f>IF(A593=1,I593,N592+I593)</x:f>
        <x:v>0</x:v>
      </x:c>
      <x:c r="O593" s="32" t="n">
        <x:f>IF(A593=1,G593,O592+G593)</x:f>
        <x:v>3671325</x:v>
      </x:c>
      <x:c r="P593" s="37" t="n">
        <x:f>EDATE(Dashboard!$B$10,A593)</x:f>
        <x:v>63037</x:v>
      </x:c>
    </x:row>
    <x:row r="594">
      <x:c r="A594" s="33" t="n">
        <x:v>593</x:v>
      </x:c>
      <x:c r="B594" s="33" t="str">
        <x:f>IF(A594&lt;=Dashboard!$F$8,"Holiday",IF(A594&lt;=Dashboard!$F$8+Dashboard!$F$7,"Repayment","Closed"))</x:f>
        <x:v>Closed</x:v>
      </x:c>
      <x:c r="C594" s="32">
        <x:f>IF(A594=1,Dashboard!$B$6,IF(B594="Holiday",J593,L593))</x:f>
      </x:c>
      <x:c r="D594" s="32">
        <x:f>IF(A594=1,0,IF(B594="Holiday",K593,0))</x:f>
      </x:c>
      <x:c r="E594" s="32">
        <x:f>C594+D594</x:f>
      </x:c>
      <x:c r="F594" s="32">
        <x:f>IF(B594="Holiday",IF(Dashboard!$B$14="Principal Only",MIN(Dashboard!$B$15,C594),0),0)</x:f>
      </x:c>
      <x:c r="G594" s="32" t="n">
        <x:f>IF(B594="Closed",0,IF(B594="Holiday",IF(Dashboard!$B$14="Interest Only",C594*Dashboard!$F$6,MAX(0,(C594-F594)*Dashboard!$F$6)),E594*Dashboard!$F$6))</x:f>
        <x:v>0</x:v>
      </x:c>
      <x:c r="H594" s="32" t="n">
        <x:f>IF(B594="Holiday",IF(Dashboard!$B$14="Interest Only",G594,F594),IF(B594="Closed",0,MIN(Dashboard!$F$10,E594+G594)))</x:f>
        <x:v>0</x:v>
      </x:c>
      <x:c r="I594" s="32" t="n">
        <x:f>IF(B594="Holiday",F594,IF(B594="Closed",0,MAX(0,H594-G594)))</x:f>
        <x:v>0</x:v>
      </x:c>
      <x:c r="J594" s="32" t="n">
        <x:f>IF(B594="Holiday",MAX(0,C594-F594),IF(B594="Closed",0,MAX(0,E594-I594)))</x:f>
        <x:v>0</x:v>
      </x:c>
      <x:c r="K594" s="32" t="n">
        <x:f>IF(B594="Holiday",IF(Dashboard!$B$14="Interest Only",D594,D594+G594),0)</x:f>
        <x:v>0</x:v>
      </x:c>
      <x:c r="L594" s="32" t="n">
        <x:f>J594+K594</x:f>
        <x:v>0</x:v>
      </x:c>
      <x:c r="M594" s="32" t="n">
        <x:f>IF(A594=1,H594,M593+H594)</x:f>
        <x:v>0</x:v>
      </x:c>
      <x:c r="N594" s="32" t="n">
        <x:f>IF(A594=1,I594,N593+I594)</x:f>
        <x:v>0</x:v>
      </x:c>
      <x:c r="O594" s="32" t="n">
        <x:f>IF(A594=1,G594,O593+G594)</x:f>
        <x:v>3671325</x:v>
      </x:c>
      <x:c r="P594" s="37" t="n">
        <x:f>EDATE(Dashboard!$B$10,A594)</x:f>
        <x:v>63068</x:v>
      </x:c>
    </x:row>
    <x:row r="595">
      <x:c r="A595" s="33" t="n">
        <x:v>594</x:v>
      </x:c>
      <x:c r="B595" s="33" t="str">
        <x:f>IF(A595&lt;=Dashboard!$F$8,"Holiday",IF(A595&lt;=Dashboard!$F$8+Dashboard!$F$7,"Repayment","Closed"))</x:f>
        <x:v>Closed</x:v>
      </x:c>
      <x:c r="C595" s="32">
        <x:f>IF(A595=1,Dashboard!$B$6,IF(B595="Holiday",J594,L594))</x:f>
      </x:c>
      <x:c r="D595" s="32">
        <x:f>IF(A595=1,0,IF(B595="Holiday",K594,0))</x:f>
      </x:c>
      <x:c r="E595" s="32">
        <x:f>C595+D595</x:f>
      </x:c>
      <x:c r="F595" s="32">
        <x:f>IF(B595="Holiday",IF(Dashboard!$B$14="Principal Only",MIN(Dashboard!$B$15,C595),0),0)</x:f>
      </x:c>
      <x:c r="G595" s="32" t="n">
        <x:f>IF(B595="Closed",0,IF(B595="Holiday",IF(Dashboard!$B$14="Interest Only",C595*Dashboard!$F$6,MAX(0,(C595-F595)*Dashboard!$F$6)),E595*Dashboard!$F$6))</x:f>
        <x:v>0</x:v>
      </x:c>
      <x:c r="H595" s="32" t="n">
        <x:f>IF(B595="Holiday",IF(Dashboard!$B$14="Interest Only",G595,F595),IF(B595="Closed",0,MIN(Dashboard!$F$10,E595+G595)))</x:f>
        <x:v>0</x:v>
      </x:c>
      <x:c r="I595" s="32" t="n">
        <x:f>IF(B595="Holiday",F595,IF(B595="Closed",0,MAX(0,H595-G595)))</x:f>
        <x:v>0</x:v>
      </x:c>
      <x:c r="J595" s="32" t="n">
        <x:f>IF(B595="Holiday",MAX(0,C595-F595),IF(B595="Closed",0,MAX(0,E595-I595)))</x:f>
        <x:v>0</x:v>
      </x:c>
      <x:c r="K595" s="32" t="n">
        <x:f>IF(B595="Holiday",IF(Dashboard!$B$14="Interest Only",D595,D595+G595),0)</x:f>
        <x:v>0</x:v>
      </x:c>
      <x:c r="L595" s="32" t="n">
        <x:f>J595+K595</x:f>
        <x:v>0</x:v>
      </x:c>
      <x:c r="M595" s="32" t="n">
        <x:f>IF(A595=1,H595,M594+H595)</x:f>
        <x:v>0</x:v>
      </x:c>
      <x:c r="N595" s="32" t="n">
        <x:f>IF(A595=1,I595,N594+I595)</x:f>
        <x:v>0</x:v>
      </x:c>
      <x:c r="O595" s="32" t="n">
        <x:f>IF(A595=1,G595,O594+G595)</x:f>
        <x:v>3671325</x:v>
      </x:c>
      <x:c r="P595" s="37" t="n">
        <x:f>EDATE(Dashboard!$B$10,A595)</x:f>
        <x:v>63098</x:v>
      </x:c>
    </x:row>
    <x:row r="596">
      <x:c r="A596" s="33" t="n">
        <x:v>595</x:v>
      </x:c>
      <x:c r="B596" s="33" t="str">
        <x:f>IF(A596&lt;=Dashboard!$F$8,"Holiday",IF(A596&lt;=Dashboard!$F$8+Dashboard!$F$7,"Repayment","Closed"))</x:f>
        <x:v>Closed</x:v>
      </x:c>
      <x:c r="C596" s="32">
        <x:f>IF(A596=1,Dashboard!$B$6,IF(B596="Holiday",J595,L595))</x:f>
      </x:c>
      <x:c r="D596" s="32">
        <x:f>IF(A596=1,0,IF(B596="Holiday",K595,0))</x:f>
      </x:c>
      <x:c r="E596" s="32">
        <x:f>C596+D596</x:f>
      </x:c>
      <x:c r="F596" s="32">
        <x:f>IF(B596="Holiday",IF(Dashboard!$B$14="Principal Only",MIN(Dashboard!$B$15,C596),0),0)</x:f>
      </x:c>
      <x:c r="G596" s="32" t="n">
        <x:f>IF(B596="Closed",0,IF(B596="Holiday",IF(Dashboard!$B$14="Interest Only",C596*Dashboard!$F$6,MAX(0,(C596-F596)*Dashboard!$F$6)),E596*Dashboard!$F$6))</x:f>
        <x:v>0</x:v>
      </x:c>
      <x:c r="H596" s="32" t="n">
        <x:f>IF(B596="Holiday",IF(Dashboard!$B$14="Interest Only",G596,F596),IF(B596="Closed",0,MIN(Dashboard!$F$10,E596+G596)))</x:f>
        <x:v>0</x:v>
      </x:c>
      <x:c r="I596" s="32" t="n">
        <x:f>IF(B596="Holiday",F596,IF(B596="Closed",0,MAX(0,H596-G596)))</x:f>
        <x:v>0</x:v>
      </x:c>
      <x:c r="J596" s="32" t="n">
        <x:f>IF(B596="Holiday",MAX(0,C596-F596),IF(B596="Closed",0,MAX(0,E596-I596)))</x:f>
        <x:v>0</x:v>
      </x:c>
      <x:c r="K596" s="32" t="n">
        <x:f>IF(B596="Holiday",IF(Dashboard!$B$14="Interest Only",D596,D596+G596),0)</x:f>
        <x:v>0</x:v>
      </x:c>
      <x:c r="L596" s="32" t="n">
        <x:f>J596+K596</x:f>
        <x:v>0</x:v>
      </x:c>
      <x:c r="M596" s="32" t="n">
        <x:f>IF(A596=1,H596,M595+H596)</x:f>
        <x:v>0</x:v>
      </x:c>
      <x:c r="N596" s="32" t="n">
        <x:f>IF(A596=1,I596,N595+I596)</x:f>
        <x:v>0</x:v>
      </x:c>
      <x:c r="O596" s="32" t="n">
        <x:f>IF(A596=1,G596,O595+G596)</x:f>
        <x:v>3671325</x:v>
      </x:c>
      <x:c r="P596" s="37" t="n">
        <x:f>EDATE(Dashboard!$B$10,A596)</x:f>
        <x:v>63129</x:v>
      </x:c>
    </x:row>
    <x:row r="597">
      <x:c r="A597" s="33" t="n">
        <x:v>596</x:v>
      </x:c>
      <x:c r="B597" s="33" t="str">
        <x:f>IF(A597&lt;=Dashboard!$F$8,"Holiday",IF(A597&lt;=Dashboard!$F$8+Dashboard!$F$7,"Repayment","Closed"))</x:f>
        <x:v>Closed</x:v>
      </x:c>
      <x:c r="C597" s="32">
        <x:f>IF(A597=1,Dashboard!$B$6,IF(B597="Holiday",J596,L596))</x:f>
      </x:c>
      <x:c r="D597" s="32">
        <x:f>IF(A597=1,0,IF(B597="Holiday",K596,0))</x:f>
      </x:c>
      <x:c r="E597" s="32">
        <x:f>C597+D597</x:f>
      </x:c>
      <x:c r="F597" s="32">
        <x:f>IF(B597="Holiday",IF(Dashboard!$B$14="Principal Only",MIN(Dashboard!$B$15,C597),0),0)</x:f>
      </x:c>
      <x:c r="G597" s="32" t="n">
        <x:f>IF(B597="Closed",0,IF(B597="Holiday",IF(Dashboard!$B$14="Interest Only",C597*Dashboard!$F$6,MAX(0,(C597-F597)*Dashboard!$F$6)),E597*Dashboard!$F$6))</x:f>
        <x:v>0</x:v>
      </x:c>
      <x:c r="H597" s="32" t="n">
        <x:f>IF(B597="Holiday",IF(Dashboard!$B$14="Interest Only",G597,F597),IF(B597="Closed",0,MIN(Dashboard!$F$10,E597+G597)))</x:f>
        <x:v>0</x:v>
      </x:c>
      <x:c r="I597" s="32" t="n">
        <x:f>IF(B597="Holiday",F597,IF(B597="Closed",0,MAX(0,H597-G597)))</x:f>
        <x:v>0</x:v>
      </x:c>
      <x:c r="J597" s="32" t="n">
        <x:f>IF(B597="Holiday",MAX(0,C597-F597),IF(B597="Closed",0,MAX(0,E597-I597)))</x:f>
        <x:v>0</x:v>
      </x:c>
      <x:c r="K597" s="32" t="n">
        <x:f>IF(B597="Holiday",IF(Dashboard!$B$14="Interest Only",D597,D597+G597),0)</x:f>
        <x:v>0</x:v>
      </x:c>
      <x:c r="L597" s="32" t="n">
        <x:f>J597+K597</x:f>
        <x:v>0</x:v>
      </x:c>
      <x:c r="M597" s="32" t="n">
        <x:f>IF(A597=1,H597,M596+H597)</x:f>
        <x:v>0</x:v>
      </x:c>
      <x:c r="N597" s="32" t="n">
        <x:f>IF(A597=1,I597,N596+I597)</x:f>
        <x:v>0</x:v>
      </x:c>
      <x:c r="O597" s="32" t="n">
        <x:f>IF(A597=1,G597,O596+G597)</x:f>
        <x:v>3671325</x:v>
      </x:c>
      <x:c r="P597" s="37" t="n">
        <x:f>EDATE(Dashboard!$B$10,A597)</x:f>
        <x:v>63159</x:v>
      </x:c>
    </x:row>
    <x:row r="598">
      <x:c r="A598" s="33" t="n">
        <x:v>597</x:v>
      </x:c>
      <x:c r="B598" s="33" t="str">
        <x:f>IF(A598&lt;=Dashboard!$F$8,"Holiday",IF(A598&lt;=Dashboard!$F$8+Dashboard!$F$7,"Repayment","Closed"))</x:f>
        <x:v>Closed</x:v>
      </x:c>
      <x:c r="C598" s="32">
        <x:f>IF(A598=1,Dashboard!$B$6,IF(B598="Holiday",J597,L597))</x:f>
      </x:c>
      <x:c r="D598" s="32">
        <x:f>IF(A598=1,0,IF(B598="Holiday",K597,0))</x:f>
      </x:c>
      <x:c r="E598" s="32">
        <x:f>C598+D598</x:f>
      </x:c>
      <x:c r="F598" s="32">
        <x:f>IF(B598="Holiday",IF(Dashboard!$B$14="Principal Only",MIN(Dashboard!$B$15,C598),0),0)</x:f>
      </x:c>
      <x:c r="G598" s="32" t="n">
        <x:f>IF(B598="Closed",0,IF(B598="Holiday",IF(Dashboard!$B$14="Interest Only",C598*Dashboard!$F$6,MAX(0,(C598-F598)*Dashboard!$F$6)),E598*Dashboard!$F$6))</x:f>
        <x:v>0</x:v>
      </x:c>
      <x:c r="H598" s="32" t="n">
        <x:f>IF(B598="Holiday",IF(Dashboard!$B$14="Interest Only",G598,F598),IF(B598="Closed",0,MIN(Dashboard!$F$10,E598+G598)))</x:f>
        <x:v>0</x:v>
      </x:c>
      <x:c r="I598" s="32" t="n">
        <x:f>IF(B598="Holiday",F598,IF(B598="Closed",0,MAX(0,H598-G598)))</x:f>
        <x:v>0</x:v>
      </x:c>
      <x:c r="J598" s="32" t="n">
        <x:f>IF(B598="Holiday",MAX(0,C598-F598),IF(B598="Closed",0,MAX(0,E598-I598)))</x:f>
        <x:v>0</x:v>
      </x:c>
      <x:c r="K598" s="32" t="n">
        <x:f>IF(B598="Holiday",IF(Dashboard!$B$14="Interest Only",D598,D598+G598),0)</x:f>
        <x:v>0</x:v>
      </x:c>
      <x:c r="L598" s="32" t="n">
        <x:f>J598+K598</x:f>
        <x:v>0</x:v>
      </x:c>
      <x:c r="M598" s="32" t="n">
        <x:f>IF(A598=1,H598,M597+H598)</x:f>
        <x:v>0</x:v>
      </x:c>
      <x:c r="N598" s="32" t="n">
        <x:f>IF(A598=1,I598,N597+I598)</x:f>
        <x:v>0</x:v>
      </x:c>
      <x:c r="O598" s="32" t="n">
        <x:f>IF(A598=1,G598,O597+G598)</x:f>
        <x:v>3671325</x:v>
      </x:c>
      <x:c r="P598" s="37" t="n">
        <x:f>EDATE(Dashboard!$B$10,A598)</x:f>
        <x:v>63190</x:v>
      </x:c>
    </x:row>
    <x:row r="599">
      <x:c r="A599" s="33" t="n">
        <x:v>598</x:v>
      </x:c>
      <x:c r="B599" s="33" t="str">
        <x:f>IF(A599&lt;=Dashboard!$F$8,"Holiday",IF(A599&lt;=Dashboard!$F$8+Dashboard!$F$7,"Repayment","Closed"))</x:f>
        <x:v>Closed</x:v>
      </x:c>
      <x:c r="C599" s="32">
        <x:f>IF(A599=1,Dashboard!$B$6,IF(B599="Holiday",J598,L598))</x:f>
      </x:c>
      <x:c r="D599" s="32">
        <x:f>IF(A599=1,0,IF(B599="Holiday",K598,0))</x:f>
      </x:c>
      <x:c r="E599" s="32">
        <x:f>C599+D599</x:f>
      </x:c>
      <x:c r="F599" s="32">
        <x:f>IF(B599="Holiday",IF(Dashboard!$B$14="Principal Only",MIN(Dashboard!$B$15,C599),0),0)</x:f>
      </x:c>
      <x:c r="G599" s="32" t="n">
        <x:f>IF(B599="Closed",0,IF(B599="Holiday",IF(Dashboard!$B$14="Interest Only",C599*Dashboard!$F$6,MAX(0,(C599-F599)*Dashboard!$F$6)),E599*Dashboard!$F$6))</x:f>
        <x:v>0</x:v>
      </x:c>
      <x:c r="H599" s="32" t="n">
        <x:f>IF(B599="Holiday",IF(Dashboard!$B$14="Interest Only",G599,F599),IF(B599="Closed",0,MIN(Dashboard!$F$10,E599+G599)))</x:f>
        <x:v>0</x:v>
      </x:c>
      <x:c r="I599" s="32" t="n">
        <x:f>IF(B599="Holiday",F599,IF(B599="Closed",0,MAX(0,H599-G599)))</x:f>
        <x:v>0</x:v>
      </x:c>
      <x:c r="J599" s="32" t="n">
        <x:f>IF(B599="Holiday",MAX(0,C599-F599),IF(B599="Closed",0,MAX(0,E599-I599)))</x:f>
        <x:v>0</x:v>
      </x:c>
      <x:c r="K599" s="32" t="n">
        <x:f>IF(B599="Holiday",IF(Dashboard!$B$14="Interest Only",D599,D599+G599),0)</x:f>
        <x:v>0</x:v>
      </x:c>
      <x:c r="L599" s="32" t="n">
        <x:f>J599+K599</x:f>
        <x:v>0</x:v>
      </x:c>
      <x:c r="M599" s="32" t="n">
        <x:f>IF(A599=1,H599,M598+H599)</x:f>
        <x:v>0</x:v>
      </x:c>
      <x:c r="N599" s="32" t="n">
        <x:f>IF(A599=1,I599,N598+I599)</x:f>
        <x:v>0</x:v>
      </x:c>
      <x:c r="O599" s="32" t="n">
        <x:f>IF(A599=1,G599,O598+G599)</x:f>
        <x:v>3671325</x:v>
      </x:c>
      <x:c r="P599" s="37" t="n">
        <x:f>EDATE(Dashboard!$B$10,A599)</x:f>
        <x:v>63221</x:v>
      </x:c>
    </x:row>
    <x:row r="600">
      <x:c r="A600" s="33" t="n">
        <x:v>599</x:v>
      </x:c>
      <x:c r="B600" s="33" t="str">
        <x:f>IF(A600&lt;=Dashboard!$F$8,"Holiday",IF(A600&lt;=Dashboard!$F$8+Dashboard!$F$7,"Repayment","Closed"))</x:f>
        <x:v>Closed</x:v>
      </x:c>
      <x:c r="C600" s="32">
        <x:f>IF(A600=1,Dashboard!$B$6,IF(B600="Holiday",J599,L599))</x:f>
      </x:c>
      <x:c r="D600" s="32">
        <x:f>IF(A600=1,0,IF(B600="Holiday",K599,0))</x:f>
      </x:c>
      <x:c r="E600" s="32">
        <x:f>C600+D600</x:f>
      </x:c>
      <x:c r="F600" s="32">
        <x:f>IF(B600="Holiday",IF(Dashboard!$B$14="Principal Only",MIN(Dashboard!$B$15,C600),0),0)</x:f>
      </x:c>
      <x:c r="G600" s="32" t="n">
        <x:f>IF(B600="Closed",0,IF(B600="Holiday",IF(Dashboard!$B$14="Interest Only",C600*Dashboard!$F$6,MAX(0,(C600-F600)*Dashboard!$F$6)),E600*Dashboard!$F$6))</x:f>
        <x:v>0</x:v>
      </x:c>
      <x:c r="H600" s="32" t="n">
        <x:f>IF(B600="Holiday",IF(Dashboard!$B$14="Interest Only",G600,F600),IF(B600="Closed",0,MIN(Dashboard!$F$10,E600+G600)))</x:f>
        <x:v>0</x:v>
      </x:c>
      <x:c r="I600" s="32" t="n">
        <x:f>IF(B600="Holiday",F600,IF(B600="Closed",0,MAX(0,H600-G600)))</x:f>
        <x:v>0</x:v>
      </x:c>
      <x:c r="J600" s="32" t="n">
        <x:f>IF(B600="Holiday",MAX(0,C600-F600),IF(B600="Closed",0,MAX(0,E600-I600)))</x:f>
        <x:v>0</x:v>
      </x:c>
      <x:c r="K600" s="32" t="n">
        <x:f>IF(B600="Holiday",IF(Dashboard!$B$14="Interest Only",D600,D600+G600),0)</x:f>
        <x:v>0</x:v>
      </x:c>
      <x:c r="L600" s="32" t="n">
        <x:f>J600+K600</x:f>
        <x:v>0</x:v>
      </x:c>
      <x:c r="M600" s="32" t="n">
        <x:f>IF(A600=1,H600,M599+H600)</x:f>
        <x:v>0</x:v>
      </x:c>
      <x:c r="N600" s="32" t="n">
        <x:f>IF(A600=1,I600,N599+I600)</x:f>
        <x:v>0</x:v>
      </x:c>
      <x:c r="O600" s="32" t="n">
        <x:f>IF(A600=1,G600,O599+G600)</x:f>
        <x:v>3671325</x:v>
      </x:c>
      <x:c r="P600" s="37" t="n">
        <x:f>EDATE(Dashboard!$B$10,A600)</x:f>
        <x:v>63249</x:v>
      </x:c>
    </x:row>
    <x:row r="601">
      <x:c r="A601" s="33" t="n">
        <x:v>600</x:v>
      </x:c>
      <x:c r="B601" s="33" t="str">
        <x:f>IF(A601&lt;=Dashboard!$F$8,"Holiday",IF(A601&lt;=Dashboard!$F$8+Dashboard!$F$7,"Repayment","Closed"))</x:f>
        <x:v>Closed</x:v>
      </x:c>
      <x:c r="C601" s="32">
        <x:f>IF(A601=1,Dashboard!$B$6,IF(B601="Holiday",J600,L600))</x:f>
      </x:c>
      <x:c r="D601" s="32">
        <x:f>IF(A601=1,0,IF(B601="Holiday",K600,0))</x:f>
      </x:c>
      <x:c r="E601" s="32">
        <x:f>C601+D601</x:f>
      </x:c>
      <x:c r="F601" s="32">
        <x:f>IF(B601="Holiday",IF(Dashboard!$B$14="Principal Only",MIN(Dashboard!$B$15,C601),0),0)</x:f>
      </x:c>
      <x:c r="G601" s="32" t="n">
        <x:f>IF(B601="Closed",0,IF(B601="Holiday",IF(Dashboard!$B$14="Interest Only",C601*Dashboard!$F$6,MAX(0,(C601-F601)*Dashboard!$F$6)),E601*Dashboard!$F$6))</x:f>
        <x:v>0</x:v>
      </x:c>
      <x:c r="H601" s="32" t="n">
        <x:f>IF(B601="Holiday",IF(Dashboard!$B$14="Interest Only",G601,F601),IF(B601="Closed",0,MIN(Dashboard!$F$10,E601+G601)))</x:f>
        <x:v>0</x:v>
      </x:c>
      <x:c r="I601" s="32" t="n">
        <x:f>IF(B601="Holiday",F601,IF(B601="Closed",0,MAX(0,H601-G601)))</x:f>
        <x:v>0</x:v>
      </x:c>
      <x:c r="J601" s="32" t="n">
        <x:f>IF(B601="Holiday",MAX(0,C601-F601),IF(B601="Closed",0,MAX(0,E601-I601)))</x:f>
        <x:v>0</x:v>
      </x:c>
      <x:c r="K601" s="32" t="n">
        <x:f>IF(B601="Holiday",IF(Dashboard!$B$14="Interest Only",D601,D601+G601),0)</x:f>
        <x:v>0</x:v>
      </x:c>
      <x:c r="L601" s="32" t="n">
        <x:f>J601+K601</x:f>
        <x:v>0</x:v>
      </x:c>
      <x:c r="M601" s="32" t="n">
        <x:f>IF(A601=1,H601,M600+H601)</x:f>
        <x:v>0</x:v>
      </x:c>
      <x:c r="N601" s="32" t="n">
        <x:f>IF(A601=1,I601,N600+I601)</x:f>
        <x:v>0</x:v>
      </x:c>
      <x:c r="O601" s="32" t="n">
        <x:f>IF(A601=1,G601,O600+G601)</x:f>
        <x:v>3671325</x:v>
      </x:c>
      <x:c r="P601" s="37" t="n">
        <x:f>EDATE(Dashboard!$B$10,A601)</x:f>
        <x:v>63280</x:v>
      </x:c>
    </x:row>
    <x:row r="602">
      <x:c r="A602" s="33" t="n">
        <x:v>601</x:v>
      </x:c>
      <x:c r="B602" s="33" t="str">
        <x:f>IF(A602&lt;=Dashboard!$F$8,"Holiday",IF(A602&lt;=Dashboard!$F$8+Dashboard!$F$7,"Repayment","Closed"))</x:f>
        <x:v>Closed</x:v>
      </x:c>
      <x:c r="C602" s="32">
        <x:f>IF(A602=1,Dashboard!$B$6,IF(B602="Holiday",J601,L601))</x:f>
      </x:c>
      <x:c r="D602" s="32">
        <x:f>IF(A602=1,0,IF(B602="Holiday",K601,0))</x:f>
      </x:c>
      <x:c r="E602" s="32">
        <x:f>C602+D602</x:f>
      </x:c>
      <x:c r="F602" s="32">
        <x:f>IF(B602="Holiday",IF(Dashboard!$B$14="Principal Only",MIN(Dashboard!$B$15,C602),0),0)</x:f>
      </x:c>
      <x:c r="G602" s="32" t="n">
        <x:f>IF(B602="Closed",0,IF(B602="Holiday",IF(Dashboard!$B$14="Interest Only",C602*Dashboard!$F$6,MAX(0,(C602-F602)*Dashboard!$F$6)),E602*Dashboard!$F$6))</x:f>
        <x:v>0</x:v>
      </x:c>
      <x:c r="H602" s="32" t="n">
        <x:f>IF(B602="Holiday",IF(Dashboard!$B$14="Interest Only",G602,F602),IF(B602="Closed",0,MIN(Dashboard!$F$10,E602+G602)))</x:f>
        <x:v>0</x:v>
      </x:c>
      <x:c r="I602" s="32" t="n">
        <x:f>IF(B602="Holiday",F602,IF(B602="Closed",0,MAX(0,H602-G602)))</x:f>
        <x:v>0</x:v>
      </x:c>
      <x:c r="J602" s="32" t="n">
        <x:f>IF(B602="Holiday",MAX(0,C602-F602),IF(B602="Closed",0,MAX(0,E602-I602)))</x:f>
        <x:v>0</x:v>
      </x:c>
      <x:c r="K602" s="32" t="n">
        <x:f>IF(B602="Holiday",IF(Dashboard!$B$14="Interest Only",D602,D602+G602),0)</x:f>
        <x:v>0</x:v>
      </x:c>
      <x:c r="L602" s="32" t="n">
        <x:f>J602+K602</x:f>
        <x:v>0</x:v>
      </x:c>
      <x:c r="M602" s="32" t="n">
        <x:f>IF(A602=1,H602,M601+H602)</x:f>
        <x:v>0</x:v>
      </x:c>
      <x:c r="N602" s="32" t="n">
        <x:f>IF(A602=1,I602,N601+I602)</x:f>
        <x:v>0</x:v>
      </x:c>
      <x:c r="O602" s="32" t="n">
        <x:f>IF(A602=1,G602,O601+G602)</x:f>
        <x:v>3671325</x:v>
      </x:c>
      <x:c r="P602" s="37" t="n">
        <x:f>EDATE(Dashboard!$B$10,A602)</x:f>
        <x:v>63310</x:v>
      </x:c>
    </x:row>
    <x:row r="603">
      <x:c r="A603" s="33" t="n">
        <x:v>602</x:v>
      </x:c>
      <x:c r="B603" s="33" t="str">
        <x:f>IF(A603&lt;=Dashboard!$F$8,"Holiday",IF(A603&lt;=Dashboard!$F$8+Dashboard!$F$7,"Repayment","Closed"))</x:f>
        <x:v>Closed</x:v>
      </x:c>
      <x:c r="C603" s="32">
        <x:f>IF(A603=1,Dashboard!$B$6,IF(B603="Holiday",J602,L602))</x:f>
      </x:c>
      <x:c r="D603" s="32">
        <x:f>IF(A603=1,0,IF(B603="Holiday",K602,0))</x:f>
      </x:c>
      <x:c r="E603" s="32">
        <x:f>C603+D603</x:f>
      </x:c>
      <x:c r="F603" s="32">
        <x:f>IF(B603="Holiday",IF(Dashboard!$B$14="Principal Only",MIN(Dashboard!$B$15,C603),0),0)</x:f>
      </x:c>
      <x:c r="G603" s="32" t="n">
        <x:f>IF(B603="Closed",0,IF(B603="Holiday",IF(Dashboard!$B$14="Interest Only",C603*Dashboard!$F$6,MAX(0,(C603-F603)*Dashboard!$F$6)),E603*Dashboard!$F$6))</x:f>
        <x:v>0</x:v>
      </x:c>
      <x:c r="H603" s="32" t="n">
        <x:f>IF(B603="Holiday",IF(Dashboard!$B$14="Interest Only",G603,F603),IF(B603="Closed",0,MIN(Dashboard!$F$10,E603+G603)))</x:f>
        <x:v>0</x:v>
      </x:c>
      <x:c r="I603" s="32" t="n">
        <x:f>IF(B603="Holiday",F603,IF(B603="Closed",0,MAX(0,H603-G603)))</x:f>
        <x:v>0</x:v>
      </x:c>
      <x:c r="J603" s="32" t="n">
        <x:f>IF(B603="Holiday",MAX(0,C603-F603),IF(B603="Closed",0,MAX(0,E603-I603)))</x:f>
        <x:v>0</x:v>
      </x:c>
      <x:c r="K603" s="32" t="n">
        <x:f>IF(B603="Holiday",IF(Dashboard!$B$14="Interest Only",D603,D603+G603),0)</x:f>
        <x:v>0</x:v>
      </x:c>
      <x:c r="L603" s="32" t="n">
        <x:f>J603+K603</x:f>
        <x:v>0</x:v>
      </x:c>
      <x:c r="M603" s="32" t="n">
        <x:f>IF(A603=1,H603,M602+H603)</x:f>
        <x:v>0</x:v>
      </x:c>
      <x:c r="N603" s="32" t="n">
        <x:f>IF(A603=1,I603,N602+I603)</x:f>
        <x:v>0</x:v>
      </x:c>
      <x:c r="O603" s="32" t="n">
        <x:f>IF(A603=1,G603,O602+G603)</x:f>
        <x:v>3671325</x:v>
      </x:c>
      <x:c r="P603" s="37" t="n">
        <x:f>EDATE(Dashboard!$B$10,A603)</x:f>
        <x:v>63341</x:v>
      </x:c>
    </x:row>
    <x:row r="604">
      <x:c r="A604" s="33" t="n">
        <x:v>603</x:v>
      </x:c>
      <x:c r="B604" s="33" t="str">
        <x:f>IF(A604&lt;=Dashboard!$F$8,"Holiday",IF(A604&lt;=Dashboard!$F$8+Dashboard!$F$7,"Repayment","Closed"))</x:f>
        <x:v>Closed</x:v>
      </x:c>
      <x:c r="C604" s="32">
        <x:f>IF(A604=1,Dashboard!$B$6,IF(B604="Holiday",J603,L603))</x:f>
      </x:c>
      <x:c r="D604" s="32">
        <x:f>IF(A604=1,0,IF(B604="Holiday",K603,0))</x:f>
      </x:c>
      <x:c r="E604" s="32">
        <x:f>C604+D604</x:f>
      </x:c>
      <x:c r="F604" s="32">
        <x:f>IF(B604="Holiday",IF(Dashboard!$B$14="Principal Only",MIN(Dashboard!$B$15,C604),0),0)</x:f>
      </x:c>
      <x:c r="G604" s="32" t="n">
        <x:f>IF(B604="Closed",0,IF(B604="Holiday",IF(Dashboard!$B$14="Interest Only",C604*Dashboard!$F$6,MAX(0,(C604-F604)*Dashboard!$F$6)),E604*Dashboard!$F$6))</x:f>
        <x:v>0</x:v>
      </x:c>
      <x:c r="H604" s="32" t="n">
        <x:f>IF(B604="Holiday",IF(Dashboard!$B$14="Interest Only",G604,F604),IF(B604="Closed",0,MIN(Dashboard!$F$10,E604+G604)))</x:f>
        <x:v>0</x:v>
      </x:c>
      <x:c r="I604" s="32" t="n">
        <x:f>IF(B604="Holiday",F604,IF(B604="Closed",0,MAX(0,H604-G604)))</x:f>
        <x:v>0</x:v>
      </x:c>
      <x:c r="J604" s="32" t="n">
        <x:f>IF(B604="Holiday",MAX(0,C604-F604),IF(B604="Closed",0,MAX(0,E604-I604)))</x:f>
        <x:v>0</x:v>
      </x:c>
      <x:c r="K604" s="32" t="n">
        <x:f>IF(B604="Holiday",IF(Dashboard!$B$14="Interest Only",D604,D604+G604),0)</x:f>
        <x:v>0</x:v>
      </x:c>
      <x:c r="L604" s="32" t="n">
        <x:f>J604+K604</x:f>
        <x:v>0</x:v>
      </x:c>
      <x:c r="M604" s="32" t="n">
        <x:f>IF(A604=1,H604,M603+H604)</x:f>
        <x:v>0</x:v>
      </x:c>
      <x:c r="N604" s="32" t="n">
        <x:f>IF(A604=1,I604,N603+I604)</x:f>
        <x:v>0</x:v>
      </x:c>
      <x:c r="O604" s="32" t="n">
        <x:f>IF(A604=1,G604,O603+G604)</x:f>
        <x:v>3671325</x:v>
      </x:c>
      <x:c r="P604" s="37" t="n">
        <x:f>EDATE(Dashboard!$B$10,A604)</x:f>
        <x:v>63371</x:v>
      </x:c>
    </x:row>
    <x:row r="605">
      <x:c r="A605" s="33" t="n">
        <x:v>604</x:v>
      </x:c>
      <x:c r="B605" s="33" t="str">
        <x:f>IF(A605&lt;=Dashboard!$F$8,"Holiday",IF(A605&lt;=Dashboard!$F$8+Dashboard!$F$7,"Repayment","Closed"))</x:f>
        <x:v>Closed</x:v>
      </x:c>
      <x:c r="C605" s="32">
        <x:f>IF(A605=1,Dashboard!$B$6,IF(B605="Holiday",J604,L604))</x:f>
      </x:c>
      <x:c r="D605" s="32">
        <x:f>IF(A605=1,0,IF(B605="Holiday",K604,0))</x:f>
      </x:c>
      <x:c r="E605" s="32">
        <x:f>C605+D605</x:f>
      </x:c>
      <x:c r="F605" s="32">
        <x:f>IF(B605="Holiday",IF(Dashboard!$B$14="Principal Only",MIN(Dashboard!$B$15,C605),0),0)</x:f>
      </x:c>
      <x:c r="G605" s="32" t="n">
        <x:f>IF(B605="Closed",0,IF(B605="Holiday",IF(Dashboard!$B$14="Interest Only",C605*Dashboard!$F$6,MAX(0,(C605-F605)*Dashboard!$F$6)),E605*Dashboard!$F$6))</x:f>
        <x:v>0</x:v>
      </x:c>
      <x:c r="H605" s="32" t="n">
        <x:f>IF(B605="Holiday",IF(Dashboard!$B$14="Interest Only",G605,F605),IF(B605="Closed",0,MIN(Dashboard!$F$10,E605+G605)))</x:f>
        <x:v>0</x:v>
      </x:c>
      <x:c r="I605" s="32" t="n">
        <x:f>IF(B605="Holiday",F605,IF(B605="Closed",0,MAX(0,H605-G605)))</x:f>
        <x:v>0</x:v>
      </x:c>
      <x:c r="J605" s="32" t="n">
        <x:f>IF(B605="Holiday",MAX(0,C605-F605),IF(B605="Closed",0,MAX(0,E605-I605)))</x:f>
        <x:v>0</x:v>
      </x:c>
      <x:c r="K605" s="32" t="n">
        <x:f>IF(B605="Holiday",IF(Dashboard!$B$14="Interest Only",D605,D605+G605),0)</x:f>
        <x:v>0</x:v>
      </x:c>
      <x:c r="L605" s="32" t="n">
        <x:f>J605+K605</x:f>
        <x:v>0</x:v>
      </x:c>
      <x:c r="M605" s="32" t="n">
        <x:f>IF(A605=1,H605,M604+H605)</x:f>
        <x:v>0</x:v>
      </x:c>
      <x:c r="N605" s="32" t="n">
        <x:f>IF(A605=1,I605,N604+I605)</x:f>
        <x:v>0</x:v>
      </x:c>
      <x:c r="O605" s="32" t="n">
        <x:f>IF(A605=1,G605,O604+G605)</x:f>
        <x:v>3671325</x:v>
      </x:c>
      <x:c r="P605" s="37" t="n">
        <x:f>EDATE(Dashboard!$B$10,A605)</x:f>
        <x:v>63402</x:v>
      </x:c>
    </x:row>
    <x:row r="606">
      <x:c r="A606" s="33" t="n">
        <x:v>605</x:v>
      </x:c>
      <x:c r="B606" s="33" t="str">
        <x:f>IF(A606&lt;=Dashboard!$F$8,"Holiday",IF(A606&lt;=Dashboard!$F$8+Dashboard!$F$7,"Repayment","Closed"))</x:f>
        <x:v>Closed</x:v>
      </x:c>
      <x:c r="C606" s="32">
        <x:f>IF(A606=1,Dashboard!$B$6,IF(B606="Holiday",J605,L605))</x:f>
      </x:c>
      <x:c r="D606" s="32">
        <x:f>IF(A606=1,0,IF(B606="Holiday",K605,0))</x:f>
      </x:c>
      <x:c r="E606" s="32">
        <x:f>C606+D606</x:f>
      </x:c>
      <x:c r="F606" s="32">
        <x:f>IF(B606="Holiday",IF(Dashboard!$B$14="Principal Only",MIN(Dashboard!$B$15,C606),0),0)</x:f>
      </x:c>
      <x:c r="G606" s="32" t="n">
        <x:f>IF(B606="Closed",0,IF(B606="Holiday",IF(Dashboard!$B$14="Interest Only",C606*Dashboard!$F$6,MAX(0,(C606-F606)*Dashboard!$F$6)),E606*Dashboard!$F$6))</x:f>
        <x:v>0</x:v>
      </x:c>
      <x:c r="H606" s="32" t="n">
        <x:f>IF(B606="Holiday",IF(Dashboard!$B$14="Interest Only",G606,F606),IF(B606="Closed",0,MIN(Dashboard!$F$10,E606+G606)))</x:f>
        <x:v>0</x:v>
      </x:c>
      <x:c r="I606" s="32" t="n">
        <x:f>IF(B606="Holiday",F606,IF(B606="Closed",0,MAX(0,H606-G606)))</x:f>
        <x:v>0</x:v>
      </x:c>
      <x:c r="J606" s="32" t="n">
        <x:f>IF(B606="Holiday",MAX(0,C606-F606),IF(B606="Closed",0,MAX(0,E606-I606)))</x:f>
        <x:v>0</x:v>
      </x:c>
      <x:c r="K606" s="32" t="n">
        <x:f>IF(B606="Holiday",IF(Dashboard!$B$14="Interest Only",D606,D606+G606),0)</x:f>
        <x:v>0</x:v>
      </x:c>
      <x:c r="L606" s="32" t="n">
        <x:f>J606+K606</x:f>
        <x:v>0</x:v>
      </x:c>
      <x:c r="M606" s="32" t="n">
        <x:f>IF(A606=1,H606,M605+H606)</x:f>
        <x:v>0</x:v>
      </x:c>
      <x:c r="N606" s="32" t="n">
        <x:f>IF(A606=1,I606,N605+I606)</x:f>
        <x:v>0</x:v>
      </x:c>
      <x:c r="O606" s="32" t="n">
        <x:f>IF(A606=1,G606,O605+G606)</x:f>
        <x:v>3671325</x:v>
      </x:c>
      <x:c r="P606" s="37" t="n">
        <x:f>EDATE(Dashboard!$B$10,A606)</x:f>
        <x:v>63433</x:v>
      </x:c>
    </x:row>
    <x:row r="607">
      <x:c r="A607" s="33" t="n">
        <x:v>606</x:v>
      </x:c>
      <x:c r="B607" s="33" t="str">
        <x:f>IF(A607&lt;=Dashboard!$F$8,"Holiday",IF(A607&lt;=Dashboard!$F$8+Dashboard!$F$7,"Repayment","Closed"))</x:f>
        <x:v>Closed</x:v>
      </x:c>
      <x:c r="C607" s="32">
        <x:f>IF(A607=1,Dashboard!$B$6,IF(B607="Holiday",J606,L606))</x:f>
      </x:c>
      <x:c r="D607" s="32">
        <x:f>IF(A607=1,0,IF(B607="Holiday",K606,0))</x:f>
      </x:c>
      <x:c r="E607" s="32">
        <x:f>C607+D607</x:f>
      </x:c>
      <x:c r="F607" s="32">
        <x:f>IF(B607="Holiday",IF(Dashboard!$B$14="Principal Only",MIN(Dashboard!$B$15,C607),0),0)</x:f>
      </x:c>
      <x:c r="G607" s="32" t="n">
        <x:f>IF(B607="Closed",0,IF(B607="Holiday",IF(Dashboard!$B$14="Interest Only",C607*Dashboard!$F$6,MAX(0,(C607-F607)*Dashboard!$F$6)),E607*Dashboard!$F$6))</x:f>
        <x:v>0</x:v>
      </x:c>
      <x:c r="H607" s="32" t="n">
        <x:f>IF(B607="Holiday",IF(Dashboard!$B$14="Interest Only",G607,F607),IF(B607="Closed",0,MIN(Dashboard!$F$10,E607+G607)))</x:f>
        <x:v>0</x:v>
      </x:c>
      <x:c r="I607" s="32" t="n">
        <x:f>IF(B607="Holiday",F607,IF(B607="Closed",0,MAX(0,H607-G607)))</x:f>
        <x:v>0</x:v>
      </x:c>
      <x:c r="J607" s="32" t="n">
        <x:f>IF(B607="Holiday",MAX(0,C607-F607),IF(B607="Closed",0,MAX(0,E607-I607)))</x:f>
        <x:v>0</x:v>
      </x:c>
      <x:c r="K607" s="32" t="n">
        <x:f>IF(B607="Holiday",IF(Dashboard!$B$14="Interest Only",D607,D607+G607),0)</x:f>
        <x:v>0</x:v>
      </x:c>
      <x:c r="L607" s="32" t="n">
        <x:f>J607+K607</x:f>
        <x:v>0</x:v>
      </x:c>
      <x:c r="M607" s="32" t="n">
        <x:f>IF(A607=1,H607,M606+H607)</x:f>
        <x:v>0</x:v>
      </x:c>
      <x:c r="N607" s="32" t="n">
        <x:f>IF(A607=1,I607,N606+I607)</x:f>
        <x:v>0</x:v>
      </x:c>
      <x:c r="O607" s="32" t="n">
        <x:f>IF(A607=1,G607,O606+G607)</x:f>
        <x:v>3671325</x:v>
      </x:c>
      <x:c r="P607" s="37" t="n">
        <x:f>EDATE(Dashboard!$B$10,A607)</x:f>
        <x:v>63463</x:v>
      </x:c>
    </x:row>
    <x:row r="608">
      <x:c r="A608" s="33" t="n">
        <x:v>607</x:v>
      </x:c>
      <x:c r="B608" s="33" t="str">
        <x:f>IF(A608&lt;=Dashboard!$F$8,"Holiday",IF(A608&lt;=Dashboard!$F$8+Dashboard!$F$7,"Repayment","Closed"))</x:f>
        <x:v>Closed</x:v>
      </x:c>
      <x:c r="C608" s="32">
        <x:f>IF(A608=1,Dashboard!$B$6,IF(B608="Holiday",J607,L607))</x:f>
      </x:c>
      <x:c r="D608" s="32">
        <x:f>IF(A608=1,0,IF(B608="Holiday",K607,0))</x:f>
      </x:c>
      <x:c r="E608" s="32">
        <x:f>C608+D608</x:f>
      </x:c>
      <x:c r="F608" s="32">
        <x:f>IF(B608="Holiday",IF(Dashboard!$B$14="Principal Only",MIN(Dashboard!$B$15,C608),0),0)</x:f>
      </x:c>
      <x:c r="G608" s="32" t="n">
        <x:f>IF(B608="Closed",0,IF(B608="Holiday",IF(Dashboard!$B$14="Interest Only",C608*Dashboard!$F$6,MAX(0,(C608-F608)*Dashboard!$F$6)),E608*Dashboard!$F$6))</x:f>
        <x:v>0</x:v>
      </x:c>
      <x:c r="H608" s="32" t="n">
        <x:f>IF(B608="Holiday",IF(Dashboard!$B$14="Interest Only",G608,F608),IF(B608="Closed",0,MIN(Dashboard!$F$10,E608+G608)))</x:f>
        <x:v>0</x:v>
      </x:c>
      <x:c r="I608" s="32" t="n">
        <x:f>IF(B608="Holiday",F608,IF(B608="Closed",0,MAX(0,H608-G608)))</x:f>
        <x:v>0</x:v>
      </x:c>
      <x:c r="J608" s="32" t="n">
        <x:f>IF(B608="Holiday",MAX(0,C608-F608),IF(B608="Closed",0,MAX(0,E608-I608)))</x:f>
        <x:v>0</x:v>
      </x:c>
      <x:c r="K608" s="32" t="n">
        <x:f>IF(B608="Holiday",IF(Dashboard!$B$14="Interest Only",D608,D608+G608),0)</x:f>
        <x:v>0</x:v>
      </x:c>
      <x:c r="L608" s="32" t="n">
        <x:f>J608+K608</x:f>
        <x:v>0</x:v>
      </x:c>
      <x:c r="M608" s="32" t="n">
        <x:f>IF(A608=1,H608,M607+H608)</x:f>
        <x:v>0</x:v>
      </x:c>
      <x:c r="N608" s="32" t="n">
        <x:f>IF(A608=1,I608,N607+I608)</x:f>
        <x:v>0</x:v>
      </x:c>
      <x:c r="O608" s="32" t="n">
        <x:f>IF(A608=1,G608,O607+G608)</x:f>
        <x:v>3671325</x:v>
      </x:c>
      <x:c r="P608" s="37" t="n">
        <x:f>EDATE(Dashboard!$B$10,A608)</x:f>
        <x:v>63494</x:v>
      </x:c>
    </x:row>
    <x:row r="609">
      <x:c r="A609" s="33" t="n">
        <x:v>608</x:v>
      </x:c>
      <x:c r="B609" s="33" t="str">
        <x:f>IF(A609&lt;=Dashboard!$F$8,"Holiday",IF(A609&lt;=Dashboard!$F$8+Dashboard!$F$7,"Repayment","Closed"))</x:f>
        <x:v>Closed</x:v>
      </x:c>
      <x:c r="C609" s="32">
        <x:f>IF(A609=1,Dashboard!$B$6,IF(B609="Holiday",J608,L608))</x:f>
      </x:c>
      <x:c r="D609" s="32">
        <x:f>IF(A609=1,0,IF(B609="Holiday",K608,0))</x:f>
      </x:c>
      <x:c r="E609" s="32">
        <x:f>C609+D609</x:f>
      </x:c>
      <x:c r="F609" s="32">
        <x:f>IF(B609="Holiday",IF(Dashboard!$B$14="Principal Only",MIN(Dashboard!$B$15,C609),0),0)</x:f>
      </x:c>
      <x:c r="G609" s="32" t="n">
        <x:f>IF(B609="Closed",0,IF(B609="Holiday",IF(Dashboard!$B$14="Interest Only",C609*Dashboard!$F$6,MAX(0,(C609-F609)*Dashboard!$F$6)),E609*Dashboard!$F$6))</x:f>
        <x:v>0</x:v>
      </x:c>
      <x:c r="H609" s="32" t="n">
        <x:f>IF(B609="Holiday",IF(Dashboard!$B$14="Interest Only",G609,F609),IF(B609="Closed",0,MIN(Dashboard!$F$10,E609+G609)))</x:f>
        <x:v>0</x:v>
      </x:c>
      <x:c r="I609" s="32" t="n">
        <x:f>IF(B609="Holiday",F609,IF(B609="Closed",0,MAX(0,H609-G609)))</x:f>
        <x:v>0</x:v>
      </x:c>
      <x:c r="J609" s="32" t="n">
        <x:f>IF(B609="Holiday",MAX(0,C609-F609),IF(B609="Closed",0,MAX(0,E609-I609)))</x:f>
        <x:v>0</x:v>
      </x:c>
      <x:c r="K609" s="32" t="n">
        <x:f>IF(B609="Holiday",IF(Dashboard!$B$14="Interest Only",D609,D609+G609),0)</x:f>
        <x:v>0</x:v>
      </x:c>
      <x:c r="L609" s="32" t="n">
        <x:f>J609+K609</x:f>
        <x:v>0</x:v>
      </x:c>
      <x:c r="M609" s="32" t="n">
        <x:f>IF(A609=1,H609,M608+H609)</x:f>
        <x:v>0</x:v>
      </x:c>
      <x:c r="N609" s="32" t="n">
        <x:f>IF(A609=1,I609,N608+I609)</x:f>
        <x:v>0</x:v>
      </x:c>
      <x:c r="O609" s="32" t="n">
        <x:f>IF(A609=1,G609,O608+G609)</x:f>
        <x:v>3671325</x:v>
      </x:c>
      <x:c r="P609" s="37" t="n">
        <x:f>EDATE(Dashboard!$B$10,A609)</x:f>
        <x:v>63524</x:v>
      </x:c>
    </x:row>
    <x:row r="610">
      <x:c r="A610" s="33" t="n">
        <x:v>609</x:v>
      </x:c>
      <x:c r="B610" s="33" t="str">
        <x:f>IF(A610&lt;=Dashboard!$F$8,"Holiday",IF(A610&lt;=Dashboard!$F$8+Dashboard!$F$7,"Repayment","Closed"))</x:f>
        <x:v>Closed</x:v>
      </x:c>
      <x:c r="C610" s="32">
        <x:f>IF(A610=1,Dashboard!$B$6,IF(B610="Holiday",J609,L609))</x:f>
      </x:c>
      <x:c r="D610" s="32">
        <x:f>IF(A610=1,0,IF(B610="Holiday",K609,0))</x:f>
      </x:c>
      <x:c r="E610" s="32">
        <x:f>C610+D610</x:f>
      </x:c>
      <x:c r="F610" s="32">
        <x:f>IF(B610="Holiday",IF(Dashboard!$B$14="Principal Only",MIN(Dashboard!$B$15,C610),0),0)</x:f>
      </x:c>
      <x:c r="G610" s="32" t="n">
        <x:f>IF(B610="Closed",0,IF(B610="Holiday",IF(Dashboard!$B$14="Interest Only",C610*Dashboard!$F$6,MAX(0,(C610-F610)*Dashboard!$F$6)),E610*Dashboard!$F$6))</x:f>
        <x:v>0</x:v>
      </x:c>
      <x:c r="H610" s="32" t="n">
        <x:f>IF(B610="Holiday",IF(Dashboard!$B$14="Interest Only",G610,F610),IF(B610="Closed",0,MIN(Dashboard!$F$10,E610+G610)))</x:f>
        <x:v>0</x:v>
      </x:c>
      <x:c r="I610" s="32" t="n">
        <x:f>IF(B610="Holiday",F610,IF(B610="Closed",0,MAX(0,H610-G610)))</x:f>
        <x:v>0</x:v>
      </x:c>
      <x:c r="J610" s="32" t="n">
        <x:f>IF(B610="Holiday",MAX(0,C610-F610),IF(B610="Closed",0,MAX(0,E610-I610)))</x:f>
        <x:v>0</x:v>
      </x:c>
      <x:c r="K610" s="32" t="n">
        <x:f>IF(B610="Holiday",IF(Dashboard!$B$14="Interest Only",D610,D610+G610),0)</x:f>
        <x:v>0</x:v>
      </x:c>
      <x:c r="L610" s="32" t="n">
        <x:f>J610+K610</x:f>
        <x:v>0</x:v>
      </x:c>
      <x:c r="M610" s="32" t="n">
        <x:f>IF(A610=1,H610,M609+H610)</x:f>
        <x:v>0</x:v>
      </x:c>
      <x:c r="N610" s="32" t="n">
        <x:f>IF(A610=1,I610,N609+I610)</x:f>
        <x:v>0</x:v>
      </x:c>
      <x:c r="O610" s="32" t="n">
        <x:f>IF(A610=1,G610,O609+G610)</x:f>
        <x:v>3671325</x:v>
      </x:c>
      <x:c r="P610" s="37" t="n">
        <x:f>EDATE(Dashboard!$B$10,A610)</x:f>
        <x:v>63555</x:v>
      </x:c>
    </x:row>
    <x:row r="611">
      <x:c r="A611" s="33" t="n">
        <x:v>610</x:v>
      </x:c>
      <x:c r="B611" s="33" t="str">
        <x:f>IF(A611&lt;=Dashboard!$F$8,"Holiday",IF(A611&lt;=Dashboard!$F$8+Dashboard!$F$7,"Repayment","Closed"))</x:f>
        <x:v>Closed</x:v>
      </x:c>
      <x:c r="C611" s="32">
        <x:f>IF(A611=1,Dashboard!$B$6,IF(B611="Holiday",J610,L610))</x:f>
      </x:c>
      <x:c r="D611" s="32">
        <x:f>IF(A611=1,0,IF(B611="Holiday",K610,0))</x:f>
      </x:c>
      <x:c r="E611" s="32">
        <x:f>C611+D611</x:f>
      </x:c>
      <x:c r="F611" s="32">
        <x:f>IF(B611="Holiday",IF(Dashboard!$B$14="Principal Only",MIN(Dashboard!$B$15,C611),0),0)</x:f>
      </x:c>
      <x:c r="G611" s="32" t="n">
        <x:f>IF(B611="Closed",0,IF(B611="Holiday",IF(Dashboard!$B$14="Interest Only",C611*Dashboard!$F$6,MAX(0,(C611-F611)*Dashboard!$F$6)),E611*Dashboard!$F$6))</x:f>
        <x:v>0</x:v>
      </x:c>
      <x:c r="H611" s="32" t="n">
        <x:f>IF(B611="Holiday",IF(Dashboard!$B$14="Interest Only",G611,F611),IF(B611="Closed",0,MIN(Dashboard!$F$10,E611+G611)))</x:f>
        <x:v>0</x:v>
      </x:c>
      <x:c r="I611" s="32" t="n">
        <x:f>IF(B611="Holiday",F611,IF(B611="Closed",0,MAX(0,H611-G611)))</x:f>
        <x:v>0</x:v>
      </x:c>
      <x:c r="J611" s="32" t="n">
        <x:f>IF(B611="Holiday",MAX(0,C611-F611),IF(B611="Closed",0,MAX(0,E611-I611)))</x:f>
        <x:v>0</x:v>
      </x:c>
      <x:c r="K611" s="32" t="n">
        <x:f>IF(B611="Holiday",IF(Dashboard!$B$14="Interest Only",D611,D611+G611),0)</x:f>
        <x:v>0</x:v>
      </x:c>
      <x:c r="L611" s="32" t="n">
        <x:f>J611+K611</x:f>
        <x:v>0</x:v>
      </x:c>
      <x:c r="M611" s="32" t="n">
        <x:f>IF(A611=1,H611,M610+H611)</x:f>
        <x:v>0</x:v>
      </x:c>
      <x:c r="N611" s="32" t="n">
        <x:f>IF(A611=1,I611,N610+I611)</x:f>
        <x:v>0</x:v>
      </x:c>
      <x:c r="O611" s="32" t="n">
        <x:f>IF(A611=1,G611,O610+G611)</x:f>
        <x:v>3671325</x:v>
      </x:c>
      <x:c r="P611" s="37" t="n">
        <x:f>EDATE(Dashboard!$B$10,A611)</x:f>
        <x:v>63586</x:v>
      </x:c>
    </x:row>
    <x:row r="612">
      <x:c r="A612" s="33" t="n">
        <x:v>611</x:v>
      </x:c>
      <x:c r="B612" s="33" t="str">
        <x:f>IF(A612&lt;=Dashboard!$F$8,"Holiday",IF(A612&lt;=Dashboard!$F$8+Dashboard!$F$7,"Repayment","Closed"))</x:f>
        <x:v>Closed</x:v>
      </x:c>
      <x:c r="C612" s="32">
        <x:f>IF(A612=1,Dashboard!$B$6,IF(B612="Holiday",J611,L611))</x:f>
      </x:c>
      <x:c r="D612" s="32">
        <x:f>IF(A612=1,0,IF(B612="Holiday",K611,0))</x:f>
      </x:c>
      <x:c r="E612" s="32">
        <x:f>C612+D612</x:f>
      </x:c>
      <x:c r="F612" s="32">
        <x:f>IF(B612="Holiday",IF(Dashboard!$B$14="Principal Only",MIN(Dashboard!$B$15,C612),0),0)</x:f>
      </x:c>
      <x:c r="G612" s="32" t="n">
        <x:f>IF(B612="Closed",0,IF(B612="Holiday",IF(Dashboard!$B$14="Interest Only",C612*Dashboard!$F$6,MAX(0,(C612-F612)*Dashboard!$F$6)),E612*Dashboard!$F$6))</x:f>
        <x:v>0</x:v>
      </x:c>
      <x:c r="H612" s="32" t="n">
        <x:f>IF(B612="Holiday",IF(Dashboard!$B$14="Interest Only",G612,F612),IF(B612="Closed",0,MIN(Dashboard!$F$10,E612+G612)))</x:f>
        <x:v>0</x:v>
      </x:c>
      <x:c r="I612" s="32" t="n">
        <x:f>IF(B612="Holiday",F612,IF(B612="Closed",0,MAX(0,H612-G612)))</x:f>
        <x:v>0</x:v>
      </x:c>
      <x:c r="J612" s="32" t="n">
        <x:f>IF(B612="Holiday",MAX(0,C612-F612),IF(B612="Closed",0,MAX(0,E612-I612)))</x:f>
        <x:v>0</x:v>
      </x:c>
      <x:c r="K612" s="32" t="n">
        <x:f>IF(B612="Holiday",IF(Dashboard!$B$14="Interest Only",D612,D612+G612),0)</x:f>
        <x:v>0</x:v>
      </x:c>
      <x:c r="L612" s="32" t="n">
        <x:f>J612+K612</x:f>
        <x:v>0</x:v>
      </x:c>
      <x:c r="M612" s="32" t="n">
        <x:f>IF(A612=1,H612,M611+H612)</x:f>
        <x:v>0</x:v>
      </x:c>
      <x:c r="N612" s="32" t="n">
        <x:f>IF(A612=1,I612,N611+I612)</x:f>
        <x:v>0</x:v>
      </x:c>
      <x:c r="O612" s="32" t="n">
        <x:f>IF(A612=1,G612,O611+G612)</x:f>
        <x:v>3671325</x:v>
      </x:c>
      <x:c r="P612" s="37" t="n">
        <x:f>EDATE(Dashboard!$B$10,A612)</x:f>
        <x:v>63614</x:v>
      </x:c>
    </x:row>
    <x:row r="613">
      <x:c r="A613" s="33" t="n">
        <x:v>612</x:v>
      </x:c>
      <x:c r="B613" s="33" t="str">
        <x:f>IF(A613&lt;=Dashboard!$F$8,"Holiday",IF(A613&lt;=Dashboard!$F$8+Dashboard!$F$7,"Repayment","Closed"))</x:f>
        <x:v>Closed</x:v>
      </x:c>
      <x:c r="C613" s="32">
        <x:f>IF(A613=1,Dashboard!$B$6,IF(B613="Holiday",J612,L612))</x:f>
      </x:c>
      <x:c r="D613" s="32">
        <x:f>IF(A613=1,0,IF(B613="Holiday",K612,0))</x:f>
      </x:c>
      <x:c r="E613" s="32">
        <x:f>C613+D613</x:f>
      </x:c>
      <x:c r="F613" s="32">
        <x:f>IF(B613="Holiday",IF(Dashboard!$B$14="Principal Only",MIN(Dashboard!$B$15,C613),0),0)</x:f>
      </x:c>
      <x:c r="G613" s="32" t="n">
        <x:f>IF(B613="Closed",0,IF(B613="Holiday",IF(Dashboard!$B$14="Interest Only",C613*Dashboard!$F$6,MAX(0,(C613-F613)*Dashboard!$F$6)),E613*Dashboard!$F$6))</x:f>
        <x:v>0</x:v>
      </x:c>
      <x:c r="H613" s="32" t="n">
        <x:f>IF(B613="Holiday",IF(Dashboard!$B$14="Interest Only",G613,F613),IF(B613="Closed",0,MIN(Dashboard!$F$10,E613+G613)))</x:f>
        <x:v>0</x:v>
      </x:c>
      <x:c r="I613" s="32" t="n">
        <x:f>IF(B613="Holiday",F613,IF(B613="Closed",0,MAX(0,H613-G613)))</x:f>
        <x:v>0</x:v>
      </x:c>
      <x:c r="J613" s="32" t="n">
        <x:f>IF(B613="Holiday",MAX(0,C613-F613),IF(B613="Closed",0,MAX(0,E613-I613)))</x:f>
        <x:v>0</x:v>
      </x:c>
      <x:c r="K613" s="32" t="n">
        <x:f>IF(B613="Holiday",IF(Dashboard!$B$14="Interest Only",D613,D613+G613),0)</x:f>
        <x:v>0</x:v>
      </x:c>
      <x:c r="L613" s="32" t="n">
        <x:f>J613+K613</x:f>
        <x:v>0</x:v>
      </x:c>
      <x:c r="M613" s="32" t="n">
        <x:f>IF(A613=1,H613,M612+H613)</x:f>
        <x:v>0</x:v>
      </x:c>
      <x:c r="N613" s="32" t="n">
        <x:f>IF(A613=1,I613,N612+I613)</x:f>
        <x:v>0</x:v>
      </x:c>
      <x:c r="O613" s="32" t="n">
        <x:f>IF(A613=1,G613,O612+G613)</x:f>
        <x:v>3671325</x:v>
      </x:c>
      <x:c r="P613" s="37" t="n">
        <x:f>EDATE(Dashboard!$B$10,A613)</x:f>
        <x:v>63645</x:v>
      </x:c>
    </x:row>
    <x:row r="614">
      <x:c r="A614" s="33" t="n">
        <x:v>613</x:v>
      </x:c>
      <x:c r="B614" s="33" t="str">
        <x:f>IF(A614&lt;=Dashboard!$F$8,"Holiday",IF(A614&lt;=Dashboard!$F$8+Dashboard!$F$7,"Repayment","Closed"))</x:f>
        <x:v>Closed</x:v>
      </x:c>
      <x:c r="C614" s="32">
        <x:f>IF(A614=1,Dashboard!$B$6,IF(B614="Holiday",J613,L613))</x:f>
      </x:c>
      <x:c r="D614" s="32">
        <x:f>IF(A614=1,0,IF(B614="Holiday",K613,0))</x:f>
      </x:c>
      <x:c r="E614" s="32">
        <x:f>C614+D614</x:f>
      </x:c>
      <x:c r="F614" s="32">
        <x:f>IF(B614="Holiday",IF(Dashboard!$B$14="Principal Only",MIN(Dashboard!$B$15,C614),0),0)</x:f>
      </x:c>
      <x:c r="G614" s="32" t="n">
        <x:f>IF(B614="Closed",0,IF(B614="Holiday",IF(Dashboard!$B$14="Interest Only",C614*Dashboard!$F$6,MAX(0,(C614-F614)*Dashboard!$F$6)),E614*Dashboard!$F$6))</x:f>
        <x:v>0</x:v>
      </x:c>
      <x:c r="H614" s="32" t="n">
        <x:f>IF(B614="Holiday",IF(Dashboard!$B$14="Interest Only",G614,F614),IF(B614="Closed",0,MIN(Dashboard!$F$10,E614+G614)))</x:f>
        <x:v>0</x:v>
      </x:c>
      <x:c r="I614" s="32" t="n">
        <x:f>IF(B614="Holiday",F614,IF(B614="Closed",0,MAX(0,H614-G614)))</x:f>
        <x:v>0</x:v>
      </x:c>
      <x:c r="J614" s="32" t="n">
        <x:f>IF(B614="Holiday",MAX(0,C614-F614),IF(B614="Closed",0,MAX(0,E614-I614)))</x:f>
        <x:v>0</x:v>
      </x:c>
      <x:c r="K614" s="32" t="n">
        <x:f>IF(B614="Holiday",IF(Dashboard!$B$14="Interest Only",D614,D614+G614),0)</x:f>
        <x:v>0</x:v>
      </x:c>
      <x:c r="L614" s="32" t="n">
        <x:f>J614+K614</x:f>
        <x:v>0</x:v>
      </x:c>
      <x:c r="M614" s="32" t="n">
        <x:f>IF(A614=1,H614,M613+H614)</x:f>
        <x:v>0</x:v>
      </x:c>
      <x:c r="N614" s="32" t="n">
        <x:f>IF(A614=1,I614,N613+I614)</x:f>
        <x:v>0</x:v>
      </x:c>
      <x:c r="O614" s="32" t="n">
        <x:f>IF(A614=1,G614,O613+G614)</x:f>
        <x:v>3671325</x:v>
      </x:c>
      <x:c r="P614" s="37" t="n">
        <x:f>EDATE(Dashboard!$B$10,A614)</x:f>
        <x:v>63675</x:v>
      </x:c>
    </x:row>
    <x:row r="615">
      <x:c r="A615" s="33" t="n">
        <x:v>614</x:v>
      </x:c>
      <x:c r="B615" s="33" t="str">
        <x:f>IF(A615&lt;=Dashboard!$F$8,"Holiday",IF(A615&lt;=Dashboard!$F$8+Dashboard!$F$7,"Repayment","Closed"))</x:f>
        <x:v>Closed</x:v>
      </x:c>
      <x:c r="C615" s="32">
        <x:f>IF(A615=1,Dashboard!$B$6,IF(B615="Holiday",J614,L614))</x:f>
      </x:c>
      <x:c r="D615" s="32">
        <x:f>IF(A615=1,0,IF(B615="Holiday",K614,0))</x:f>
      </x:c>
      <x:c r="E615" s="32">
        <x:f>C615+D615</x:f>
      </x:c>
      <x:c r="F615" s="32">
        <x:f>IF(B615="Holiday",IF(Dashboard!$B$14="Principal Only",MIN(Dashboard!$B$15,C615),0),0)</x:f>
      </x:c>
      <x:c r="G615" s="32" t="n">
        <x:f>IF(B615="Closed",0,IF(B615="Holiday",IF(Dashboard!$B$14="Interest Only",C615*Dashboard!$F$6,MAX(0,(C615-F615)*Dashboard!$F$6)),E615*Dashboard!$F$6))</x:f>
        <x:v>0</x:v>
      </x:c>
      <x:c r="H615" s="32" t="n">
        <x:f>IF(B615="Holiday",IF(Dashboard!$B$14="Interest Only",G615,F615),IF(B615="Closed",0,MIN(Dashboard!$F$10,E615+G615)))</x:f>
        <x:v>0</x:v>
      </x:c>
      <x:c r="I615" s="32" t="n">
        <x:f>IF(B615="Holiday",F615,IF(B615="Closed",0,MAX(0,H615-G615)))</x:f>
        <x:v>0</x:v>
      </x:c>
      <x:c r="J615" s="32" t="n">
        <x:f>IF(B615="Holiday",MAX(0,C615-F615),IF(B615="Closed",0,MAX(0,E615-I615)))</x:f>
        <x:v>0</x:v>
      </x:c>
      <x:c r="K615" s="32" t="n">
        <x:f>IF(B615="Holiday",IF(Dashboard!$B$14="Interest Only",D615,D615+G615),0)</x:f>
        <x:v>0</x:v>
      </x:c>
      <x:c r="L615" s="32" t="n">
        <x:f>J615+K615</x:f>
        <x:v>0</x:v>
      </x:c>
      <x:c r="M615" s="32" t="n">
        <x:f>IF(A615=1,H615,M614+H615)</x:f>
        <x:v>0</x:v>
      </x:c>
      <x:c r="N615" s="32" t="n">
        <x:f>IF(A615=1,I615,N614+I615)</x:f>
        <x:v>0</x:v>
      </x:c>
      <x:c r="O615" s="32" t="n">
        <x:f>IF(A615=1,G615,O614+G615)</x:f>
        <x:v>3671325</x:v>
      </x:c>
      <x:c r="P615" s="37" t="n">
        <x:f>EDATE(Dashboard!$B$10,A615)</x:f>
        <x:v>63706</x:v>
      </x:c>
    </x:row>
    <x:row r="616">
      <x:c r="A616" s="33" t="n">
        <x:v>615</x:v>
      </x:c>
      <x:c r="B616" s="33" t="str">
        <x:f>IF(A616&lt;=Dashboard!$F$8,"Holiday",IF(A616&lt;=Dashboard!$F$8+Dashboard!$F$7,"Repayment","Closed"))</x:f>
        <x:v>Closed</x:v>
      </x:c>
      <x:c r="C616" s="32">
        <x:f>IF(A616=1,Dashboard!$B$6,IF(B616="Holiday",J615,L615))</x:f>
      </x:c>
      <x:c r="D616" s="32">
        <x:f>IF(A616=1,0,IF(B616="Holiday",K615,0))</x:f>
      </x:c>
      <x:c r="E616" s="32">
        <x:f>C616+D616</x:f>
      </x:c>
      <x:c r="F616" s="32">
        <x:f>IF(B616="Holiday",IF(Dashboard!$B$14="Principal Only",MIN(Dashboard!$B$15,C616),0),0)</x:f>
      </x:c>
      <x:c r="G616" s="32" t="n">
        <x:f>IF(B616="Closed",0,IF(B616="Holiday",IF(Dashboard!$B$14="Interest Only",C616*Dashboard!$F$6,MAX(0,(C616-F616)*Dashboard!$F$6)),E616*Dashboard!$F$6))</x:f>
        <x:v>0</x:v>
      </x:c>
      <x:c r="H616" s="32" t="n">
        <x:f>IF(B616="Holiday",IF(Dashboard!$B$14="Interest Only",G616,F616),IF(B616="Closed",0,MIN(Dashboard!$F$10,E616+G616)))</x:f>
        <x:v>0</x:v>
      </x:c>
      <x:c r="I616" s="32" t="n">
        <x:f>IF(B616="Holiday",F616,IF(B616="Closed",0,MAX(0,H616-G616)))</x:f>
        <x:v>0</x:v>
      </x:c>
      <x:c r="J616" s="32" t="n">
        <x:f>IF(B616="Holiday",MAX(0,C616-F616),IF(B616="Closed",0,MAX(0,E616-I616)))</x:f>
        <x:v>0</x:v>
      </x:c>
      <x:c r="K616" s="32" t="n">
        <x:f>IF(B616="Holiday",IF(Dashboard!$B$14="Interest Only",D616,D616+G616),0)</x:f>
        <x:v>0</x:v>
      </x:c>
      <x:c r="L616" s="32" t="n">
        <x:f>J616+K616</x:f>
        <x:v>0</x:v>
      </x:c>
      <x:c r="M616" s="32" t="n">
        <x:f>IF(A616=1,H616,M615+H616)</x:f>
        <x:v>0</x:v>
      </x:c>
      <x:c r="N616" s="32" t="n">
        <x:f>IF(A616=1,I616,N615+I616)</x:f>
        <x:v>0</x:v>
      </x:c>
      <x:c r="O616" s="32" t="n">
        <x:f>IF(A616=1,G616,O615+G616)</x:f>
        <x:v>3671325</x:v>
      </x:c>
      <x:c r="P616" s="37" t="n">
        <x:f>EDATE(Dashboard!$B$10,A616)</x:f>
        <x:v>63736</x:v>
      </x:c>
    </x:row>
    <x:row r="617">
      <x:c r="A617" s="33" t="n">
        <x:v>616</x:v>
      </x:c>
      <x:c r="B617" s="33" t="str">
        <x:f>IF(A617&lt;=Dashboard!$F$8,"Holiday",IF(A617&lt;=Dashboard!$F$8+Dashboard!$F$7,"Repayment","Closed"))</x:f>
        <x:v>Closed</x:v>
      </x:c>
      <x:c r="C617" s="32">
        <x:f>IF(A617=1,Dashboard!$B$6,IF(B617="Holiday",J616,L616))</x:f>
      </x:c>
      <x:c r="D617" s="32">
        <x:f>IF(A617=1,0,IF(B617="Holiday",K616,0))</x:f>
      </x:c>
      <x:c r="E617" s="32">
        <x:f>C617+D617</x:f>
      </x:c>
      <x:c r="F617" s="32">
        <x:f>IF(B617="Holiday",IF(Dashboard!$B$14="Principal Only",MIN(Dashboard!$B$15,C617),0),0)</x:f>
      </x:c>
      <x:c r="G617" s="32" t="n">
        <x:f>IF(B617="Closed",0,IF(B617="Holiday",IF(Dashboard!$B$14="Interest Only",C617*Dashboard!$F$6,MAX(0,(C617-F617)*Dashboard!$F$6)),E617*Dashboard!$F$6))</x:f>
        <x:v>0</x:v>
      </x:c>
      <x:c r="H617" s="32" t="n">
        <x:f>IF(B617="Holiday",IF(Dashboard!$B$14="Interest Only",G617,F617),IF(B617="Closed",0,MIN(Dashboard!$F$10,E617+G617)))</x:f>
        <x:v>0</x:v>
      </x:c>
      <x:c r="I617" s="32" t="n">
        <x:f>IF(B617="Holiday",F617,IF(B617="Closed",0,MAX(0,H617-G617)))</x:f>
        <x:v>0</x:v>
      </x:c>
      <x:c r="J617" s="32" t="n">
        <x:f>IF(B617="Holiday",MAX(0,C617-F617),IF(B617="Closed",0,MAX(0,E617-I617)))</x:f>
        <x:v>0</x:v>
      </x:c>
      <x:c r="K617" s="32" t="n">
        <x:f>IF(B617="Holiday",IF(Dashboard!$B$14="Interest Only",D617,D617+G617),0)</x:f>
        <x:v>0</x:v>
      </x:c>
      <x:c r="L617" s="32" t="n">
        <x:f>J617+K617</x:f>
        <x:v>0</x:v>
      </x:c>
      <x:c r="M617" s="32" t="n">
        <x:f>IF(A617=1,H617,M616+H617)</x:f>
        <x:v>0</x:v>
      </x:c>
      <x:c r="N617" s="32" t="n">
        <x:f>IF(A617=1,I617,N616+I617)</x:f>
        <x:v>0</x:v>
      </x:c>
      <x:c r="O617" s="32" t="n">
        <x:f>IF(A617=1,G617,O616+G617)</x:f>
        <x:v>3671325</x:v>
      </x:c>
      <x:c r="P617" s="37" t="n">
        <x:f>EDATE(Dashboard!$B$10,A617)</x:f>
        <x:v>63767</x:v>
      </x:c>
    </x:row>
    <x:row r="618">
      <x:c r="A618" s="33" t="n">
        <x:v>617</x:v>
      </x:c>
      <x:c r="B618" s="33" t="str">
        <x:f>IF(A618&lt;=Dashboard!$F$8,"Holiday",IF(A618&lt;=Dashboard!$F$8+Dashboard!$F$7,"Repayment","Closed"))</x:f>
        <x:v>Closed</x:v>
      </x:c>
      <x:c r="C618" s="32">
        <x:f>IF(A618=1,Dashboard!$B$6,IF(B618="Holiday",J617,L617))</x:f>
      </x:c>
      <x:c r="D618" s="32">
        <x:f>IF(A618=1,0,IF(B618="Holiday",K617,0))</x:f>
      </x:c>
      <x:c r="E618" s="32">
        <x:f>C618+D618</x:f>
      </x:c>
      <x:c r="F618" s="32">
        <x:f>IF(B618="Holiday",IF(Dashboard!$B$14="Principal Only",MIN(Dashboard!$B$15,C618),0),0)</x:f>
      </x:c>
      <x:c r="G618" s="32" t="n">
        <x:f>IF(B618="Closed",0,IF(B618="Holiday",IF(Dashboard!$B$14="Interest Only",C618*Dashboard!$F$6,MAX(0,(C618-F618)*Dashboard!$F$6)),E618*Dashboard!$F$6))</x:f>
        <x:v>0</x:v>
      </x:c>
      <x:c r="H618" s="32" t="n">
        <x:f>IF(B618="Holiday",IF(Dashboard!$B$14="Interest Only",G618,F618),IF(B618="Closed",0,MIN(Dashboard!$F$10,E618+G618)))</x:f>
        <x:v>0</x:v>
      </x:c>
      <x:c r="I618" s="32" t="n">
        <x:f>IF(B618="Holiday",F618,IF(B618="Closed",0,MAX(0,H618-G618)))</x:f>
        <x:v>0</x:v>
      </x:c>
      <x:c r="J618" s="32" t="n">
        <x:f>IF(B618="Holiday",MAX(0,C618-F618),IF(B618="Closed",0,MAX(0,E618-I618)))</x:f>
        <x:v>0</x:v>
      </x:c>
      <x:c r="K618" s="32" t="n">
        <x:f>IF(B618="Holiday",IF(Dashboard!$B$14="Interest Only",D618,D618+G618),0)</x:f>
        <x:v>0</x:v>
      </x:c>
      <x:c r="L618" s="32" t="n">
        <x:f>J618+K618</x:f>
        <x:v>0</x:v>
      </x:c>
      <x:c r="M618" s="32" t="n">
        <x:f>IF(A618=1,H618,M617+H618)</x:f>
        <x:v>0</x:v>
      </x:c>
      <x:c r="N618" s="32" t="n">
        <x:f>IF(A618=1,I618,N617+I618)</x:f>
        <x:v>0</x:v>
      </x:c>
      <x:c r="O618" s="32" t="n">
        <x:f>IF(A618=1,G618,O617+G618)</x:f>
        <x:v>3671325</x:v>
      </x:c>
      <x:c r="P618" s="37" t="n">
        <x:f>EDATE(Dashboard!$B$10,A618)</x:f>
        <x:v>63798</x:v>
      </x:c>
    </x:row>
    <x:row r="619">
      <x:c r="A619" s="33" t="n">
        <x:v>618</x:v>
      </x:c>
      <x:c r="B619" s="33" t="str">
        <x:f>IF(A619&lt;=Dashboard!$F$8,"Holiday",IF(A619&lt;=Dashboard!$F$8+Dashboard!$F$7,"Repayment","Closed"))</x:f>
        <x:v>Closed</x:v>
      </x:c>
      <x:c r="C619" s="32">
        <x:f>IF(A619=1,Dashboard!$B$6,IF(B619="Holiday",J618,L618))</x:f>
      </x:c>
      <x:c r="D619" s="32">
        <x:f>IF(A619=1,0,IF(B619="Holiday",K618,0))</x:f>
      </x:c>
      <x:c r="E619" s="32">
        <x:f>C619+D619</x:f>
      </x:c>
      <x:c r="F619" s="32">
        <x:f>IF(B619="Holiday",IF(Dashboard!$B$14="Principal Only",MIN(Dashboard!$B$15,C619),0),0)</x:f>
      </x:c>
      <x:c r="G619" s="32" t="n">
        <x:f>IF(B619="Closed",0,IF(B619="Holiday",IF(Dashboard!$B$14="Interest Only",C619*Dashboard!$F$6,MAX(0,(C619-F619)*Dashboard!$F$6)),E619*Dashboard!$F$6))</x:f>
        <x:v>0</x:v>
      </x:c>
      <x:c r="H619" s="32" t="n">
        <x:f>IF(B619="Holiday",IF(Dashboard!$B$14="Interest Only",G619,F619),IF(B619="Closed",0,MIN(Dashboard!$F$10,E619+G619)))</x:f>
        <x:v>0</x:v>
      </x:c>
      <x:c r="I619" s="32" t="n">
        <x:f>IF(B619="Holiday",F619,IF(B619="Closed",0,MAX(0,H619-G619)))</x:f>
        <x:v>0</x:v>
      </x:c>
      <x:c r="J619" s="32" t="n">
        <x:f>IF(B619="Holiday",MAX(0,C619-F619),IF(B619="Closed",0,MAX(0,E619-I619)))</x:f>
        <x:v>0</x:v>
      </x:c>
      <x:c r="K619" s="32" t="n">
        <x:f>IF(B619="Holiday",IF(Dashboard!$B$14="Interest Only",D619,D619+G619),0)</x:f>
        <x:v>0</x:v>
      </x:c>
      <x:c r="L619" s="32" t="n">
        <x:f>J619+K619</x:f>
        <x:v>0</x:v>
      </x:c>
      <x:c r="M619" s="32" t="n">
        <x:f>IF(A619=1,H619,M618+H619)</x:f>
        <x:v>0</x:v>
      </x:c>
      <x:c r="N619" s="32" t="n">
        <x:f>IF(A619=1,I619,N618+I619)</x:f>
        <x:v>0</x:v>
      </x:c>
      <x:c r="O619" s="32" t="n">
        <x:f>IF(A619=1,G619,O618+G619)</x:f>
        <x:v>3671325</x:v>
      </x:c>
      <x:c r="P619" s="37" t="n">
        <x:f>EDATE(Dashboard!$B$10,A619)</x:f>
        <x:v>63828</x:v>
      </x:c>
    </x:row>
    <x:row r="620">
      <x:c r="A620" s="33" t="n">
        <x:v>619</x:v>
      </x:c>
      <x:c r="B620" s="33" t="str">
        <x:f>IF(A620&lt;=Dashboard!$F$8,"Holiday",IF(A620&lt;=Dashboard!$F$8+Dashboard!$F$7,"Repayment","Closed"))</x:f>
        <x:v>Closed</x:v>
      </x:c>
      <x:c r="C620" s="32">
        <x:f>IF(A620=1,Dashboard!$B$6,IF(B620="Holiday",J619,L619))</x:f>
      </x:c>
      <x:c r="D620" s="32">
        <x:f>IF(A620=1,0,IF(B620="Holiday",K619,0))</x:f>
      </x:c>
      <x:c r="E620" s="32">
        <x:f>C620+D620</x:f>
      </x:c>
      <x:c r="F620" s="32">
        <x:f>IF(B620="Holiday",IF(Dashboard!$B$14="Principal Only",MIN(Dashboard!$B$15,C620),0),0)</x:f>
      </x:c>
      <x:c r="G620" s="32" t="n">
        <x:f>IF(B620="Closed",0,IF(B620="Holiday",IF(Dashboard!$B$14="Interest Only",C620*Dashboard!$F$6,MAX(0,(C620-F620)*Dashboard!$F$6)),E620*Dashboard!$F$6))</x:f>
        <x:v>0</x:v>
      </x:c>
      <x:c r="H620" s="32" t="n">
        <x:f>IF(B620="Holiday",IF(Dashboard!$B$14="Interest Only",G620,F620),IF(B620="Closed",0,MIN(Dashboard!$F$10,E620+G620)))</x:f>
        <x:v>0</x:v>
      </x:c>
      <x:c r="I620" s="32" t="n">
        <x:f>IF(B620="Holiday",F620,IF(B620="Closed",0,MAX(0,H620-G620)))</x:f>
        <x:v>0</x:v>
      </x:c>
      <x:c r="J620" s="32" t="n">
        <x:f>IF(B620="Holiday",MAX(0,C620-F620),IF(B620="Closed",0,MAX(0,E620-I620)))</x:f>
        <x:v>0</x:v>
      </x:c>
      <x:c r="K620" s="32" t="n">
        <x:f>IF(B620="Holiday",IF(Dashboard!$B$14="Interest Only",D620,D620+G620),0)</x:f>
        <x:v>0</x:v>
      </x:c>
      <x:c r="L620" s="32" t="n">
        <x:f>J620+K620</x:f>
        <x:v>0</x:v>
      </x:c>
      <x:c r="M620" s="32" t="n">
        <x:f>IF(A620=1,H620,M619+H620)</x:f>
        <x:v>0</x:v>
      </x:c>
      <x:c r="N620" s="32" t="n">
        <x:f>IF(A620=1,I620,N619+I620)</x:f>
        <x:v>0</x:v>
      </x:c>
      <x:c r="O620" s="32" t="n">
        <x:f>IF(A620=1,G620,O619+G620)</x:f>
        <x:v>3671325</x:v>
      </x:c>
      <x:c r="P620" s="37" t="n">
        <x:f>EDATE(Dashboard!$B$10,A620)</x:f>
        <x:v>63859</x:v>
      </x:c>
    </x:row>
    <x:row r="621">
      <x:c r="A621" s="33" t="n">
        <x:v>620</x:v>
      </x:c>
      <x:c r="B621" s="33" t="str">
        <x:f>IF(A621&lt;=Dashboard!$F$8,"Holiday",IF(A621&lt;=Dashboard!$F$8+Dashboard!$F$7,"Repayment","Closed"))</x:f>
        <x:v>Closed</x:v>
      </x:c>
      <x:c r="C621" s="32">
        <x:f>IF(A621=1,Dashboard!$B$6,IF(B621="Holiday",J620,L620))</x:f>
      </x:c>
      <x:c r="D621" s="32">
        <x:f>IF(A621=1,0,IF(B621="Holiday",K620,0))</x:f>
      </x:c>
      <x:c r="E621" s="32">
        <x:f>C621+D621</x:f>
      </x:c>
      <x:c r="F621" s="32">
        <x:f>IF(B621="Holiday",IF(Dashboard!$B$14="Principal Only",MIN(Dashboard!$B$15,C621),0),0)</x:f>
      </x:c>
      <x:c r="G621" s="32" t="n">
        <x:f>IF(B621="Closed",0,IF(B621="Holiday",IF(Dashboard!$B$14="Interest Only",C621*Dashboard!$F$6,MAX(0,(C621-F621)*Dashboard!$F$6)),E621*Dashboard!$F$6))</x:f>
        <x:v>0</x:v>
      </x:c>
      <x:c r="H621" s="32" t="n">
        <x:f>IF(B621="Holiday",IF(Dashboard!$B$14="Interest Only",G621,F621),IF(B621="Closed",0,MIN(Dashboard!$F$10,E621+G621)))</x:f>
        <x:v>0</x:v>
      </x:c>
      <x:c r="I621" s="32" t="n">
        <x:f>IF(B621="Holiday",F621,IF(B621="Closed",0,MAX(0,H621-G621)))</x:f>
        <x:v>0</x:v>
      </x:c>
      <x:c r="J621" s="32" t="n">
        <x:f>IF(B621="Holiday",MAX(0,C621-F621),IF(B621="Closed",0,MAX(0,E621-I621)))</x:f>
        <x:v>0</x:v>
      </x:c>
      <x:c r="K621" s="32" t="n">
        <x:f>IF(B621="Holiday",IF(Dashboard!$B$14="Interest Only",D621,D621+G621),0)</x:f>
        <x:v>0</x:v>
      </x:c>
      <x:c r="L621" s="32" t="n">
        <x:f>J621+K621</x:f>
        <x:v>0</x:v>
      </x:c>
      <x:c r="M621" s="32" t="n">
        <x:f>IF(A621=1,H621,M620+H621)</x:f>
        <x:v>0</x:v>
      </x:c>
      <x:c r="N621" s="32" t="n">
        <x:f>IF(A621=1,I621,N620+I621)</x:f>
        <x:v>0</x:v>
      </x:c>
      <x:c r="O621" s="32" t="n">
        <x:f>IF(A621=1,G621,O620+G621)</x:f>
        <x:v>3671325</x:v>
      </x:c>
      <x:c r="P621" s="37" t="n">
        <x:f>EDATE(Dashboard!$B$10,A621)</x:f>
        <x:v>63889</x:v>
      </x:c>
    </x:row>
    <x:row r="622">
      <x:c r="A622" s="33" t="n">
        <x:v>621</x:v>
      </x:c>
      <x:c r="B622" s="33" t="str">
        <x:f>IF(A622&lt;=Dashboard!$F$8,"Holiday",IF(A622&lt;=Dashboard!$F$8+Dashboard!$F$7,"Repayment","Closed"))</x:f>
        <x:v>Closed</x:v>
      </x:c>
      <x:c r="C622" s="32">
        <x:f>IF(A622=1,Dashboard!$B$6,IF(B622="Holiday",J621,L621))</x:f>
      </x:c>
      <x:c r="D622" s="32">
        <x:f>IF(A622=1,0,IF(B622="Holiday",K621,0))</x:f>
      </x:c>
      <x:c r="E622" s="32">
        <x:f>C622+D622</x:f>
      </x:c>
      <x:c r="F622" s="32">
        <x:f>IF(B622="Holiday",IF(Dashboard!$B$14="Principal Only",MIN(Dashboard!$B$15,C622),0),0)</x:f>
      </x:c>
      <x:c r="G622" s="32" t="n">
        <x:f>IF(B622="Closed",0,IF(B622="Holiday",IF(Dashboard!$B$14="Interest Only",C622*Dashboard!$F$6,MAX(0,(C622-F622)*Dashboard!$F$6)),E622*Dashboard!$F$6))</x:f>
        <x:v>0</x:v>
      </x:c>
      <x:c r="H622" s="32" t="n">
        <x:f>IF(B622="Holiday",IF(Dashboard!$B$14="Interest Only",G622,F622),IF(B622="Closed",0,MIN(Dashboard!$F$10,E622+G622)))</x:f>
        <x:v>0</x:v>
      </x:c>
      <x:c r="I622" s="32" t="n">
        <x:f>IF(B622="Holiday",F622,IF(B622="Closed",0,MAX(0,H622-G622)))</x:f>
        <x:v>0</x:v>
      </x:c>
      <x:c r="J622" s="32" t="n">
        <x:f>IF(B622="Holiday",MAX(0,C622-F622),IF(B622="Closed",0,MAX(0,E622-I622)))</x:f>
        <x:v>0</x:v>
      </x:c>
      <x:c r="K622" s="32" t="n">
        <x:f>IF(B622="Holiday",IF(Dashboard!$B$14="Interest Only",D622,D622+G622),0)</x:f>
        <x:v>0</x:v>
      </x:c>
      <x:c r="L622" s="32" t="n">
        <x:f>J622+K622</x:f>
        <x:v>0</x:v>
      </x:c>
      <x:c r="M622" s="32" t="n">
        <x:f>IF(A622=1,H622,M621+H622)</x:f>
        <x:v>0</x:v>
      </x:c>
      <x:c r="N622" s="32" t="n">
        <x:f>IF(A622=1,I622,N621+I622)</x:f>
        <x:v>0</x:v>
      </x:c>
      <x:c r="O622" s="32" t="n">
        <x:f>IF(A622=1,G622,O621+G622)</x:f>
        <x:v>3671325</x:v>
      </x:c>
      <x:c r="P622" s="37" t="n">
        <x:f>EDATE(Dashboard!$B$10,A622)</x:f>
        <x:v>63920</x:v>
      </x:c>
    </x:row>
    <x:row r="623">
      <x:c r="A623" s="33" t="n">
        <x:v>622</x:v>
      </x:c>
      <x:c r="B623" s="33" t="str">
        <x:f>IF(A623&lt;=Dashboard!$F$8,"Holiday",IF(A623&lt;=Dashboard!$F$8+Dashboard!$F$7,"Repayment","Closed"))</x:f>
        <x:v>Closed</x:v>
      </x:c>
      <x:c r="C623" s="32">
        <x:f>IF(A623=1,Dashboard!$B$6,IF(B623="Holiday",J622,L622))</x:f>
      </x:c>
      <x:c r="D623" s="32">
        <x:f>IF(A623=1,0,IF(B623="Holiday",K622,0))</x:f>
      </x:c>
      <x:c r="E623" s="32">
        <x:f>C623+D623</x:f>
      </x:c>
      <x:c r="F623" s="32">
        <x:f>IF(B623="Holiday",IF(Dashboard!$B$14="Principal Only",MIN(Dashboard!$B$15,C623),0),0)</x:f>
      </x:c>
      <x:c r="G623" s="32" t="n">
        <x:f>IF(B623="Closed",0,IF(B623="Holiday",IF(Dashboard!$B$14="Interest Only",C623*Dashboard!$F$6,MAX(0,(C623-F623)*Dashboard!$F$6)),E623*Dashboard!$F$6))</x:f>
        <x:v>0</x:v>
      </x:c>
      <x:c r="H623" s="32" t="n">
        <x:f>IF(B623="Holiday",IF(Dashboard!$B$14="Interest Only",G623,F623),IF(B623="Closed",0,MIN(Dashboard!$F$10,E623+G623)))</x:f>
        <x:v>0</x:v>
      </x:c>
      <x:c r="I623" s="32" t="n">
        <x:f>IF(B623="Holiday",F623,IF(B623="Closed",0,MAX(0,H623-G623)))</x:f>
        <x:v>0</x:v>
      </x:c>
      <x:c r="J623" s="32" t="n">
        <x:f>IF(B623="Holiday",MAX(0,C623-F623),IF(B623="Closed",0,MAX(0,E623-I623)))</x:f>
        <x:v>0</x:v>
      </x:c>
      <x:c r="K623" s="32" t="n">
        <x:f>IF(B623="Holiday",IF(Dashboard!$B$14="Interest Only",D623,D623+G623),0)</x:f>
        <x:v>0</x:v>
      </x:c>
      <x:c r="L623" s="32" t="n">
        <x:f>J623+K623</x:f>
        <x:v>0</x:v>
      </x:c>
      <x:c r="M623" s="32" t="n">
        <x:f>IF(A623=1,H623,M622+H623)</x:f>
        <x:v>0</x:v>
      </x:c>
      <x:c r="N623" s="32" t="n">
        <x:f>IF(A623=1,I623,N622+I623)</x:f>
        <x:v>0</x:v>
      </x:c>
      <x:c r="O623" s="32" t="n">
        <x:f>IF(A623=1,G623,O622+G623)</x:f>
        <x:v>3671325</x:v>
      </x:c>
      <x:c r="P623" s="37" t="n">
        <x:f>EDATE(Dashboard!$B$10,A623)</x:f>
        <x:v>63951</x:v>
      </x:c>
    </x:row>
    <x:row r="624">
      <x:c r="A624" s="33" t="n">
        <x:v>623</x:v>
      </x:c>
      <x:c r="B624" s="33" t="str">
        <x:f>IF(A624&lt;=Dashboard!$F$8,"Holiday",IF(A624&lt;=Dashboard!$F$8+Dashboard!$F$7,"Repayment","Closed"))</x:f>
        <x:v>Closed</x:v>
      </x:c>
      <x:c r="C624" s="32">
        <x:f>IF(A624=1,Dashboard!$B$6,IF(B624="Holiday",J623,L623))</x:f>
      </x:c>
      <x:c r="D624" s="32">
        <x:f>IF(A624=1,0,IF(B624="Holiday",K623,0))</x:f>
      </x:c>
      <x:c r="E624" s="32">
        <x:f>C624+D624</x:f>
      </x:c>
      <x:c r="F624" s="32">
        <x:f>IF(B624="Holiday",IF(Dashboard!$B$14="Principal Only",MIN(Dashboard!$B$15,C624),0),0)</x:f>
      </x:c>
      <x:c r="G624" s="32" t="n">
        <x:f>IF(B624="Closed",0,IF(B624="Holiday",IF(Dashboard!$B$14="Interest Only",C624*Dashboard!$F$6,MAX(0,(C624-F624)*Dashboard!$F$6)),E624*Dashboard!$F$6))</x:f>
        <x:v>0</x:v>
      </x:c>
      <x:c r="H624" s="32" t="n">
        <x:f>IF(B624="Holiday",IF(Dashboard!$B$14="Interest Only",G624,F624),IF(B624="Closed",0,MIN(Dashboard!$F$10,E624+G624)))</x:f>
        <x:v>0</x:v>
      </x:c>
      <x:c r="I624" s="32" t="n">
        <x:f>IF(B624="Holiday",F624,IF(B624="Closed",0,MAX(0,H624-G624)))</x:f>
        <x:v>0</x:v>
      </x:c>
      <x:c r="J624" s="32" t="n">
        <x:f>IF(B624="Holiday",MAX(0,C624-F624),IF(B624="Closed",0,MAX(0,E624-I624)))</x:f>
        <x:v>0</x:v>
      </x:c>
      <x:c r="K624" s="32" t="n">
        <x:f>IF(B624="Holiday",IF(Dashboard!$B$14="Interest Only",D624,D624+G624),0)</x:f>
        <x:v>0</x:v>
      </x:c>
      <x:c r="L624" s="32" t="n">
        <x:f>J624+K624</x:f>
        <x:v>0</x:v>
      </x:c>
      <x:c r="M624" s="32" t="n">
        <x:f>IF(A624=1,H624,M623+H624)</x:f>
        <x:v>0</x:v>
      </x:c>
      <x:c r="N624" s="32" t="n">
        <x:f>IF(A624=1,I624,N623+I624)</x:f>
        <x:v>0</x:v>
      </x:c>
      <x:c r="O624" s="32" t="n">
        <x:f>IF(A624=1,G624,O623+G624)</x:f>
        <x:v>3671325</x:v>
      </x:c>
      <x:c r="P624" s="37" t="n">
        <x:f>EDATE(Dashboard!$B$10,A624)</x:f>
        <x:v>63979</x:v>
      </x:c>
    </x:row>
    <x:row r="625">
      <x:c r="A625" s="33" t="n">
        <x:v>624</x:v>
      </x:c>
      <x:c r="B625" s="33" t="str">
        <x:f>IF(A625&lt;=Dashboard!$F$8,"Holiday",IF(A625&lt;=Dashboard!$F$8+Dashboard!$F$7,"Repayment","Closed"))</x:f>
        <x:v>Closed</x:v>
      </x:c>
      <x:c r="C625" s="32">
        <x:f>IF(A625=1,Dashboard!$B$6,IF(B625="Holiday",J624,L624))</x:f>
      </x:c>
      <x:c r="D625" s="32">
        <x:f>IF(A625=1,0,IF(B625="Holiday",K624,0))</x:f>
      </x:c>
      <x:c r="E625" s="32">
        <x:f>C625+D625</x:f>
      </x:c>
      <x:c r="F625" s="32">
        <x:f>IF(B625="Holiday",IF(Dashboard!$B$14="Principal Only",MIN(Dashboard!$B$15,C625),0),0)</x:f>
      </x:c>
      <x:c r="G625" s="32" t="n">
        <x:f>IF(B625="Closed",0,IF(B625="Holiday",IF(Dashboard!$B$14="Interest Only",C625*Dashboard!$F$6,MAX(0,(C625-F625)*Dashboard!$F$6)),E625*Dashboard!$F$6))</x:f>
        <x:v>0</x:v>
      </x:c>
      <x:c r="H625" s="32" t="n">
        <x:f>IF(B625="Holiday",IF(Dashboard!$B$14="Interest Only",G625,F625),IF(B625="Closed",0,MIN(Dashboard!$F$10,E625+G625)))</x:f>
        <x:v>0</x:v>
      </x:c>
      <x:c r="I625" s="32" t="n">
        <x:f>IF(B625="Holiday",F625,IF(B625="Closed",0,MAX(0,H625-G625)))</x:f>
        <x:v>0</x:v>
      </x:c>
      <x:c r="J625" s="32" t="n">
        <x:f>IF(B625="Holiday",MAX(0,C625-F625),IF(B625="Closed",0,MAX(0,E625-I625)))</x:f>
        <x:v>0</x:v>
      </x:c>
      <x:c r="K625" s="32" t="n">
        <x:f>IF(B625="Holiday",IF(Dashboard!$B$14="Interest Only",D625,D625+G625),0)</x:f>
        <x:v>0</x:v>
      </x:c>
      <x:c r="L625" s="32" t="n">
        <x:f>J625+K625</x:f>
        <x:v>0</x:v>
      </x:c>
      <x:c r="M625" s="32" t="n">
        <x:f>IF(A625=1,H625,M624+H625)</x:f>
        <x:v>0</x:v>
      </x:c>
      <x:c r="N625" s="32" t="n">
        <x:f>IF(A625=1,I625,N624+I625)</x:f>
        <x:v>0</x:v>
      </x:c>
      <x:c r="O625" s="32" t="n">
        <x:f>IF(A625=1,G625,O624+G625)</x:f>
        <x:v>3671325</x:v>
      </x:c>
      <x:c r="P625" s="37" t="n">
        <x:f>EDATE(Dashboard!$B$10,A625)</x:f>
        <x:v>64010</x:v>
      </x:c>
    </x:row>
    <x:row r="626">
      <x:c r="A626" s="33" t="n">
        <x:v>625</x:v>
      </x:c>
      <x:c r="B626" s="33" t="str">
        <x:f>IF(A626&lt;=Dashboard!$F$8,"Holiday",IF(A626&lt;=Dashboard!$F$8+Dashboard!$F$7,"Repayment","Closed"))</x:f>
        <x:v>Closed</x:v>
      </x:c>
      <x:c r="C626" s="32">
        <x:f>IF(A626=1,Dashboard!$B$6,IF(B626="Holiday",J625,L625))</x:f>
      </x:c>
      <x:c r="D626" s="32">
        <x:f>IF(A626=1,0,IF(B626="Holiday",K625,0))</x:f>
      </x:c>
      <x:c r="E626" s="32">
        <x:f>C626+D626</x:f>
      </x:c>
      <x:c r="F626" s="32">
        <x:f>IF(B626="Holiday",IF(Dashboard!$B$14="Principal Only",MIN(Dashboard!$B$15,C626),0),0)</x:f>
      </x:c>
      <x:c r="G626" s="32" t="n">
        <x:f>IF(B626="Closed",0,IF(B626="Holiday",IF(Dashboard!$B$14="Interest Only",C626*Dashboard!$F$6,MAX(0,(C626-F626)*Dashboard!$F$6)),E626*Dashboard!$F$6))</x:f>
        <x:v>0</x:v>
      </x:c>
      <x:c r="H626" s="32" t="n">
        <x:f>IF(B626="Holiday",IF(Dashboard!$B$14="Interest Only",G626,F626),IF(B626="Closed",0,MIN(Dashboard!$F$10,E626+G626)))</x:f>
        <x:v>0</x:v>
      </x:c>
      <x:c r="I626" s="32" t="n">
        <x:f>IF(B626="Holiday",F626,IF(B626="Closed",0,MAX(0,H626-G626)))</x:f>
        <x:v>0</x:v>
      </x:c>
      <x:c r="J626" s="32" t="n">
        <x:f>IF(B626="Holiday",MAX(0,C626-F626),IF(B626="Closed",0,MAX(0,E626-I626)))</x:f>
        <x:v>0</x:v>
      </x:c>
      <x:c r="K626" s="32" t="n">
        <x:f>IF(B626="Holiday",IF(Dashboard!$B$14="Interest Only",D626,D626+G626),0)</x:f>
        <x:v>0</x:v>
      </x:c>
      <x:c r="L626" s="32" t="n">
        <x:f>J626+K626</x:f>
        <x:v>0</x:v>
      </x:c>
      <x:c r="M626" s="32" t="n">
        <x:f>IF(A626=1,H626,M625+H626)</x:f>
        <x:v>0</x:v>
      </x:c>
      <x:c r="N626" s="32" t="n">
        <x:f>IF(A626=1,I626,N625+I626)</x:f>
        <x:v>0</x:v>
      </x:c>
      <x:c r="O626" s="32" t="n">
        <x:f>IF(A626=1,G626,O625+G626)</x:f>
        <x:v>3671325</x:v>
      </x:c>
      <x:c r="P626" s="37" t="n">
        <x:f>EDATE(Dashboard!$B$10,A626)</x:f>
        <x:v>64040</x:v>
      </x:c>
    </x:row>
    <x:row r="627">
      <x:c r="A627" s="33" t="n">
        <x:v>626</x:v>
      </x:c>
      <x:c r="B627" s="33" t="str">
        <x:f>IF(A627&lt;=Dashboard!$F$8,"Holiday",IF(A627&lt;=Dashboard!$F$8+Dashboard!$F$7,"Repayment","Closed"))</x:f>
        <x:v>Closed</x:v>
      </x:c>
      <x:c r="C627" s="32">
        <x:f>IF(A627=1,Dashboard!$B$6,IF(B627="Holiday",J626,L626))</x:f>
      </x:c>
      <x:c r="D627" s="32">
        <x:f>IF(A627=1,0,IF(B627="Holiday",K626,0))</x:f>
      </x:c>
      <x:c r="E627" s="32">
        <x:f>C627+D627</x:f>
      </x:c>
      <x:c r="F627" s="32">
        <x:f>IF(B627="Holiday",IF(Dashboard!$B$14="Principal Only",MIN(Dashboard!$B$15,C627),0),0)</x:f>
      </x:c>
      <x:c r="G627" s="32" t="n">
        <x:f>IF(B627="Closed",0,IF(B627="Holiday",IF(Dashboard!$B$14="Interest Only",C627*Dashboard!$F$6,MAX(0,(C627-F627)*Dashboard!$F$6)),E627*Dashboard!$F$6))</x:f>
        <x:v>0</x:v>
      </x:c>
      <x:c r="H627" s="32" t="n">
        <x:f>IF(B627="Holiday",IF(Dashboard!$B$14="Interest Only",G627,F627),IF(B627="Closed",0,MIN(Dashboard!$F$10,E627+G627)))</x:f>
        <x:v>0</x:v>
      </x:c>
      <x:c r="I627" s="32" t="n">
        <x:f>IF(B627="Holiday",F627,IF(B627="Closed",0,MAX(0,H627-G627)))</x:f>
        <x:v>0</x:v>
      </x:c>
      <x:c r="J627" s="32" t="n">
        <x:f>IF(B627="Holiday",MAX(0,C627-F627),IF(B627="Closed",0,MAX(0,E627-I627)))</x:f>
        <x:v>0</x:v>
      </x:c>
      <x:c r="K627" s="32" t="n">
        <x:f>IF(B627="Holiday",IF(Dashboard!$B$14="Interest Only",D627,D627+G627),0)</x:f>
        <x:v>0</x:v>
      </x:c>
      <x:c r="L627" s="32" t="n">
        <x:f>J627+K627</x:f>
        <x:v>0</x:v>
      </x:c>
      <x:c r="M627" s="32" t="n">
        <x:f>IF(A627=1,H627,M626+H627)</x:f>
        <x:v>0</x:v>
      </x:c>
      <x:c r="N627" s="32" t="n">
        <x:f>IF(A627=1,I627,N626+I627)</x:f>
        <x:v>0</x:v>
      </x:c>
      <x:c r="O627" s="32" t="n">
        <x:f>IF(A627=1,G627,O626+G627)</x:f>
        <x:v>3671325</x:v>
      </x:c>
      <x:c r="P627" s="37" t="n">
        <x:f>EDATE(Dashboard!$B$10,A627)</x:f>
        <x:v>64071</x:v>
      </x:c>
    </x:row>
    <x:row r="628">
      <x:c r="A628" s="33" t="n">
        <x:v>627</x:v>
      </x:c>
      <x:c r="B628" s="33" t="str">
        <x:f>IF(A628&lt;=Dashboard!$F$8,"Holiday",IF(A628&lt;=Dashboard!$F$8+Dashboard!$F$7,"Repayment","Closed"))</x:f>
        <x:v>Closed</x:v>
      </x:c>
      <x:c r="C628" s="32">
        <x:f>IF(A628=1,Dashboard!$B$6,IF(B628="Holiday",J627,L627))</x:f>
      </x:c>
      <x:c r="D628" s="32">
        <x:f>IF(A628=1,0,IF(B628="Holiday",K627,0))</x:f>
      </x:c>
      <x:c r="E628" s="32">
        <x:f>C628+D628</x:f>
      </x:c>
      <x:c r="F628" s="32">
        <x:f>IF(B628="Holiday",IF(Dashboard!$B$14="Principal Only",MIN(Dashboard!$B$15,C628),0),0)</x:f>
      </x:c>
      <x:c r="G628" s="32" t="n">
        <x:f>IF(B628="Closed",0,IF(B628="Holiday",IF(Dashboard!$B$14="Interest Only",C628*Dashboard!$F$6,MAX(0,(C628-F628)*Dashboard!$F$6)),E628*Dashboard!$F$6))</x:f>
        <x:v>0</x:v>
      </x:c>
      <x:c r="H628" s="32" t="n">
        <x:f>IF(B628="Holiday",IF(Dashboard!$B$14="Interest Only",G628,F628),IF(B628="Closed",0,MIN(Dashboard!$F$10,E628+G628)))</x:f>
        <x:v>0</x:v>
      </x:c>
      <x:c r="I628" s="32" t="n">
        <x:f>IF(B628="Holiday",F628,IF(B628="Closed",0,MAX(0,H628-G628)))</x:f>
        <x:v>0</x:v>
      </x:c>
      <x:c r="J628" s="32" t="n">
        <x:f>IF(B628="Holiday",MAX(0,C628-F628),IF(B628="Closed",0,MAX(0,E628-I628)))</x:f>
        <x:v>0</x:v>
      </x:c>
      <x:c r="K628" s="32" t="n">
        <x:f>IF(B628="Holiday",IF(Dashboard!$B$14="Interest Only",D628,D628+G628),0)</x:f>
        <x:v>0</x:v>
      </x:c>
      <x:c r="L628" s="32" t="n">
        <x:f>J628+K628</x:f>
        <x:v>0</x:v>
      </x:c>
      <x:c r="M628" s="32" t="n">
        <x:f>IF(A628=1,H628,M627+H628)</x:f>
        <x:v>0</x:v>
      </x:c>
      <x:c r="N628" s="32" t="n">
        <x:f>IF(A628=1,I628,N627+I628)</x:f>
        <x:v>0</x:v>
      </x:c>
      <x:c r="O628" s="32" t="n">
        <x:f>IF(A628=1,G628,O627+G628)</x:f>
        <x:v>3671325</x:v>
      </x:c>
      <x:c r="P628" s="37" t="n">
        <x:f>EDATE(Dashboard!$B$10,A628)</x:f>
        <x:v>64101</x:v>
      </x:c>
    </x:row>
    <x:row r="629">
      <x:c r="A629" s="33" t="n">
        <x:v>628</x:v>
      </x:c>
      <x:c r="B629" s="33" t="str">
        <x:f>IF(A629&lt;=Dashboard!$F$8,"Holiday",IF(A629&lt;=Dashboard!$F$8+Dashboard!$F$7,"Repayment","Closed"))</x:f>
        <x:v>Closed</x:v>
      </x:c>
      <x:c r="C629" s="32">
        <x:f>IF(A629=1,Dashboard!$B$6,IF(B629="Holiday",J628,L628))</x:f>
      </x:c>
      <x:c r="D629" s="32">
        <x:f>IF(A629=1,0,IF(B629="Holiday",K628,0))</x:f>
      </x:c>
      <x:c r="E629" s="32">
        <x:f>C629+D629</x:f>
      </x:c>
      <x:c r="F629" s="32">
        <x:f>IF(B629="Holiday",IF(Dashboard!$B$14="Principal Only",MIN(Dashboard!$B$15,C629),0),0)</x:f>
      </x:c>
      <x:c r="G629" s="32" t="n">
        <x:f>IF(B629="Closed",0,IF(B629="Holiday",IF(Dashboard!$B$14="Interest Only",C629*Dashboard!$F$6,MAX(0,(C629-F629)*Dashboard!$F$6)),E629*Dashboard!$F$6))</x:f>
        <x:v>0</x:v>
      </x:c>
      <x:c r="H629" s="32" t="n">
        <x:f>IF(B629="Holiday",IF(Dashboard!$B$14="Interest Only",G629,F629),IF(B629="Closed",0,MIN(Dashboard!$F$10,E629+G629)))</x:f>
        <x:v>0</x:v>
      </x:c>
      <x:c r="I629" s="32" t="n">
        <x:f>IF(B629="Holiday",F629,IF(B629="Closed",0,MAX(0,H629-G629)))</x:f>
        <x:v>0</x:v>
      </x:c>
      <x:c r="J629" s="32" t="n">
        <x:f>IF(B629="Holiday",MAX(0,C629-F629),IF(B629="Closed",0,MAX(0,E629-I629)))</x:f>
        <x:v>0</x:v>
      </x:c>
      <x:c r="K629" s="32" t="n">
        <x:f>IF(B629="Holiday",IF(Dashboard!$B$14="Interest Only",D629,D629+G629),0)</x:f>
        <x:v>0</x:v>
      </x:c>
      <x:c r="L629" s="32" t="n">
        <x:f>J629+K629</x:f>
        <x:v>0</x:v>
      </x:c>
      <x:c r="M629" s="32" t="n">
        <x:f>IF(A629=1,H629,M628+H629)</x:f>
        <x:v>0</x:v>
      </x:c>
      <x:c r="N629" s="32" t="n">
        <x:f>IF(A629=1,I629,N628+I629)</x:f>
        <x:v>0</x:v>
      </x:c>
      <x:c r="O629" s="32" t="n">
        <x:f>IF(A629=1,G629,O628+G629)</x:f>
        <x:v>3671325</x:v>
      </x:c>
      <x:c r="P629" s="37" t="n">
        <x:f>EDATE(Dashboard!$B$10,A629)</x:f>
        <x:v>64132</x:v>
      </x:c>
    </x:row>
    <x:row r="630">
      <x:c r="A630" s="33" t="n">
        <x:v>629</x:v>
      </x:c>
      <x:c r="B630" s="33" t="str">
        <x:f>IF(A630&lt;=Dashboard!$F$8,"Holiday",IF(A630&lt;=Dashboard!$F$8+Dashboard!$F$7,"Repayment","Closed"))</x:f>
        <x:v>Closed</x:v>
      </x:c>
      <x:c r="C630" s="32">
        <x:f>IF(A630=1,Dashboard!$B$6,IF(B630="Holiday",J629,L629))</x:f>
      </x:c>
      <x:c r="D630" s="32">
        <x:f>IF(A630=1,0,IF(B630="Holiday",K629,0))</x:f>
      </x:c>
      <x:c r="E630" s="32">
        <x:f>C630+D630</x:f>
      </x:c>
      <x:c r="F630" s="32">
        <x:f>IF(B630="Holiday",IF(Dashboard!$B$14="Principal Only",MIN(Dashboard!$B$15,C630),0),0)</x:f>
      </x:c>
      <x:c r="G630" s="32" t="n">
        <x:f>IF(B630="Closed",0,IF(B630="Holiday",IF(Dashboard!$B$14="Interest Only",C630*Dashboard!$F$6,MAX(0,(C630-F630)*Dashboard!$F$6)),E630*Dashboard!$F$6))</x:f>
        <x:v>0</x:v>
      </x:c>
      <x:c r="H630" s="32" t="n">
        <x:f>IF(B630="Holiday",IF(Dashboard!$B$14="Interest Only",G630,F630),IF(B630="Closed",0,MIN(Dashboard!$F$10,E630+G630)))</x:f>
        <x:v>0</x:v>
      </x:c>
      <x:c r="I630" s="32" t="n">
        <x:f>IF(B630="Holiday",F630,IF(B630="Closed",0,MAX(0,H630-G630)))</x:f>
        <x:v>0</x:v>
      </x:c>
      <x:c r="J630" s="32" t="n">
        <x:f>IF(B630="Holiday",MAX(0,C630-F630),IF(B630="Closed",0,MAX(0,E630-I630)))</x:f>
        <x:v>0</x:v>
      </x:c>
      <x:c r="K630" s="32" t="n">
        <x:f>IF(B630="Holiday",IF(Dashboard!$B$14="Interest Only",D630,D630+G630),0)</x:f>
        <x:v>0</x:v>
      </x:c>
      <x:c r="L630" s="32" t="n">
        <x:f>J630+K630</x:f>
        <x:v>0</x:v>
      </x:c>
      <x:c r="M630" s="32" t="n">
        <x:f>IF(A630=1,H630,M629+H630)</x:f>
        <x:v>0</x:v>
      </x:c>
      <x:c r="N630" s="32" t="n">
        <x:f>IF(A630=1,I630,N629+I630)</x:f>
        <x:v>0</x:v>
      </x:c>
      <x:c r="O630" s="32" t="n">
        <x:f>IF(A630=1,G630,O629+G630)</x:f>
        <x:v>3671325</x:v>
      </x:c>
      <x:c r="P630" s="37" t="n">
        <x:f>EDATE(Dashboard!$B$10,A630)</x:f>
        <x:v>64163</x:v>
      </x:c>
    </x:row>
    <x:row r="631">
      <x:c r="A631" s="33" t="n">
        <x:v>630</x:v>
      </x:c>
      <x:c r="B631" s="33" t="str">
        <x:f>IF(A631&lt;=Dashboard!$F$8,"Holiday",IF(A631&lt;=Dashboard!$F$8+Dashboard!$F$7,"Repayment","Closed"))</x:f>
        <x:v>Closed</x:v>
      </x:c>
      <x:c r="C631" s="32">
        <x:f>IF(A631=1,Dashboard!$B$6,IF(B631="Holiday",J630,L630))</x:f>
      </x:c>
      <x:c r="D631" s="32">
        <x:f>IF(A631=1,0,IF(B631="Holiday",K630,0))</x:f>
      </x:c>
      <x:c r="E631" s="32">
        <x:f>C631+D631</x:f>
      </x:c>
      <x:c r="F631" s="32">
        <x:f>IF(B631="Holiday",IF(Dashboard!$B$14="Principal Only",MIN(Dashboard!$B$15,C631),0),0)</x:f>
      </x:c>
      <x:c r="G631" s="32" t="n">
        <x:f>IF(B631="Closed",0,IF(B631="Holiday",IF(Dashboard!$B$14="Interest Only",C631*Dashboard!$F$6,MAX(0,(C631-F631)*Dashboard!$F$6)),E631*Dashboard!$F$6))</x:f>
        <x:v>0</x:v>
      </x:c>
      <x:c r="H631" s="32" t="n">
        <x:f>IF(B631="Holiday",IF(Dashboard!$B$14="Interest Only",G631,F631),IF(B631="Closed",0,MIN(Dashboard!$F$10,E631+G631)))</x:f>
        <x:v>0</x:v>
      </x:c>
      <x:c r="I631" s="32" t="n">
        <x:f>IF(B631="Holiday",F631,IF(B631="Closed",0,MAX(0,H631-G631)))</x:f>
        <x:v>0</x:v>
      </x:c>
      <x:c r="J631" s="32" t="n">
        <x:f>IF(B631="Holiday",MAX(0,C631-F631),IF(B631="Closed",0,MAX(0,E631-I631)))</x:f>
        <x:v>0</x:v>
      </x:c>
      <x:c r="K631" s="32" t="n">
        <x:f>IF(B631="Holiday",IF(Dashboard!$B$14="Interest Only",D631,D631+G631),0)</x:f>
        <x:v>0</x:v>
      </x:c>
      <x:c r="L631" s="32" t="n">
        <x:f>J631+K631</x:f>
        <x:v>0</x:v>
      </x:c>
      <x:c r="M631" s="32" t="n">
        <x:f>IF(A631=1,H631,M630+H631)</x:f>
        <x:v>0</x:v>
      </x:c>
      <x:c r="N631" s="32" t="n">
        <x:f>IF(A631=1,I631,N630+I631)</x:f>
        <x:v>0</x:v>
      </x:c>
      <x:c r="O631" s="32" t="n">
        <x:f>IF(A631=1,G631,O630+G631)</x:f>
        <x:v>3671325</x:v>
      </x:c>
      <x:c r="P631" s="37" t="n">
        <x:f>EDATE(Dashboard!$B$10,A631)</x:f>
        <x:v>64193</x:v>
      </x:c>
    </x:row>
    <x:row r="632">
      <x:c r="A632" s="33" t="n">
        <x:v>631</x:v>
      </x:c>
      <x:c r="B632" s="33" t="str">
        <x:f>IF(A632&lt;=Dashboard!$F$8,"Holiday",IF(A632&lt;=Dashboard!$F$8+Dashboard!$F$7,"Repayment","Closed"))</x:f>
        <x:v>Closed</x:v>
      </x:c>
      <x:c r="C632" s="32">
        <x:f>IF(A632=1,Dashboard!$B$6,IF(B632="Holiday",J631,L631))</x:f>
      </x:c>
      <x:c r="D632" s="32">
        <x:f>IF(A632=1,0,IF(B632="Holiday",K631,0))</x:f>
      </x:c>
      <x:c r="E632" s="32">
        <x:f>C632+D632</x:f>
      </x:c>
      <x:c r="F632" s="32">
        <x:f>IF(B632="Holiday",IF(Dashboard!$B$14="Principal Only",MIN(Dashboard!$B$15,C632),0),0)</x:f>
      </x:c>
      <x:c r="G632" s="32" t="n">
        <x:f>IF(B632="Closed",0,IF(B632="Holiday",IF(Dashboard!$B$14="Interest Only",C632*Dashboard!$F$6,MAX(0,(C632-F632)*Dashboard!$F$6)),E632*Dashboard!$F$6))</x:f>
        <x:v>0</x:v>
      </x:c>
      <x:c r="H632" s="32" t="n">
        <x:f>IF(B632="Holiday",IF(Dashboard!$B$14="Interest Only",G632,F632),IF(B632="Closed",0,MIN(Dashboard!$F$10,E632+G632)))</x:f>
        <x:v>0</x:v>
      </x:c>
      <x:c r="I632" s="32" t="n">
        <x:f>IF(B632="Holiday",F632,IF(B632="Closed",0,MAX(0,H632-G632)))</x:f>
        <x:v>0</x:v>
      </x:c>
      <x:c r="J632" s="32" t="n">
        <x:f>IF(B632="Holiday",MAX(0,C632-F632),IF(B632="Closed",0,MAX(0,E632-I632)))</x:f>
        <x:v>0</x:v>
      </x:c>
      <x:c r="K632" s="32" t="n">
        <x:f>IF(B632="Holiday",IF(Dashboard!$B$14="Interest Only",D632,D632+G632),0)</x:f>
        <x:v>0</x:v>
      </x:c>
      <x:c r="L632" s="32" t="n">
        <x:f>J632+K632</x:f>
        <x:v>0</x:v>
      </x:c>
      <x:c r="M632" s="32" t="n">
        <x:f>IF(A632=1,H632,M631+H632)</x:f>
        <x:v>0</x:v>
      </x:c>
      <x:c r="N632" s="32" t="n">
        <x:f>IF(A632=1,I632,N631+I632)</x:f>
        <x:v>0</x:v>
      </x:c>
      <x:c r="O632" s="32" t="n">
        <x:f>IF(A632=1,G632,O631+G632)</x:f>
        <x:v>3671325</x:v>
      </x:c>
      <x:c r="P632" s="37" t="n">
        <x:f>EDATE(Dashboard!$B$10,A632)</x:f>
        <x:v>64224</x:v>
      </x:c>
    </x:row>
    <x:row r="633">
      <x:c r="A633" s="33" t="n">
        <x:v>632</x:v>
      </x:c>
      <x:c r="B633" s="33" t="str">
        <x:f>IF(A633&lt;=Dashboard!$F$8,"Holiday",IF(A633&lt;=Dashboard!$F$8+Dashboard!$F$7,"Repayment","Closed"))</x:f>
        <x:v>Closed</x:v>
      </x:c>
      <x:c r="C633" s="32">
        <x:f>IF(A633=1,Dashboard!$B$6,IF(B633="Holiday",J632,L632))</x:f>
      </x:c>
      <x:c r="D633" s="32">
        <x:f>IF(A633=1,0,IF(B633="Holiday",K632,0))</x:f>
      </x:c>
      <x:c r="E633" s="32">
        <x:f>C633+D633</x:f>
      </x:c>
      <x:c r="F633" s="32">
        <x:f>IF(B633="Holiday",IF(Dashboard!$B$14="Principal Only",MIN(Dashboard!$B$15,C633),0),0)</x:f>
      </x:c>
      <x:c r="G633" s="32" t="n">
        <x:f>IF(B633="Closed",0,IF(B633="Holiday",IF(Dashboard!$B$14="Interest Only",C633*Dashboard!$F$6,MAX(0,(C633-F633)*Dashboard!$F$6)),E633*Dashboard!$F$6))</x:f>
        <x:v>0</x:v>
      </x:c>
      <x:c r="H633" s="32" t="n">
        <x:f>IF(B633="Holiday",IF(Dashboard!$B$14="Interest Only",G633,F633),IF(B633="Closed",0,MIN(Dashboard!$F$10,E633+G633)))</x:f>
        <x:v>0</x:v>
      </x:c>
      <x:c r="I633" s="32" t="n">
        <x:f>IF(B633="Holiday",F633,IF(B633="Closed",0,MAX(0,H633-G633)))</x:f>
        <x:v>0</x:v>
      </x:c>
      <x:c r="J633" s="32" t="n">
        <x:f>IF(B633="Holiday",MAX(0,C633-F633),IF(B633="Closed",0,MAX(0,E633-I633)))</x:f>
        <x:v>0</x:v>
      </x:c>
      <x:c r="K633" s="32" t="n">
        <x:f>IF(B633="Holiday",IF(Dashboard!$B$14="Interest Only",D633,D633+G633),0)</x:f>
        <x:v>0</x:v>
      </x:c>
      <x:c r="L633" s="32" t="n">
        <x:f>J633+K633</x:f>
        <x:v>0</x:v>
      </x:c>
      <x:c r="M633" s="32" t="n">
        <x:f>IF(A633=1,H633,M632+H633)</x:f>
        <x:v>0</x:v>
      </x:c>
      <x:c r="N633" s="32" t="n">
        <x:f>IF(A633=1,I633,N632+I633)</x:f>
        <x:v>0</x:v>
      </x:c>
      <x:c r="O633" s="32" t="n">
        <x:f>IF(A633=1,G633,O632+G633)</x:f>
        <x:v>3671325</x:v>
      </x:c>
      <x:c r="P633" s="37" t="n">
        <x:f>EDATE(Dashboard!$B$10,A633)</x:f>
        <x:v>64254</x:v>
      </x:c>
    </x:row>
    <x:row r="634">
      <x:c r="A634" s="33" t="n">
        <x:v>633</x:v>
      </x:c>
      <x:c r="B634" s="33" t="str">
        <x:f>IF(A634&lt;=Dashboard!$F$8,"Holiday",IF(A634&lt;=Dashboard!$F$8+Dashboard!$F$7,"Repayment","Closed"))</x:f>
        <x:v>Closed</x:v>
      </x:c>
      <x:c r="C634" s="32">
        <x:f>IF(A634=1,Dashboard!$B$6,IF(B634="Holiday",J633,L633))</x:f>
      </x:c>
      <x:c r="D634" s="32">
        <x:f>IF(A634=1,0,IF(B634="Holiday",K633,0))</x:f>
      </x:c>
      <x:c r="E634" s="32">
        <x:f>C634+D634</x:f>
      </x:c>
      <x:c r="F634" s="32">
        <x:f>IF(B634="Holiday",IF(Dashboard!$B$14="Principal Only",MIN(Dashboard!$B$15,C634),0),0)</x:f>
      </x:c>
      <x:c r="G634" s="32" t="n">
        <x:f>IF(B634="Closed",0,IF(B634="Holiday",IF(Dashboard!$B$14="Interest Only",C634*Dashboard!$F$6,MAX(0,(C634-F634)*Dashboard!$F$6)),E634*Dashboard!$F$6))</x:f>
        <x:v>0</x:v>
      </x:c>
      <x:c r="H634" s="32" t="n">
        <x:f>IF(B634="Holiday",IF(Dashboard!$B$14="Interest Only",G634,F634),IF(B634="Closed",0,MIN(Dashboard!$F$10,E634+G634)))</x:f>
        <x:v>0</x:v>
      </x:c>
      <x:c r="I634" s="32" t="n">
        <x:f>IF(B634="Holiday",F634,IF(B634="Closed",0,MAX(0,H634-G634)))</x:f>
        <x:v>0</x:v>
      </x:c>
      <x:c r="J634" s="32" t="n">
        <x:f>IF(B634="Holiday",MAX(0,C634-F634),IF(B634="Closed",0,MAX(0,E634-I634)))</x:f>
        <x:v>0</x:v>
      </x:c>
      <x:c r="K634" s="32" t="n">
        <x:f>IF(B634="Holiday",IF(Dashboard!$B$14="Interest Only",D634,D634+G634),0)</x:f>
        <x:v>0</x:v>
      </x:c>
      <x:c r="L634" s="32" t="n">
        <x:f>J634+K634</x:f>
        <x:v>0</x:v>
      </x:c>
      <x:c r="M634" s="32" t="n">
        <x:f>IF(A634=1,H634,M633+H634)</x:f>
        <x:v>0</x:v>
      </x:c>
      <x:c r="N634" s="32" t="n">
        <x:f>IF(A634=1,I634,N633+I634)</x:f>
        <x:v>0</x:v>
      </x:c>
      <x:c r="O634" s="32" t="n">
        <x:f>IF(A634=1,G634,O633+G634)</x:f>
        <x:v>3671325</x:v>
      </x:c>
      <x:c r="P634" s="37" t="n">
        <x:f>EDATE(Dashboard!$B$10,A634)</x:f>
        <x:v>64285</x:v>
      </x:c>
    </x:row>
    <x:row r="635">
      <x:c r="A635" s="33" t="n">
        <x:v>634</x:v>
      </x:c>
      <x:c r="B635" s="33" t="str">
        <x:f>IF(A635&lt;=Dashboard!$F$8,"Holiday",IF(A635&lt;=Dashboard!$F$8+Dashboard!$F$7,"Repayment","Closed"))</x:f>
        <x:v>Closed</x:v>
      </x:c>
      <x:c r="C635" s="32">
        <x:f>IF(A635=1,Dashboard!$B$6,IF(B635="Holiday",J634,L634))</x:f>
      </x:c>
      <x:c r="D635" s="32">
        <x:f>IF(A635=1,0,IF(B635="Holiday",K634,0))</x:f>
      </x:c>
      <x:c r="E635" s="32">
        <x:f>C635+D635</x:f>
      </x:c>
      <x:c r="F635" s="32">
        <x:f>IF(B635="Holiday",IF(Dashboard!$B$14="Principal Only",MIN(Dashboard!$B$15,C635),0),0)</x:f>
      </x:c>
      <x:c r="G635" s="32" t="n">
        <x:f>IF(B635="Closed",0,IF(B635="Holiday",IF(Dashboard!$B$14="Interest Only",C635*Dashboard!$F$6,MAX(0,(C635-F635)*Dashboard!$F$6)),E635*Dashboard!$F$6))</x:f>
        <x:v>0</x:v>
      </x:c>
      <x:c r="H635" s="32" t="n">
        <x:f>IF(B635="Holiday",IF(Dashboard!$B$14="Interest Only",G635,F635),IF(B635="Closed",0,MIN(Dashboard!$F$10,E635+G635)))</x:f>
        <x:v>0</x:v>
      </x:c>
      <x:c r="I635" s="32" t="n">
        <x:f>IF(B635="Holiday",F635,IF(B635="Closed",0,MAX(0,H635-G635)))</x:f>
        <x:v>0</x:v>
      </x:c>
      <x:c r="J635" s="32" t="n">
        <x:f>IF(B635="Holiday",MAX(0,C635-F635),IF(B635="Closed",0,MAX(0,E635-I635)))</x:f>
        <x:v>0</x:v>
      </x:c>
      <x:c r="K635" s="32" t="n">
        <x:f>IF(B635="Holiday",IF(Dashboard!$B$14="Interest Only",D635,D635+G635),0)</x:f>
        <x:v>0</x:v>
      </x:c>
      <x:c r="L635" s="32" t="n">
        <x:f>J635+K635</x:f>
        <x:v>0</x:v>
      </x:c>
      <x:c r="M635" s="32" t="n">
        <x:f>IF(A635=1,H635,M634+H635)</x:f>
        <x:v>0</x:v>
      </x:c>
      <x:c r="N635" s="32" t="n">
        <x:f>IF(A635=1,I635,N634+I635)</x:f>
        <x:v>0</x:v>
      </x:c>
      <x:c r="O635" s="32" t="n">
        <x:f>IF(A635=1,G635,O634+G635)</x:f>
        <x:v>3671325</x:v>
      </x:c>
      <x:c r="P635" s="37" t="n">
        <x:f>EDATE(Dashboard!$B$10,A635)</x:f>
        <x:v>64316</x:v>
      </x:c>
    </x:row>
    <x:row r="636">
      <x:c r="A636" s="33" t="n">
        <x:v>635</x:v>
      </x:c>
      <x:c r="B636" s="33" t="str">
        <x:f>IF(A636&lt;=Dashboard!$F$8,"Holiday",IF(A636&lt;=Dashboard!$F$8+Dashboard!$F$7,"Repayment","Closed"))</x:f>
        <x:v>Closed</x:v>
      </x:c>
      <x:c r="C636" s="32">
        <x:f>IF(A636=1,Dashboard!$B$6,IF(B636="Holiday",J635,L635))</x:f>
      </x:c>
      <x:c r="D636" s="32">
        <x:f>IF(A636=1,0,IF(B636="Holiday",K635,0))</x:f>
      </x:c>
      <x:c r="E636" s="32">
        <x:f>C636+D636</x:f>
      </x:c>
      <x:c r="F636" s="32">
        <x:f>IF(B636="Holiday",IF(Dashboard!$B$14="Principal Only",MIN(Dashboard!$B$15,C636),0),0)</x:f>
      </x:c>
      <x:c r="G636" s="32" t="n">
        <x:f>IF(B636="Closed",0,IF(B636="Holiday",IF(Dashboard!$B$14="Interest Only",C636*Dashboard!$F$6,MAX(0,(C636-F636)*Dashboard!$F$6)),E636*Dashboard!$F$6))</x:f>
        <x:v>0</x:v>
      </x:c>
      <x:c r="H636" s="32" t="n">
        <x:f>IF(B636="Holiday",IF(Dashboard!$B$14="Interest Only",G636,F636),IF(B636="Closed",0,MIN(Dashboard!$F$10,E636+G636)))</x:f>
        <x:v>0</x:v>
      </x:c>
      <x:c r="I636" s="32" t="n">
        <x:f>IF(B636="Holiday",F636,IF(B636="Closed",0,MAX(0,H636-G636)))</x:f>
        <x:v>0</x:v>
      </x:c>
      <x:c r="J636" s="32" t="n">
        <x:f>IF(B636="Holiday",MAX(0,C636-F636),IF(B636="Closed",0,MAX(0,E636-I636)))</x:f>
        <x:v>0</x:v>
      </x:c>
      <x:c r="K636" s="32" t="n">
        <x:f>IF(B636="Holiday",IF(Dashboard!$B$14="Interest Only",D636,D636+G636),0)</x:f>
        <x:v>0</x:v>
      </x:c>
      <x:c r="L636" s="32" t="n">
        <x:f>J636+K636</x:f>
        <x:v>0</x:v>
      </x:c>
      <x:c r="M636" s="32" t="n">
        <x:f>IF(A636=1,H636,M635+H636)</x:f>
        <x:v>0</x:v>
      </x:c>
      <x:c r="N636" s="32" t="n">
        <x:f>IF(A636=1,I636,N635+I636)</x:f>
        <x:v>0</x:v>
      </x:c>
      <x:c r="O636" s="32" t="n">
        <x:f>IF(A636=1,G636,O635+G636)</x:f>
        <x:v>3671325</x:v>
      </x:c>
      <x:c r="P636" s="37" t="n">
        <x:f>EDATE(Dashboard!$B$10,A636)</x:f>
        <x:v>64345</x:v>
      </x:c>
    </x:row>
    <x:row r="637">
      <x:c r="A637" s="33" t="n">
        <x:v>636</x:v>
      </x:c>
      <x:c r="B637" s="33" t="str">
        <x:f>IF(A637&lt;=Dashboard!$F$8,"Holiday",IF(A637&lt;=Dashboard!$F$8+Dashboard!$F$7,"Repayment","Closed"))</x:f>
        <x:v>Closed</x:v>
      </x:c>
      <x:c r="C637" s="32">
        <x:f>IF(A637=1,Dashboard!$B$6,IF(B637="Holiday",J636,L636))</x:f>
      </x:c>
      <x:c r="D637" s="32">
        <x:f>IF(A637=1,0,IF(B637="Holiday",K636,0))</x:f>
      </x:c>
      <x:c r="E637" s="32">
        <x:f>C637+D637</x:f>
      </x:c>
      <x:c r="F637" s="32">
        <x:f>IF(B637="Holiday",IF(Dashboard!$B$14="Principal Only",MIN(Dashboard!$B$15,C637),0),0)</x:f>
      </x:c>
      <x:c r="G637" s="32" t="n">
        <x:f>IF(B637="Closed",0,IF(B637="Holiday",IF(Dashboard!$B$14="Interest Only",C637*Dashboard!$F$6,MAX(0,(C637-F637)*Dashboard!$F$6)),E637*Dashboard!$F$6))</x:f>
        <x:v>0</x:v>
      </x:c>
      <x:c r="H637" s="32" t="n">
        <x:f>IF(B637="Holiday",IF(Dashboard!$B$14="Interest Only",G637,F637),IF(B637="Closed",0,MIN(Dashboard!$F$10,E637+G637)))</x:f>
        <x:v>0</x:v>
      </x:c>
      <x:c r="I637" s="32" t="n">
        <x:f>IF(B637="Holiday",F637,IF(B637="Closed",0,MAX(0,H637-G637)))</x:f>
        <x:v>0</x:v>
      </x:c>
      <x:c r="J637" s="32" t="n">
        <x:f>IF(B637="Holiday",MAX(0,C637-F637),IF(B637="Closed",0,MAX(0,E637-I637)))</x:f>
        <x:v>0</x:v>
      </x:c>
      <x:c r="K637" s="32" t="n">
        <x:f>IF(B637="Holiday",IF(Dashboard!$B$14="Interest Only",D637,D637+G637),0)</x:f>
        <x:v>0</x:v>
      </x:c>
      <x:c r="L637" s="32" t="n">
        <x:f>J637+K637</x:f>
        <x:v>0</x:v>
      </x:c>
      <x:c r="M637" s="32" t="n">
        <x:f>IF(A637=1,H637,M636+H637)</x:f>
        <x:v>0</x:v>
      </x:c>
      <x:c r="N637" s="32" t="n">
        <x:f>IF(A637=1,I637,N636+I637)</x:f>
        <x:v>0</x:v>
      </x:c>
      <x:c r="O637" s="32" t="n">
        <x:f>IF(A637=1,G637,O636+G637)</x:f>
        <x:v>3671325</x:v>
      </x:c>
      <x:c r="P637" s="37" t="n">
        <x:f>EDATE(Dashboard!$B$10,A637)</x:f>
        <x:v>64376</x:v>
      </x:c>
    </x:row>
    <x:row r="638">
      <x:c r="A638" s="33" t="n">
        <x:v>637</x:v>
      </x:c>
      <x:c r="B638" s="33" t="str">
        <x:f>IF(A638&lt;=Dashboard!$F$8,"Holiday",IF(A638&lt;=Dashboard!$F$8+Dashboard!$F$7,"Repayment","Closed"))</x:f>
        <x:v>Closed</x:v>
      </x:c>
      <x:c r="C638" s="32">
        <x:f>IF(A638=1,Dashboard!$B$6,IF(B638="Holiday",J637,L637))</x:f>
      </x:c>
      <x:c r="D638" s="32">
        <x:f>IF(A638=1,0,IF(B638="Holiday",K637,0))</x:f>
      </x:c>
      <x:c r="E638" s="32">
        <x:f>C638+D638</x:f>
      </x:c>
      <x:c r="F638" s="32">
        <x:f>IF(B638="Holiday",IF(Dashboard!$B$14="Principal Only",MIN(Dashboard!$B$15,C638),0),0)</x:f>
      </x:c>
      <x:c r="G638" s="32" t="n">
        <x:f>IF(B638="Closed",0,IF(B638="Holiday",IF(Dashboard!$B$14="Interest Only",C638*Dashboard!$F$6,MAX(0,(C638-F638)*Dashboard!$F$6)),E638*Dashboard!$F$6))</x:f>
        <x:v>0</x:v>
      </x:c>
      <x:c r="H638" s="32" t="n">
        <x:f>IF(B638="Holiday",IF(Dashboard!$B$14="Interest Only",G638,F638),IF(B638="Closed",0,MIN(Dashboard!$F$10,E638+G638)))</x:f>
        <x:v>0</x:v>
      </x:c>
      <x:c r="I638" s="32" t="n">
        <x:f>IF(B638="Holiday",F638,IF(B638="Closed",0,MAX(0,H638-G638)))</x:f>
        <x:v>0</x:v>
      </x:c>
      <x:c r="J638" s="32" t="n">
        <x:f>IF(B638="Holiday",MAX(0,C638-F638),IF(B638="Closed",0,MAX(0,E638-I638)))</x:f>
        <x:v>0</x:v>
      </x:c>
      <x:c r="K638" s="32" t="n">
        <x:f>IF(B638="Holiday",IF(Dashboard!$B$14="Interest Only",D638,D638+G638),0)</x:f>
        <x:v>0</x:v>
      </x:c>
      <x:c r="L638" s="32" t="n">
        <x:f>J638+K638</x:f>
        <x:v>0</x:v>
      </x:c>
      <x:c r="M638" s="32" t="n">
        <x:f>IF(A638=1,H638,M637+H638)</x:f>
        <x:v>0</x:v>
      </x:c>
      <x:c r="N638" s="32" t="n">
        <x:f>IF(A638=1,I638,N637+I638)</x:f>
        <x:v>0</x:v>
      </x:c>
      <x:c r="O638" s="32" t="n">
        <x:f>IF(A638=1,G638,O637+G638)</x:f>
        <x:v>3671325</x:v>
      </x:c>
      <x:c r="P638" s="37" t="n">
        <x:f>EDATE(Dashboard!$B$10,A638)</x:f>
        <x:v>64406</x:v>
      </x:c>
    </x:row>
    <x:row r="639">
      <x:c r="A639" s="33" t="n">
        <x:v>638</x:v>
      </x:c>
      <x:c r="B639" s="33" t="str">
        <x:f>IF(A639&lt;=Dashboard!$F$8,"Holiday",IF(A639&lt;=Dashboard!$F$8+Dashboard!$F$7,"Repayment","Closed"))</x:f>
        <x:v>Closed</x:v>
      </x:c>
      <x:c r="C639" s="32">
        <x:f>IF(A639=1,Dashboard!$B$6,IF(B639="Holiday",J638,L638))</x:f>
      </x:c>
      <x:c r="D639" s="32">
        <x:f>IF(A639=1,0,IF(B639="Holiday",K638,0))</x:f>
      </x:c>
      <x:c r="E639" s="32">
        <x:f>C639+D639</x:f>
      </x:c>
      <x:c r="F639" s="32">
        <x:f>IF(B639="Holiday",IF(Dashboard!$B$14="Principal Only",MIN(Dashboard!$B$15,C639),0),0)</x:f>
      </x:c>
      <x:c r="G639" s="32" t="n">
        <x:f>IF(B639="Closed",0,IF(B639="Holiday",IF(Dashboard!$B$14="Interest Only",C639*Dashboard!$F$6,MAX(0,(C639-F639)*Dashboard!$F$6)),E639*Dashboard!$F$6))</x:f>
        <x:v>0</x:v>
      </x:c>
      <x:c r="H639" s="32" t="n">
        <x:f>IF(B639="Holiday",IF(Dashboard!$B$14="Interest Only",G639,F639),IF(B639="Closed",0,MIN(Dashboard!$F$10,E639+G639)))</x:f>
        <x:v>0</x:v>
      </x:c>
      <x:c r="I639" s="32" t="n">
        <x:f>IF(B639="Holiday",F639,IF(B639="Closed",0,MAX(0,H639-G639)))</x:f>
        <x:v>0</x:v>
      </x:c>
      <x:c r="J639" s="32" t="n">
        <x:f>IF(B639="Holiday",MAX(0,C639-F639),IF(B639="Closed",0,MAX(0,E639-I639)))</x:f>
        <x:v>0</x:v>
      </x:c>
      <x:c r="K639" s="32" t="n">
        <x:f>IF(B639="Holiday",IF(Dashboard!$B$14="Interest Only",D639,D639+G639),0)</x:f>
        <x:v>0</x:v>
      </x:c>
      <x:c r="L639" s="32" t="n">
        <x:f>J639+K639</x:f>
        <x:v>0</x:v>
      </x:c>
      <x:c r="M639" s="32" t="n">
        <x:f>IF(A639=1,H639,M638+H639)</x:f>
        <x:v>0</x:v>
      </x:c>
      <x:c r="N639" s="32" t="n">
        <x:f>IF(A639=1,I639,N638+I639)</x:f>
        <x:v>0</x:v>
      </x:c>
      <x:c r="O639" s="32" t="n">
        <x:f>IF(A639=1,G639,O638+G639)</x:f>
        <x:v>3671325</x:v>
      </x:c>
      <x:c r="P639" s="37" t="n">
        <x:f>EDATE(Dashboard!$B$10,A639)</x:f>
        <x:v>64437</x:v>
      </x:c>
    </x:row>
    <x:row r="640">
      <x:c r="A640" s="33" t="n">
        <x:v>639</x:v>
      </x:c>
      <x:c r="B640" s="33" t="str">
        <x:f>IF(A640&lt;=Dashboard!$F$8,"Holiday",IF(A640&lt;=Dashboard!$F$8+Dashboard!$F$7,"Repayment","Closed"))</x:f>
        <x:v>Closed</x:v>
      </x:c>
      <x:c r="C640" s="32">
        <x:f>IF(A640=1,Dashboard!$B$6,IF(B640="Holiday",J639,L639))</x:f>
      </x:c>
      <x:c r="D640" s="32">
        <x:f>IF(A640=1,0,IF(B640="Holiday",K639,0))</x:f>
      </x:c>
      <x:c r="E640" s="32">
        <x:f>C640+D640</x:f>
      </x:c>
      <x:c r="F640" s="32">
        <x:f>IF(B640="Holiday",IF(Dashboard!$B$14="Principal Only",MIN(Dashboard!$B$15,C640),0),0)</x:f>
      </x:c>
      <x:c r="G640" s="32" t="n">
        <x:f>IF(B640="Closed",0,IF(B640="Holiday",IF(Dashboard!$B$14="Interest Only",C640*Dashboard!$F$6,MAX(0,(C640-F640)*Dashboard!$F$6)),E640*Dashboard!$F$6))</x:f>
        <x:v>0</x:v>
      </x:c>
      <x:c r="H640" s="32" t="n">
        <x:f>IF(B640="Holiday",IF(Dashboard!$B$14="Interest Only",G640,F640),IF(B640="Closed",0,MIN(Dashboard!$F$10,E640+G640)))</x:f>
        <x:v>0</x:v>
      </x:c>
      <x:c r="I640" s="32" t="n">
        <x:f>IF(B640="Holiday",F640,IF(B640="Closed",0,MAX(0,H640-G640)))</x:f>
        <x:v>0</x:v>
      </x:c>
      <x:c r="J640" s="32" t="n">
        <x:f>IF(B640="Holiday",MAX(0,C640-F640),IF(B640="Closed",0,MAX(0,E640-I640)))</x:f>
        <x:v>0</x:v>
      </x:c>
      <x:c r="K640" s="32" t="n">
        <x:f>IF(B640="Holiday",IF(Dashboard!$B$14="Interest Only",D640,D640+G640),0)</x:f>
        <x:v>0</x:v>
      </x:c>
      <x:c r="L640" s="32" t="n">
        <x:f>J640+K640</x:f>
        <x:v>0</x:v>
      </x:c>
      <x:c r="M640" s="32" t="n">
        <x:f>IF(A640=1,H640,M639+H640)</x:f>
        <x:v>0</x:v>
      </x:c>
      <x:c r="N640" s="32" t="n">
        <x:f>IF(A640=1,I640,N639+I640)</x:f>
        <x:v>0</x:v>
      </x:c>
      <x:c r="O640" s="32" t="n">
        <x:f>IF(A640=1,G640,O639+G640)</x:f>
        <x:v>3671325</x:v>
      </x:c>
      <x:c r="P640" s="37" t="n">
        <x:f>EDATE(Dashboard!$B$10,A640)</x:f>
        <x:v>64467</x:v>
      </x:c>
    </x:row>
    <x:row r="641">
      <x:c r="A641" s="33" t="n">
        <x:v>640</x:v>
      </x:c>
      <x:c r="B641" s="33" t="str">
        <x:f>IF(A641&lt;=Dashboard!$F$8,"Holiday",IF(A641&lt;=Dashboard!$F$8+Dashboard!$F$7,"Repayment","Closed"))</x:f>
        <x:v>Closed</x:v>
      </x:c>
      <x:c r="C641" s="32">
        <x:f>IF(A641=1,Dashboard!$B$6,IF(B641="Holiday",J640,L640))</x:f>
      </x:c>
      <x:c r="D641" s="32">
        <x:f>IF(A641=1,0,IF(B641="Holiday",K640,0))</x:f>
      </x:c>
      <x:c r="E641" s="32">
        <x:f>C641+D641</x:f>
      </x:c>
      <x:c r="F641" s="32">
        <x:f>IF(B641="Holiday",IF(Dashboard!$B$14="Principal Only",MIN(Dashboard!$B$15,C641),0),0)</x:f>
      </x:c>
      <x:c r="G641" s="32" t="n">
        <x:f>IF(B641="Closed",0,IF(B641="Holiday",IF(Dashboard!$B$14="Interest Only",C641*Dashboard!$F$6,MAX(0,(C641-F641)*Dashboard!$F$6)),E641*Dashboard!$F$6))</x:f>
        <x:v>0</x:v>
      </x:c>
      <x:c r="H641" s="32" t="n">
        <x:f>IF(B641="Holiday",IF(Dashboard!$B$14="Interest Only",G641,F641),IF(B641="Closed",0,MIN(Dashboard!$F$10,E641+G641)))</x:f>
        <x:v>0</x:v>
      </x:c>
      <x:c r="I641" s="32" t="n">
        <x:f>IF(B641="Holiday",F641,IF(B641="Closed",0,MAX(0,H641-G641)))</x:f>
        <x:v>0</x:v>
      </x:c>
      <x:c r="J641" s="32" t="n">
        <x:f>IF(B641="Holiday",MAX(0,C641-F641),IF(B641="Closed",0,MAX(0,E641-I641)))</x:f>
        <x:v>0</x:v>
      </x:c>
      <x:c r="K641" s="32" t="n">
        <x:f>IF(B641="Holiday",IF(Dashboard!$B$14="Interest Only",D641,D641+G641),0)</x:f>
        <x:v>0</x:v>
      </x:c>
      <x:c r="L641" s="32" t="n">
        <x:f>J641+K641</x:f>
        <x:v>0</x:v>
      </x:c>
      <x:c r="M641" s="32" t="n">
        <x:f>IF(A641=1,H641,M640+H641)</x:f>
        <x:v>0</x:v>
      </x:c>
      <x:c r="N641" s="32" t="n">
        <x:f>IF(A641=1,I641,N640+I641)</x:f>
        <x:v>0</x:v>
      </x:c>
      <x:c r="O641" s="32" t="n">
        <x:f>IF(A641=1,G641,O640+G641)</x:f>
        <x:v>3671325</x:v>
      </x:c>
      <x:c r="P641" s="37" t="n">
        <x:f>EDATE(Dashboard!$B$10,A641)</x:f>
        <x:v>64498</x:v>
      </x:c>
    </x:row>
    <x:row r="642">
      <x:c r="A642" s="33" t="n">
        <x:v>641</x:v>
      </x:c>
      <x:c r="B642" s="33" t="str">
        <x:f>IF(A642&lt;=Dashboard!$F$8,"Holiday",IF(A642&lt;=Dashboard!$F$8+Dashboard!$F$7,"Repayment","Closed"))</x:f>
        <x:v>Closed</x:v>
      </x:c>
      <x:c r="C642" s="32">
        <x:f>IF(A642=1,Dashboard!$B$6,IF(B642="Holiday",J641,L641))</x:f>
      </x:c>
      <x:c r="D642" s="32">
        <x:f>IF(A642=1,0,IF(B642="Holiday",K641,0))</x:f>
      </x:c>
      <x:c r="E642" s="32">
        <x:f>C642+D642</x:f>
      </x:c>
      <x:c r="F642" s="32">
        <x:f>IF(B642="Holiday",IF(Dashboard!$B$14="Principal Only",MIN(Dashboard!$B$15,C642),0),0)</x:f>
      </x:c>
      <x:c r="G642" s="32" t="n">
        <x:f>IF(B642="Closed",0,IF(B642="Holiday",IF(Dashboard!$B$14="Interest Only",C642*Dashboard!$F$6,MAX(0,(C642-F642)*Dashboard!$F$6)),E642*Dashboard!$F$6))</x:f>
        <x:v>0</x:v>
      </x:c>
      <x:c r="H642" s="32" t="n">
        <x:f>IF(B642="Holiday",IF(Dashboard!$B$14="Interest Only",G642,F642),IF(B642="Closed",0,MIN(Dashboard!$F$10,E642+G642)))</x:f>
        <x:v>0</x:v>
      </x:c>
      <x:c r="I642" s="32" t="n">
        <x:f>IF(B642="Holiday",F642,IF(B642="Closed",0,MAX(0,H642-G642)))</x:f>
        <x:v>0</x:v>
      </x:c>
      <x:c r="J642" s="32" t="n">
        <x:f>IF(B642="Holiday",MAX(0,C642-F642),IF(B642="Closed",0,MAX(0,E642-I642)))</x:f>
        <x:v>0</x:v>
      </x:c>
      <x:c r="K642" s="32" t="n">
        <x:f>IF(B642="Holiday",IF(Dashboard!$B$14="Interest Only",D642,D642+G642),0)</x:f>
        <x:v>0</x:v>
      </x:c>
      <x:c r="L642" s="32" t="n">
        <x:f>J642+K642</x:f>
        <x:v>0</x:v>
      </x:c>
      <x:c r="M642" s="32" t="n">
        <x:f>IF(A642=1,H642,M641+H642)</x:f>
        <x:v>0</x:v>
      </x:c>
      <x:c r="N642" s="32" t="n">
        <x:f>IF(A642=1,I642,N641+I642)</x:f>
        <x:v>0</x:v>
      </x:c>
      <x:c r="O642" s="32" t="n">
        <x:f>IF(A642=1,G642,O641+G642)</x:f>
        <x:v>3671325</x:v>
      </x:c>
      <x:c r="P642" s="37" t="n">
        <x:f>EDATE(Dashboard!$B$10,A642)</x:f>
        <x:v>64529</x:v>
      </x:c>
    </x:row>
    <x:row r="643">
      <x:c r="A643" s="33" t="n">
        <x:v>642</x:v>
      </x:c>
      <x:c r="B643" s="33" t="str">
        <x:f>IF(A643&lt;=Dashboard!$F$8,"Holiday",IF(A643&lt;=Dashboard!$F$8+Dashboard!$F$7,"Repayment","Closed"))</x:f>
        <x:v>Closed</x:v>
      </x:c>
      <x:c r="C643" s="32">
        <x:f>IF(A643=1,Dashboard!$B$6,IF(B643="Holiday",J642,L642))</x:f>
      </x:c>
      <x:c r="D643" s="32">
        <x:f>IF(A643=1,0,IF(B643="Holiday",K642,0))</x:f>
      </x:c>
      <x:c r="E643" s="32">
        <x:f>C643+D643</x:f>
      </x:c>
      <x:c r="F643" s="32">
        <x:f>IF(B643="Holiday",IF(Dashboard!$B$14="Principal Only",MIN(Dashboard!$B$15,C643),0),0)</x:f>
      </x:c>
      <x:c r="G643" s="32" t="n">
        <x:f>IF(B643="Closed",0,IF(B643="Holiday",IF(Dashboard!$B$14="Interest Only",C643*Dashboard!$F$6,MAX(0,(C643-F643)*Dashboard!$F$6)),E643*Dashboard!$F$6))</x:f>
        <x:v>0</x:v>
      </x:c>
      <x:c r="H643" s="32" t="n">
        <x:f>IF(B643="Holiday",IF(Dashboard!$B$14="Interest Only",G643,F643),IF(B643="Closed",0,MIN(Dashboard!$F$10,E643+G643)))</x:f>
        <x:v>0</x:v>
      </x:c>
      <x:c r="I643" s="32" t="n">
        <x:f>IF(B643="Holiday",F643,IF(B643="Closed",0,MAX(0,H643-G643)))</x:f>
        <x:v>0</x:v>
      </x:c>
      <x:c r="J643" s="32" t="n">
        <x:f>IF(B643="Holiday",MAX(0,C643-F643),IF(B643="Closed",0,MAX(0,E643-I643)))</x:f>
        <x:v>0</x:v>
      </x:c>
      <x:c r="K643" s="32" t="n">
        <x:f>IF(B643="Holiday",IF(Dashboard!$B$14="Interest Only",D643,D643+G643),0)</x:f>
        <x:v>0</x:v>
      </x:c>
      <x:c r="L643" s="32" t="n">
        <x:f>J643+K643</x:f>
        <x:v>0</x:v>
      </x:c>
      <x:c r="M643" s="32" t="n">
        <x:f>IF(A643=1,H643,M642+H643)</x:f>
        <x:v>0</x:v>
      </x:c>
      <x:c r="N643" s="32" t="n">
        <x:f>IF(A643=1,I643,N642+I643)</x:f>
        <x:v>0</x:v>
      </x:c>
      <x:c r="O643" s="32" t="n">
        <x:f>IF(A643=1,G643,O642+G643)</x:f>
        <x:v>3671325</x:v>
      </x:c>
      <x:c r="P643" s="37" t="n">
        <x:f>EDATE(Dashboard!$B$10,A643)</x:f>
        <x:v>64559</x:v>
      </x:c>
    </x:row>
    <x:row r="644">
      <x:c r="A644" s="33" t="n">
        <x:v>643</x:v>
      </x:c>
      <x:c r="B644" s="33" t="str">
        <x:f>IF(A644&lt;=Dashboard!$F$8,"Holiday",IF(A644&lt;=Dashboard!$F$8+Dashboard!$F$7,"Repayment","Closed"))</x:f>
        <x:v>Closed</x:v>
      </x:c>
      <x:c r="C644" s="32">
        <x:f>IF(A644=1,Dashboard!$B$6,IF(B644="Holiday",J643,L643))</x:f>
      </x:c>
      <x:c r="D644" s="32">
        <x:f>IF(A644=1,0,IF(B644="Holiday",K643,0))</x:f>
      </x:c>
      <x:c r="E644" s="32">
        <x:f>C644+D644</x:f>
      </x:c>
      <x:c r="F644" s="32">
        <x:f>IF(B644="Holiday",IF(Dashboard!$B$14="Principal Only",MIN(Dashboard!$B$15,C644),0),0)</x:f>
      </x:c>
      <x:c r="G644" s="32" t="n">
        <x:f>IF(B644="Closed",0,IF(B644="Holiday",IF(Dashboard!$B$14="Interest Only",C644*Dashboard!$F$6,MAX(0,(C644-F644)*Dashboard!$F$6)),E644*Dashboard!$F$6))</x:f>
        <x:v>0</x:v>
      </x:c>
      <x:c r="H644" s="32" t="n">
        <x:f>IF(B644="Holiday",IF(Dashboard!$B$14="Interest Only",G644,F644),IF(B644="Closed",0,MIN(Dashboard!$F$10,E644+G644)))</x:f>
        <x:v>0</x:v>
      </x:c>
      <x:c r="I644" s="32" t="n">
        <x:f>IF(B644="Holiday",F644,IF(B644="Closed",0,MAX(0,H644-G644)))</x:f>
        <x:v>0</x:v>
      </x:c>
      <x:c r="J644" s="32" t="n">
        <x:f>IF(B644="Holiday",MAX(0,C644-F644),IF(B644="Closed",0,MAX(0,E644-I644)))</x:f>
        <x:v>0</x:v>
      </x:c>
      <x:c r="K644" s="32" t="n">
        <x:f>IF(B644="Holiday",IF(Dashboard!$B$14="Interest Only",D644,D644+G644),0)</x:f>
        <x:v>0</x:v>
      </x:c>
      <x:c r="L644" s="32" t="n">
        <x:f>J644+K644</x:f>
        <x:v>0</x:v>
      </x:c>
      <x:c r="M644" s="32" t="n">
        <x:f>IF(A644=1,H644,M643+H644)</x:f>
        <x:v>0</x:v>
      </x:c>
      <x:c r="N644" s="32" t="n">
        <x:f>IF(A644=1,I644,N643+I644)</x:f>
        <x:v>0</x:v>
      </x:c>
      <x:c r="O644" s="32" t="n">
        <x:f>IF(A644=1,G644,O643+G644)</x:f>
        <x:v>3671325</x:v>
      </x:c>
      <x:c r="P644" s="37" t="n">
        <x:f>EDATE(Dashboard!$B$10,A644)</x:f>
        <x:v>64590</x:v>
      </x:c>
    </x:row>
    <x:row r="645">
      <x:c r="A645" s="33" t="n">
        <x:v>644</x:v>
      </x:c>
      <x:c r="B645" s="33" t="str">
        <x:f>IF(A645&lt;=Dashboard!$F$8,"Holiday",IF(A645&lt;=Dashboard!$F$8+Dashboard!$F$7,"Repayment","Closed"))</x:f>
        <x:v>Closed</x:v>
      </x:c>
      <x:c r="C645" s="32">
        <x:f>IF(A645=1,Dashboard!$B$6,IF(B645="Holiday",J644,L644))</x:f>
      </x:c>
      <x:c r="D645" s="32">
        <x:f>IF(A645=1,0,IF(B645="Holiday",K644,0))</x:f>
      </x:c>
      <x:c r="E645" s="32">
        <x:f>C645+D645</x:f>
      </x:c>
      <x:c r="F645" s="32">
        <x:f>IF(B645="Holiday",IF(Dashboard!$B$14="Principal Only",MIN(Dashboard!$B$15,C645),0),0)</x:f>
      </x:c>
      <x:c r="G645" s="32" t="n">
        <x:f>IF(B645="Closed",0,IF(B645="Holiday",IF(Dashboard!$B$14="Interest Only",C645*Dashboard!$F$6,MAX(0,(C645-F645)*Dashboard!$F$6)),E645*Dashboard!$F$6))</x:f>
        <x:v>0</x:v>
      </x:c>
      <x:c r="H645" s="32" t="n">
        <x:f>IF(B645="Holiday",IF(Dashboard!$B$14="Interest Only",G645,F645),IF(B645="Closed",0,MIN(Dashboard!$F$10,E645+G645)))</x:f>
        <x:v>0</x:v>
      </x:c>
      <x:c r="I645" s="32" t="n">
        <x:f>IF(B645="Holiday",F645,IF(B645="Closed",0,MAX(0,H645-G645)))</x:f>
        <x:v>0</x:v>
      </x:c>
      <x:c r="J645" s="32" t="n">
        <x:f>IF(B645="Holiday",MAX(0,C645-F645),IF(B645="Closed",0,MAX(0,E645-I645)))</x:f>
        <x:v>0</x:v>
      </x:c>
      <x:c r="K645" s="32" t="n">
        <x:f>IF(B645="Holiday",IF(Dashboard!$B$14="Interest Only",D645,D645+G645),0)</x:f>
        <x:v>0</x:v>
      </x:c>
      <x:c r="L645" s="32" t="n">
        <x:f>J645+K645</x:f>
        <x:v>0</x:v>
      </x:c>
      <x:c r="M645" s="32" t="n">
        <x:f>IF(A645=1,H645,M644+H645)</x:f>
        <x:v>0</x:v>
      </x:c>
      <x:c r="N645" s="32" t="n">
        <x:f>IF(A645=1,I645,N644+I645)</x:f>
        <x:v>0</x:v>
      </x:c>
      <x:c r="O645" s="32" t="n">
        <x:f>IF(A645=1,G645,O644+G645)</x:f>
        <x:v>3671325</x:v>
      </x:c>
      <x:c r="P645" s="37" t="n">
        <x:f>EDATE(Dashboard!$B$10,A645)</x:f>
        <x:v>64620</x:v>
      </x:c>
    </x:row>
    <x:row r="646">
      <x:c r="A646" s="33" t="n">
        <x:v>645</x:v>
      </x:c>
      <x:c r="B646" s="33" t="str">
        <x:f>IF(A646&lt;=Dashboard!$F$8,"Holiday",IF(A646&lt;=Dashboard!$F$8+Dashboard!$F$7,"Repayment","Closed"))</x:f>
        <x:v>Closed</x:v>
      </x:c>
      <x:c r="C646" s="32">
        <x:f>IF(A646=1,Dashboard!$B$6,IF(B646="Holiday",J645,L645))</x:f>
      </x:c>
      <x:c r="D646" s="32">
        <x:f>IF(A646=1,0,IF(B646="Holiday",K645,0))</x:f>
      </x:c>
      <x:c r="E646" s="32">
        <x:f>C646+D646</x:f>
      </x:c>
      <x:c r="F646" s="32">
        <x:f>IF(B646="Holiday",IF(Dashboard!$B$14="Principal Only",MIN(Dashboard!$B$15,C646),0),0)</x:f>
      </x:c>
      <x:c r="G646" s="32" t="n">
        <x:f>IF(B646="Closed",0,IF(B646="Holiday",IF(Dashboard!$B$14="Interest Only",C646*Dashboard!$F$6,MAX(0,(C646-F646)*Dashboard!$F$6)),E646*Dashboard!$F$6))</x:f>
        <x:v>0</x:v>
      </x:c>
      <x:c r="H646" s="32" t="n">
        <x:f>IF(B646="Holiday",IF(Dashboard!$B$14="Interest Only",G646,F646),IF(B646="Closed",0,MIN(Dashboard!$F$10,E646+G646)))</x:f>
        <x:v>0</x:v>
      </x:c>
      <x:c r="I646" s="32" t="n">
        <x:f>IF(B646="Holiday",F646,IF(B646="Closed",0,MAX(0,H646-G646)))</x:f>
        <x:v>0</x:v>
      </x:c>
      <x:c r="J646" s="32" t="n">
        <x:f>IF(B646="Holiday",MAX(0,C646-F646),IF(B646="Closed",0,MAX(0,E646-I646)))</x:f>
        <x:v>0</x:v>
      </x:c>
      <x:c r="K646" s="32" t="n">
        <x:f>IF(B646="Holiday",IF(Dashboard!$B$14="Interest Only",D646,D646+G646),0)</x:f>
        <x:v>0</x:v>
      </x:c>
      <x:c r="L646" s="32" t="n">
        <x:f>J646+K646</x:f>
        <x:v>0</x:v>
      </x:c>
      <x:c r="M646" s="32" t="n">
        <x:f>IF(A646=1,H646,M645+H646)</x:f>
        <x:v>0</x:v>
      </x:c>
      <x:c r="N646" s="32" t="n">
        <x:f>IF(A646=1,I646,N645+I646)</x:f>
        <x:v>0</x:v>
      </x:c>
      <x:c r="O646" s="32" t="n">
        <x:f>IF(A646=1,G646,O645+G646)</x:f>
        <x:v>3671325</x:v>
      </x:c>
      <x:c r="P646" s="37" t="n">
        <x:f>EDATE(Dashboard!$B$10,A646)</x:f>
        <x:v>64651</x:v>
      </x:c>
    </x:row>
    <x:row r="647">
      <x:c r="A647" s="33" t="n">
        <x:v>646</x:v>
      </x:c>
      <x:c r="B647" s="33" t="str">
        <x:f>IF(A647&lt;=Dashboard!$F$8,"Holiday",IF(A647&lt;=Dashboard!$F$8+Dashboard!$F$7,"Repayment","Closed"))</x:f>
        <x:v>Closed</x:v>
      </x:c>
      <x:c r="C647" s="32">
        <x:f>IF(A647=1,Dashboard!$B$6,IF(B647="Holiday",J646,L646))</x:f>
      </x:c>
      <x:c r="D647" s="32">
        <x:f>IF(A647=1,0,IF(B647="Holiday",K646,0))</x:f>
      </x:c>
      <x:c r="E647" s="32">
        <x:f>C647+D647</x:f>
      </x:c>
      <x:c r="F647" s="32">
        <x:f>IF(B647="Holiday",IF(Dashboard!$B$14="Principal Only",MIN(Dashboard!$B$15,C647),0),0)</x:f>
      </x:c>
      <x:c r="G647" s="32" t="n">
        <x:f>IF(B647="Closed",0,IF(B647="Holiday",IF(Dashboard!$B$14="Interest Only",C647*Dashboard!$F$6,MAX(0,(C647-F647)*Dashboard!$F$6)),E647*Dashboard!$F$6))</x:f>
        <x:v>0</x:v>
      </x:c>
      <x:c r="H647" s="32" t="n">
        <x:f>IF(B647="Holiday",IF(Dashboard!$B$14="Interest Only",G647,F647),IF(B647="Closed",0,MIN(Dashboard!$F$10,E647+G647)))</x:f>
        <x:v>0</x:v>
      </x:c>
      <x:c r="I647" s="32" t="n">
        <x:f>IF(B647="Holiday",F647,IF(B647="Closed",0,MAX(0,H647-G647)))</x:f>
        <x:v>0</x:v>
      </x:c>
      <x:c r="J647" s="32" t="n">
        <x:f>IF(B647="Holiday",MAX(0,C647-F647),IF(B647="Closed",0,MAX(0,E647-I647)))</x:f>
        <x:v>0</x:v>
      </x:c>
      <x:c r="K647" s="32" t="n">
        <x:f>IF(B647="Holiday",IF(Dashboard!$B$14="Interest Only",D647,D647+G647),0)</x:f>
        <x:v>0</x:v>
      </x:c>
      <x:c r="L647" s="32" t="n">
        <x:f>J647+K647</x:f>
        <x:v>0</x:v>
      </x:c>
      <x:c r="M647" s="32" t="n">
        <x:f>IF(A647=1,H647,M646+H647)</x:f>
        <x:v>0</x:v>
      </x:c>
      <x:c r="N647" s="32" t="n">
        <x:f>IF(A647=1,I647,N646+I647)</x:f>
        <x:v>0</x:v>
      </x:c>
      <x:c r="O647" s="32" t="n">
        <x:f>IF(A647=1,G647,O646+G647)</x:f>
        <x:v>3671325</x:v>
      </x:c>
      <x:c r="P647" s="37" t="n">
        <x:f>EDATE(Dashboard!$B$10,A647)</x:f>
        <x:v>64682</x:v>
      </x:c>
    </x:row>
    <x:row r="648">
      <x:c r="A648" s="33" t="n">
        <x:v>647</x:v>
      </x:c>
      <x:c r="B648" s="33" t="str">
        <x:f>IF(A648&lt;=Dashboard!$F$8,"Holiday",IF(A648&lt;=Dashboard!$F$8+Dashboard!$F$7,"Repayment","Closed"))</x:f>
        <x:v>Closed</x:v>
      </x:c>
      <x:c r="C648" s="32">
        <x:f>IF(A648=1,Dashboard!$B$6,IF(B648="Holiday",J647,L647))</x:f>
      </x:c>
      <x:c r="D648" s="32">
        <x:f>IF(A648=1,0,IF(B648="Holiday",K647,0))</x:f>
      </x:c>
      <x:c r="E648" s="32">
        <x:f>C648+D648</x:f>
      </x:c>
      <x:c r="F648" s="32">
        <x:f>IF(B648="Holiday",IF(Dashboard!$B$14="Principal Only",MIN(Dashboard!$B$15,C648),0),0)</x:f>
      </x:c>
      <x:c r="G648" s="32" t="n">
        <x:f>IF(B648="Closed",0,IF(B648="Holiday",IF(Dashboard!$B$14="Interest Only",C648*Dashboard!$F$6,MAX(0,(C648-F648)*Dashboard!$F$6)),E648*Dashboard!$F$6))</x:f>
        <x:v>0</x:v>
      </x:c>
      <x:c r="H648" s="32" t="n">
        <x:f>IF(B648="Holiday",IF(Dashboard!$B$14="Interest Only",G648,F648),IF(B648="Closed",0,MIN(Dashboard!$F$10,E648+G648)))</x:f>
        <x:v>0</x:v>
      </x:c>
      <x:c r="I648" s="32" t="n">
        <x:f>IF(B648="Holiday",F648,IF(B648="Closed",0,MAX(0,H648-G648)))</x:f>
        <x:v>0</x:v>
      </x:c>
      <x:c r="J648" s="32" t="n">
        <x:f>IF(B648="Holiday",MAX(0,C648-F648),IF(B648="Closed",0,MAX(0,E648-I648)))</x:f>
        <x:v>0</x:v>
      </x:c>
      <x:c r="K648" s="32" t="n">
        <x:f>IF(B648="Holiday",IF(Dashboard!$B$14="Interest Only",D648,D648+G648),0)</x:f>
        <x:v>0</x:v>
      </x:c>
      <x:c r="L648" s="32" t="n">
        <x:f>J648+K648</x:f>
        <x:v>0</x:v>
      </x:c>
      <x:c r="M648" s="32" t="n">
        <x:f>IF(A648=1,H648,M647+H648)</x:f>
        <x:v>0</x:v>
      </x:c>
      <x:c r="N648" s="32" t="n">
        <x:f>IF(A648=1,I648,N647+I648)</x:f>
        <x:v>0</x:v>
      </x:c>
      <x:c r="O648" s="32" t="n">
        <x:f>IF(A648=1,G648,O647+G648)</x:f>
        <x:v>3671325</x:v>
      </x:c>
      <x:c r="P648" s="37" t="n">
        <x:f>EDATE(Dashboard!$B$10,A648)</x:f>
        <x:v>64710</x:v>
      </x:c>
    </x:row>
    <x:row r="649">
      <x:c r="A649" s="33" t="n">
        <x:v>648</x:v>
      </x:c>
      <x:c r="B649" s="33" t="str">
        <x:f>IF(A649&lt;=Dashboard!$F$8,"Holiday",IF(A649&lt;=Dashboard!$F$8+Dashboard!$F$7,"Repayment","Closed"))</x:f>
        <x:v>Closed</x:v>
      </x:c>
      <x:c r="C649" s="32">
        <x:f>IF(A649=1,Dashboard!$B$6,IF(B649="Holiday",J648,L648))</x:f>
      </x:c>
      <x:c r="D649" s="32">
        <x:f>IF(A649=1,0,IF(B649="Holiday",K648,0))</x:f>
      </x:c>
      <x:c r="E649" s="32">
        <x:f>C649+D649</x:f>
      </x:c>
      <x:c r="F649" s="32">
        <x:f>IF(B649="Holiday",IF(Dashboard!$B$14="Principal Only",MIN(Dashboard!$B$15,C649),0),0)</x:f>
      </x:c>
      <x:c r="G649" s="32" t="n">
        <x:f>IF(B649="Closed",0,IF(B649="Holiday",IF(Dashboard!$B$14="Interest Only",C649*Dashboard!$F$6,MAX(0,(C649-F649)*Dashboard!$F$6)),E649*Dashboard!$F$6))</x:f>
        <x:v>0</x:v>
      </x:c>
      <x:c r="H649" s="32" t="n">
        <x:f>IF(B649="Holiday",IF(Dashboard!$B$14="Interest Only",G649,F649),IF(B649="Closed",0,MIN(Dashboard!$F$10,E649+G649)))</x:f>
        <x:v>0</x:v>
      </x:c>
      <x:c r="I649" s="32" t="n">
        <x:f>IF(B649="Holiday",F649,IF(B649="Closed",0,MAX(0,H649-G649)))</x:f>
        <x:v>0</x:v>
      </x:c>
      <x:c r="J649" s="32" t="n">
        <x:f>IF(B649="Holiday",MAX(0,C649-F649),IF(B649="Closed",0,MAX(0,E649-I649)))</x:f>
        <x:v>0</x:v>
      </x:c>
      <x:c r="K649" s="32" t="n">
        <x:f>IF(B649="Holiday",IF(Dashboard!$B$14="Interest Only",D649,D649+G649),0)</x:f>
        <x:v>0</x:v>
      </x:c>
      <x:c r="L649" s="32" t="n">
        <x:f>J649+K649</x:f>
        <x:v>0</x:v>
      </x:c>
      <x:c r="M649" s="32" t="n">
        <x:f>IF(A649=1,H649,M648+H649)</x:f>
        <x:v>0</x:v>
      </x:c>
      <x:c r="N649" s="32" t="n">
        <x:f>IF(A649=1,I649,N648+I649)</x:f>
        <x:v>0</x:v>
      </x:c>
      <x:c r="O649" s="32" t="n">
        <x:f>IF(A649=1,G649,O648+G649)</x:f>
        <x:v>3671325</x:v>
      </x:c>
      <x:c r="P649" s="37" t="n">
        <x:f>EDATE(Dashboard!$B$10,A649)</x:f>
        <x:v>64741</x:v>
      </x:c>
    </x:row>
    <x:row r="650">
      <x:c r="A650" s="33" t="n">
        <x:v>649</x:v>
      </x:c>
      <x:c r="B650" s="33" t="str">
        <x:f>IF(A650&lt;=Dashboard!$F$8,"Holiday",IF(A650&lt;=Dashboard!$F$8+Dashboard!$F$7,"Repayment","Closed"))</x:f>
        <x:v>Closed</x:v>
      </x:c>
      <x:c r="C650" s="32">
        <x:f>IF(A650=1,Dashboard!$B$6,IF(B650="Holiday",J649,L649))</x:f>
      </x:c>
      <x:c r="D650" s="32">
        <x:f>IF(A650=1,0,IF(B650="Holiday",K649,0))</x:f>
      </x:c>
      <x:c r="E650" s="32">
        <x:f>C650+D650</x:f>
      </x:c>
      <x:c r="F650" s="32">
        <x:f>IF(B650="Holiday",IF(Dashboard!$B$14="Principal Only",MIN(Dashboard!$B$15,C650),0),0)</x:f>
      </x:c>
      <x:c r="G650" s="32" t="n">
        <x:f>IF(B650="Closed",0,IF(B650="Holiday",IF(Dashboard!$B$14="Interest Only",C650*Dashboard!$F$6,MAX(0,(C650-F650)*Dashboard!$F$6)),E650*Dashboard!$F$6))</x:f>
        <x:v>0</x:v>
      </x:c>
      <x:c r="H650" s="32" t="n">
        <x:f>IF(B650="Holiday",IF(Dashboard!$B$14="Interest Only",G650,F650),IF(B650="Closed",0,MIN(Dashboard!$F$10,E650+G650)))</x:f>
        <x:v>0</x:v>
      </x:c>
      <x:c r="I650" s="32" t="n">
        <x:f>IF(B650="Holiday",F650,IF(B650="Closed",0,MAX(0,H650-G650)))</x:f>
        <x:v>0</x:v>
      </x:c>
      <x:c r="J650" s="32" t="n">
        <x:f>IF(B650="Holiday",MAX(0,C650-F650),IF(B650="Closed",0,MAX(0,E650-I650)))</x:f>
        <x:v>0</x:v>
      </x:c>
      <x:c r="K650" s="32" t="n">
        <x:f>IF(B650="Holiday",IF(Dashboard!$B$14="Interest Only",D650,D650+G650),0)</x:f>
        <x:v>0</x:v>
      </x:c>
      <x:c r="L650" s="32" t="n">
        <x:f>J650+K650</x:f>
        <x:v>0</x:v>
      </x:c>
      <x:c r="M650" s="32" t="n">
        <x:f>IF(A650=1,H650,M649+H650)</x:f>
        <x:v>0</x:v>
      </x:c>
      <x:c r="N650" s="32" t="n">
        <x:f>IF(A650=1,I650,N649+I650)</x:f>
        <x:v>0</x:v>
      </x:c>
      <x:c r="O650" s="32" t="n">
        <x:f>IF(A650=1,G650,O649+G650)</x:f>
        <x:v>3671325</x:v>
      </x:c>
      <x:c r="P650" s="37" t="n">
        <x:f>EDATE(Dashboard!$B$10,A650)</x:f>
        <x:v>64771</x:v>
      </x:c>
    </x:row>
    <x:row r="651">
      <x:c r="A651" s="33" t="n">
        <x:v>650</x:v>
      </x:c>
      <x:c r="B651" s="33" t="str">
        <x:f>IF(A651&lt;=Dashboard!$F$8,"Holiday",IF(A651&lt;=Dashboard!$F$8+Dashboard!$F$7,"Repayment","Closed"))</x:f>
        <x:v>Closed</x:v>
      </x:c>
      <x:c r="C651" s="32">
        <x:f>IF(A651=1,Dashboard!$B$6,IF(B651="Holiday",J650,L650))</x:f>
      </x:c>
      <x:c r="D651" s="32">
        <x:f>IF(A651=1,0,IF(B651="Holiday",K650,0))</x:f>
      </x:c>
      <x:c r="E651" s="32">
        <x:f>C651+D651</x:f>
      </x:c>
      <x:c r="F651" s="32">
        <x:f>IF(B651="Holiday",IF(Dashboard!$B$14="Principal Only",MIN(Dashboard!$B$15,C651),0),0)</x:f>
      </x:c>
      <x:c r="G651" s="32" t="n">
        <x:f>IF(B651="Closed",0,IF(B651="Holiday",IF(Dashboard!$B$14="Interest Only",C651*Dashboard!$F$6,MAX(0,(C651-F651)*Dashboard!$F$6)),E651*Dashboard!$F$6))</x:f>
        <x:v>0</x:v>
      </x:c>
      <x:c r="H651" s="32" t="n">
        <x:f>IF(B651="Holiday",IF(Dashboard!$B$14="Interest Only",G651,F651),IF(B651="Closed",0,MIN(Dashboard!$F$10,E651+G651)))</x:f>
        <x:v>0</x:v>
      </x:c>
      <x:c r="I651" s="32" t="n">
        <x:f>IF(B651="Holiday",F651,IF(B651="Closed",0,MAX(0,H651-G651)))</x:f>
        <x:v>0</x:v>
      </x:c>
      <x:c r="J651" s="32" t="n">
        <x:f>IF(B651="Holiday",MAX(0,C651-F651),IF(B651="Closed",0,MAX(0,E651-I651)))</x:f>
        <x:v>0</x:v>
      </x:c>
      <x:c r="K651" s="32" t="n">
        <x:f>IF(B651="Holiday",IF(Dashboard!$B$14="Interest Only",D651,D651+G651),0)</x:f>
        <x:v>0</x:v>
      </x:c>
      <x:c r="L651" s="32" t="n">
        <x:f>J651+K651</x:f>
        <x:v>0</x:v>
      </x:c>
      <x:c r="M651" s="32" t="n">
        <x:f>IF(A651=1,H651,M650+H651)</x:f>
        <x:v>0</x:v>
      </x:c>
      <x:c r="N651" s="32" t="n">
        <x:f>IF(A651=1,I651,N650+I651)</x:f>
        <x:v>0</x:v>
      </x:c>
      <x:c r="O651" s="32" t="n">
        <x:f>IF(A651=1,G651,O650+G651)</x:f>
        <x:v>3671325</x:v>
      </x:c>
      <x:c r="P651" s="37" t="n">
        <x:f>EDATE(Dashboard!$B$10,A651)</x:f>
        <x:v>64802</x:v>
      </x:c>
    </x:row>
    <x:row r="652">
      <x:c r="A652" s="33" t="n">
        <x:v>651</x:v>
      </x:c>
      <x:c r="B652" s="33" t="str">
        <x:f>IF(A652&lt;=Dashboard!$F$8,"Holiday",IF(A652&lt;=Dashboard!$F$8+Dashboard!$F$7,"Repayment","Closed"))</x:f>
        <x:v>Closed</x:v>
      </x:c>
      <x:c r="C652" s="32">
        <x:f>IF(A652=1,Dashboard!$B$6,IF(B652="Holiday",J651,L651))</x:f>
      </x:c>
      <x:c r="D652" s="32">
        <x:f>IF(A652=1,0,IF(B652="Holiday",K651,0))</x:f>
      </x:c>
      <x:c r="E652" s="32">
        <x:f>C652+D652</x:f>
      </x:c>
      <x:c r="F652" s="32">
        <x:f>IF(B652="Holiday",IF(Dashboard!$B$14="Principal Only",MIN(Dashboard!$B$15,C652),0),0)</x:f>
      </x:c>
      <x:c r="G652" s="32" t="n">
        <x:f>IF(B652="Closed",0,IF(B652="Holiday",IF(Dashboard!$B$14="Interest Only",C652*Dashboard!$F$6,MAX(0,(C652-F652)*Dashboard!$F$6)),E652*Dashboard!$F$6))</x:f>
        <x:v>0</x:v>
      </x:c>
      <x:c r="H652" s="32" t="n">
        <x:f>IF(B652="Holiday",IF(Dashboard!$B$14="Interest Only",G652,F652),IF(B652="Closed",0,MIN(Dashboard!$F$10,E652+G652)))</x:f>
        <x:v>0</x:v>
      </x:c>
      <x:c r="I652" s="32" t="n">
        <x:f>IF(B652="Holiday",F652,IF(B652="Closed",0,MAX(0,H652-G652)))</x:f>
        <x:v>0</x:v>
      </x:c>
      <x:c r="J652" s="32" t="n">
        <x:f>IF(B652="Holiday",MAX(0,C652-F652),IF(B652="Closed",0,MAX(0,E652-I652)))</x:f>
        <x:v>0</x:v>
      </x:c>
      <x:c r="K652" s="32" t="n">
        <x:f>IF(B652="Holiday",IF(Dashboard!$B$14="Interest Only",D652,D652+G652),0)</x:f>
        <x:v>0</x:v>
      </x:c>
      <x:c r="L652" s="32" t="n">
        <x:f>J652+K652</x:f>
        <x:v>0</x:v>
      </x:c>
      <x:c r="M652" s="32" t="n">
        <x:f>IF(A652=1,H652,M651+H652)</x:f>
        <x:v>0</x:v>
      </x:c>
      <x:c r="N652" s="32" t="n">
        <x:f>IF(A652=1,I652,N651+I652)</x:f>
        <x:v>0</x:v>
      </x:c>
      <x:c r="O652" s="32" t="n">
        <x:f>IF(A652=1,G652,O651+G652)</x:f>
        <x:v>3671325</x:v>
      </x:c>
      <x:c r="P652" s="37" t="n">
        <x:f>EDATE(Dashboard!$B$10,A652)</x:f>
        <x:v>64832</x:v>
      </x:c>
    </x:row>
    <x:row r="653">
      <x:c r="A653" s="33" t="n">
        <x:v>652</x:v>
      </x:c>
      <x:c r="B653" s="33" t="str">
        <x:f>IF(A653&lt;=Dashboard!$F$8,"Holiday",IF(A653&lt;=Dashboard!$F$8+Dashboard!$F$7,"Repayment","Closed"))</x:f>
        <x:v>Closed</x:v>
      </x:c>
      <x:c r="C653" s="32">
        <x:f>IF(A653=1,Dashboard!$B$6,IF(B653="Holiday",J652,L652))</x:f>
      </x:c>
      <x:c r="D653" s="32">
        <x:f>IF(A653=1,0,IF(B653="Holiday",K652,0))</x:f>
      </x:c>
      <x:c r="E653" s="32">
        <x:f>C653+D653</x:f>
      </x:c>
      <x:c r="F653" s="32">
        <x:f>IF(B653="Holiday",IF(Dashboard!$B$14="Principal Only",MIN(Dashboard!$B$15,C653),0),0)</x:f>
      </x:c>
      <x:c r="G653" s="32" t="n">
        <x:f>IF(B653="Closed",0,IF(B653="Holiday",IF(Dashboard!$B$14="Interest Only",C653*Dashboard!$F$6,MAX(0,(C653-F653)*Dashboard!$F$6)),E653*Dashboard!$F$6))</x:f>
        <x:v>0</x:v>
      </x:c>
      <x:c r="H653" s="32" t="n">
        <x:f>IF(B653="Holiday",IF(Dashboard!$B$14="Interest Only",G653,F653),IF(B653="Closed",0,MIN(Dashboard!$F$10,E653+G653)))</x:f>
        <x:v>0</x:v>
      </x:c>
      <x:c r="I653" s="32" t="n">
        <x:f>IF(B653="Holiday",F653,IF(B653="Closed",0,MAX(0,H653-G653)))</x:f>
        <x:v>0</x:v>
      </x:c>
      <x:c r="J653" s="32" t="n">
        <x:f>IF(B653="Holiday",MAX(0,C653-F653),IF(B653="Closed",0,MAX(0,E653-I653)))</x:f>
        <x:v>0</x:v>
      </x:c>
      <x:c r="K653" s="32" t="n">
        <x:f>IF(B653="Holiday",IF(Dashboard!$B$14="Interest Only",D653,D653+G653),0)</x:f>
        <x:v>0</x:v>
      </x:c>
      <x:c r="L653" s="32" t="n">
        <x:f>J653+K653</x:f>
        <x:v>0</x:v>
      </x:c>
      <x:c r="M653" s="32" t="n">
        <x:f>IF(A653=1,H653,M652+H653)</x:f>
        <x:v>0</x:v>
      </x:c>
      <x:c r="N653" s="32" t="n">
        <x:f>IF(A653=1,I653,N652+I653)</x:f>
        <x:v>0</x:v>
      </x:c>
      <x:c r="O653" s="32" t="n">
        <x:f>IF(A653=1,G653,O652+G653)</x:f>
        <x:v>3671325</x:v>
      </x:c>
      <x:c r="P653" s="37" t="n">
        <x:f>EDATE(Dashboard!$B$10,A653)</x:f>
        <x:v>64863</x:v>
      </x:c>
    </x:row>
    <x:row r="654">
      <x:c r="A654" s="33" t="n">
        <x:v>653</x:v>
      </x:c>
      <x:c r="B654" s="33" t="str">
        <x:f>IF(A654&lt;=Dashboard!$F$8,"Holiday",IF(A654&lt;=Dashboard!$F$8+Dashboard!$F$7,"Repayment","Closed"))</x:f>
        <x:v>Closed</x:v>
      </x:c>
      <x:c r="C654" s="32">
        <x:f>IF(A654=1,Dashboard!$B$6,IF(B654="Holiday",J653,L653))</x:f>
      </x:c>
      <x:c r="D654" s="32">
        <x:f>IF(A654=1,0,IF(B654="Holiday",K653,0))</x:f>
      </x:c>
      <x:c r="E654" s="32">
        <x:f>C654+D654</x:f>
      </x:c>
      <x:c r="F654" s="32">
        <x:f>IF(B654="Holiday",IF(Dashboard!$B$14="Principal Only",MIN(Dashboard!$B$15,C654),0),0)</x:f>
      </x:c>
      <x:c r="G654" s="32" t="n">
        <x:f>IF(B654="Closed",0,IF(B654="Holiday",IF(Dashboard!$B$14="Interest Only",C654*Dashboard!$F$6,MAX(0,(C654-F654)*Dashboard!$F$6)),E654*Dashboard!$F$6))</x:f>
        <x:v>0</x:v>
      </x:c>
      <x:c r="H654" s="32" t="n">
        <x:f>IF(B654="Holiday",IF(Dashboard!$B$14="Interest Only",G654,F654),IF(B654="Closed",0,MIN(Dashboard!$F$10,E654+G654)))</x:f>
        <x:v>0</x:v>
      </x:c>
      <x:c r="I654" s="32" t="n">
        <x:f>IF(B654="Holiday",F654,IF(B654="Closed",0,MAX(0,H654-G654)))</x:f>
        <x:v>0</x:v>
      </x:c>
      <x:c r="J654" s="32" t="n">
        <x:f>IF(B654="Holiday",MAX(0,C654-F654),IF(B654="Closed",0,MAX(0,E654-I654)))</x:f>
        <x:v>0</x:v>
      </x:c>
      <x:c r="K654" s="32" t="n">
        <x:f>IF(B654="Holiday",IF(Dashboard!$B$14="Interest Only",D654,D654+G654),0)</x:f>
        <x:v>0</x:v>
      </x:c>
      <x:c r="L654" s="32" t="n">
        <x:f>J654+K654</x:f>
        <x:v>0</x:v>
      </x:c>
      <x:c r="M654" s="32" t="n">
        <x:f>IF(A654=1,H654,M653+H654)</x:f>
        <x:v>0</x:v>
      </x:c>
      <x:c r="N654" s="32" t="n">
        <x:f>IF(A654=1,I654,N653+I654)</x:f>
        <x:v>0</x:v>
      </x:c>
      <x:c r="O654" s="32" t="n">
        <x:f>IF(A654=1,G654,O653+G654)</x:f>
        <x:v>3671325</x:v>
      </x:c>
      <x:c r="P654" s="37" t="n">
        <x:f>EDATE(Dashboard!$B$10,A654)</x:f>
        <x:v>64894</x:v>
      </x:c>
    </x:row>
    <x:row r="655">
      <x:c r="A655" s="33" t="n">
        <x:v>654</x:v>
      </x:c>
      <x:c r="B655" s="33" t="str">
        <x:f>IF(A655&lt;=Dashboard!$F$8,"Holiday",IF(A655&lt;=Dashboard!$F$8+Dashboard!$F$7,"Repayment","Closed"))</x:f>
        <x:v>Closed</x:v>
      </x:c>
      <x:c r="C655" s="32">
        <x:f>IF(A655=1,Dashboard!$B$6,IF(B655="Holiday",J654,L654))</x:f>
      </x:c>
      <x:c r="D655" s="32">
        <x:f>IF(A655=1,0,IF(B655="Holiday",K654,0))</x:f>
      </x:c>
      <x:c r="E655" s="32">
        <x:f>C655+D655</x:f>
      </x:c>
      <x:c r="F655" s="32">
        <x:f>IF(B655="Holiday",IF(Dashboard!$B$14="Principal Only",MIN(Dashboard!$B$15,C655),0),0)</x:f>
      </x:c>
      <x:c r="G655" s="32" t="n">
        <x:f>IF(B655="Closed",0,IF(B655="Holiday",IF(Dashboard!$B$14="Interest Only",C655*Dashboard!$F$6,MAX(0,(C655-F655)*Dashboard!$F$6)),E655*Dashboard!$F$6))</x:f>
        <x:v>0</x:v>
      </x:c>
      <x:c r="H655" s="32" t="n">
        <x:f>IF(B655="Holiday",IF(Dashboard!$B$14="Interest Only",G655,F655),IF(B655="Closed",0,MIN(Dashboard!$F$10,E655+G655)))</x:f>
        <x:v>0</x:v>
      </x:c>
      <x:c r="I655" s="32" t="n">
        <x:f>IF(B655="Holiday",F655,IF(B655="Closed",0,MAX(0,H655-G655)))</x:f>
        <x:v>0</x:v>
      </x:c>
      <x:c r="J655" s="32" t="n">
        <x:f>IF(B655="Holiday",MAX(0,C655-F655),IF(B655="Closed",0,MAX(0,E655-I655)))</x:f>
        <x:v>0</x:v>
      </x:c>
      <x:c r="K655" s="32" t="n">
        <x:f>IF(B655="Holiday",IF(Dashboard!$B$14="Interest Only",D655,D655+G655),0)</x:f>
        <x:v>0</x:v>
      </x:c>
      <x:c r="L655" s="32" t="n">
        <x:f>J655+K655</x:f>
        <x:v>0</x:v>
      </x:c>
      <x:c r="M655" s="32" t="n">
        <x:f>IF(A655=1,H655,M654+H655)</x:f>
        <x:v>0</x:v>
      </x:c>
      <x:c r="N655" s="32" t="n">
        <x:f>IF(A655=1,I655,N654+I655)</x:f>
        <x:v>0</x:v>
      </x:c>
      <x:c r="O655" s="32" t="n">
        <x:f>IF(A655=1,G655,O654+G655)</x:f>
        <x:v>3671325</x:v>
      </x:c>
      <x:c r="P655" s="37" t="n">
        <x:f>EDATE(Dashboard!$B$10,A655)</x:f>
        <x:v>64924</x:v>
      </x:c>
    </x:row>
    <x:row r="656">
      <x:c r="A656" s="33" t="n">
        <x:v>655</x:v>
      </x:c>
      <x:c r="B656" s="33" t="str">
        <x:f>IF(A656&lt;=Dashboard!$F$8,"Holiday",IF(A656&lt;=Dashboard!$F$8+Dashboard!$F$7,"Repayment","Closed"))</x:f>
        <x:v>Closed</x:v>
      </x:c>
      <x:c r="C656" s="32">
        <x:f>IF(A656=1,Dashboard!$B$6,IF(B656="Holiday",J655,L655))</x:f>
      </x:c>
      <x:c r="D656" s="32">
        <x:f>IF(A656=1,0,IF(B656="Holiday",K655,0))</x:f>
      </x:c>
      <x:c r="E656" s="32">
        <x:f>C656+D656</x:f>
      </x:c>
      <x:c r="F656" s="32">
        <x:f>IF(B656="Holiday",IF(Dashboard!$B$14="Principal Only",MIN(Dashboard!$B$15,C656),0),0)</x:f>
      </x:c>
      <x:c r="G656" s="32" t="n">
        <x:f>IF(B656="Closed",0,IF(B656="Holiday",IF(Dashboard!$B$14="Interest Only",C656*Dashboard!$F$6,MAX(0,(C656-F656)*Dashboard!$F$6)),E656*Dashboard!$F$6))</x:f>
        <x:v>0</x:v>
      </x:c>
      <x:c r="H656" s="32" t="n">
        <x:f>IF(B656="Holiday",IF(Dashboard!$B$14="Interest Only",G656,F656),IF(B656="Closed",0,MIN(Dashboard!$F$10,E656+G656)))</x:f>
        <x:v>0</x:v>
      </x:c>
      <x:c r="I656" s="32" t="n">
        <x:f>IF(B656="Holiday",F656,IF(B656="Closed",0,MAX(0,H656-G656)))</x:f>
        <x:v>0</x:v>
      </x:c>
      <x:c r="J656" s="32" t="n">
        <x:f>IF(B656="Holiday",MAX(0,C656-F656),IF(B656="Closed",0,MAX(0,E656-I656)))</x:f>
        <x:v>0</x:v>
      </x:c>
      <x:c r="K656" s="32" t="n">
        <x:f>IF(B656="Holiday",IF(Dashboard!$B$14="Interest Only",D656,D656+G656),0)</x:f>
        <x:v>0</x:v>
      </x:c>
      <x:c r="L656" s="32" t="n">
        <x:f>J656+K656</x:f>
        <x:v>0</x:v>
      </x:c>
      <x:c r="M656" s="32" t="n">
        <x:f>IF(A656=1,H656,M655+H656)</x:f>
        <x:v>0</x:v>
      </x:c>
      <x:c r="N656" s="32" t="n">
        <x:f>IF(A656=1,I656,N655+I656)</x:f>
        <x:v>0</x:v>
      </x:c>
      <x:c r="O656" s="32" t="n">
        <x:f>IF(A656=1,G656,O655+G656)</x:f>
        <x:v>3671325</x:v>
      </x:c>
      <x:c r="P656" s="37" t="n">
        <x:f>EDATE(Dashboard!$B$10,A656)</x:f>
        <x:v>64955</x:v>
      </x:c>
    </x:row>
    <x:row r="657">
      <x:c r="A657" s="33" t="n">
        <x:v>656</x:v>
      </x:c>
      <x:c r="B657" s="33" t="str">
        <x:f>IF(A657&lt;=Dashboard!$F$8,"Holiday",IF(A657&lt;=Dashboard!$F$8+Dashboard!$F$7,"Repayment","Closed"))</x:f>
        <x:v>Closed</x:v>
      </x:c>
      <x:c r="C657" s="32">
        <x:f>IF(A657=1,Dashboard!$B$6,IF(B657="Holiday",J656,L656))</x:f>
      </x:c>
      <x:c r="D657" s="32">
        <x:f>IF(A657=1,0,IF(B657="Holiday",K656,0))</x:f>
      </x:c>
      <x:c r="E657" s="32">
        <x:f>C657+D657</x:f>
      </x:c>
      <x:c r="F657" s="32">
        <x:f>IF(B657="Holiday",IF(Dashboard!$B$14="Principal Only",MIN(Dashboard!$B$15,C657),0),0)</x:f>
      </x:c>
      <x:c r="G657" s="32" t="n">
        <x:f>IF(B657="Closed",0,IF(B657="Holiday",IF(Dashboard!$B$14="Interest Only",C657*Dashboard!$F$6,MAX(0,(C657-F657)*Dashboard!$F$6)),E657*Dashboard!$F$6))</x:f>
        <x:v>0</x:v>
      </x:c>
      <x:c r="H657" s="32" t="n">
        <x:f>IF(B657="Holiday",IF(Dashboard!$B$14="Interest Only",G657,F657),IF(B657="Closed",0,MIN(Dashboard!$F$10,E657+G657)))</x:f>
        <x:v>0</x:v>
      </x:c>
      <x:c r="I657" s="32" t="n">
        <x:f>IF(B657="Holiday",F657,IF(B657="Closed",0,MAX(0,H657-G657)))</x:f>
        <x:v>0</x:v>
      </x:c>
      <x:c r="J657" s="32" t="n">
        <x:f>IF(B657="Holiday",MAX(0,C657-F657),IF(B657="Closed",0,MAX(0,E657-I657)))</x:f>
        <x:v>0</x:v>
      </x:c>
      <x:c r="K657" s="32" t="n">
        <x:f>IF(B657="Holiday",IF(Dashboard!$B$14="Interest Only",D657,D657+G657),0)</x:f>
        <x:v>0</x:v>
      </x:c>
      <x:c r="L657" s="32" t="n">
        <x:f>J657+K657</x:f>
        <x:v>0</x:v>
      </x:c>
      <x:c r="M657" s="32" t="n">
        <x:f>IF(A657=1,H657,M656+H657)</x:f>
        <x:v>0</x:v>
      </x:c>
      <x:c r="N657" s="32" t="n">
        <x:f>IF(A657=1,I657,N656+I657)</x:f>
        <x:v>0</x:v>
      </x:c>
      <x:c r="O657" s="32" t="n">
        <x:f>IF(A657=1,G657,O656+G657)</x:f>
        <x:v>3671325</x:v>
      </x:c>
      <x:c r="P657" s="37" t="n">
        <x:f>EDATE(Dashboard!$B$10,A657)</x:f>
        <x:v>64985</x:v>
      </x:c>
    </x:row>
    <x:row r="658">
      <x:c r="A658" s="33" t="n">
        <x:v>657</x:v>
      </x:c>
      <x:c r="B658" s="33" t="str">
        <x:f>IF(A658&lt;=Dashboard!$F$8,"Holiday",IF(A658&lt;=Dashboard!$F$8+Dashboard!$F$7,"Repayment","Closed"))</x:f>
        <x:v>Closed</x:v>
      </x:c>
      <x:c r="C658" s="32">
        <x:f>IF(A658=1,Dashboard!$B$6,IF(B658="Holiday",J657,L657))</x:f>
      </x:c>
      <x:c r="D658" s="32">
        <x:f>IF(A658=1,0,IF(B658="Holiday",K657,0))</x:f>
      </x:c>
      <x:c r="E658" s="32">
        <x:f>C658+D658</x:f>
      </x:c>
      <x:c r="F658" s="32">
        <x:f>IF(B658="Holiday",IF(Dashboard!$B$14="Principal Only",MIN(Dashboard!$B$15,C658),0),0)</x:f>
      </x:c>
      <x:c r="G658" s="32" t="n">
        <x:f>IF(B658="Closed",0,IF(B658="Holiday",IF(Dashboard!$B$14="Interest Only",C658*Dashboard!$F$6,MAX(0,(C658-F658)*Dashboard!$F$6)),E658*Dashboard!$F$6))</x:f>
        <x:v>0</x:v>
      </x:c>
      <x:c r="H658" s="32" t="n">
        <x:f>IF(B658="Holiday",IF(Dashboard!$B$14="Interest Only",G658,F658),IF(B658="Closed",0,MIN(Dashboard!$F$10,E658+G658)))</x:f>
        <x:v>0</x:v>
      </x:c>
      <x:c r="I658" s="32" t="n">
        <x:f>IF(B658="Holiday",F658,IF(B658="Closed",0,MAX(0,H658-G658)))</x:f>
        <x:v>0</x:v>
      </x:c>
      <x:c r="J658" s="32" t="n">
        <x:f>IF(B658="Holiday",MAX(0,C658-F658),IF(B658="Closed",0,MAX(0,E658-I658)))</x:f>
        <x:v>0</x:v>
      </x:c>
      <x:c r="K658" s="32" t="n">
        <x:f>IF(B658="Holiday",IF(Dashboard!$B$14="Interest Only",D658,D658+G658),0)</x:f>
        <x:v>0</x:v>
      </x:c>
      <x:c r="L658" s="32" t="n">
        <x:f>J658+K658</x:f>
        <x:v>0</x:v>
      </x:c>
      <x:c r="M658" s="32" t="n">
        <x:f>IF(A658=1,H658,M657+H658)</x:f>
        <x:v>0</x:v>
      </x:c>
      <x:c r="N658" s="32" t="n">
        <x:f>IF(A658=1,I658,N657+I658)</x:f>
        <x:v>0</x:v>
      </x:c>
      <x:c r="O658" s="32" t="n">
        <x:f>IF(A658=1,G658,O657+G658)</x:f>
        <x:v>3671325</x:v>
      </x:c>
      <x:c r="P658" s="37" t="n">
        <x:f>EDATE(Dashboard!$B$10,A658)</x:f>
        <x:v>65016</x:v>
      </x:c>
    </x:row>
    <x:row r="659">
      <x:c r="A659" s="33" t="n">
        <x:v>658</x:v>
      </x:c>
      <x:c r="B659" s="33" t="str">
        <x:f>IF(A659&lt;=Dashboard!$F$8,"Holiday",IF(A659&lt;=Dashboard!$F$8+Dashboard!$F$7,"Repayment","Closed"))</x:f>
        <x:v>Closed</x:v>
      </x:c>
      <x:c r="C659" s="32">
        <x:f>IF(A659=1,Dashboard!$B$6,IF(B659="Holiday",J658,L658))</x:f>
      </x:c>
      <x:c r="D659" s="32">
        <x:f>IF(A659=1,0,IF(B659="Holiday",K658,0))</x:f>
      </x:c>
      <x:c r="E659" s="32">
        <x:f>C659+D659</x:f>
      </x:c>
      <x:c r="F659" s="32">
        <x:f>IF(B659="Holiday",IF(Dashboard!$B$14="Principal Only",MIN(Dashboard!$B$15,C659),0),0)</x:f>
      </x:c>
      <x:c r="G659" s="32" t="n">
        <x:f>IF(B659="Closed",0,IF(B659="Holiday",IF(Dashboard!$B$14="Interest Only",C659*Dashboard!$F$6,MAX(0,(C659-F659)*Dashboard!$F$6)),E659*Dashboard!$F$6))</x:f>
        <x:v>0</x:v>
      </x:c>
      <x:c r="H659" s="32" t="n">
        <x:f>IF(B659="Holiday",IF(Dashboard!$B$14="Interest Only",G659,F659),IF(B659="Closed",0,MIN(Dashboard!$F$10,E659+G659)))</x:f>
        <x:v>0</x:v>
      </x:c>
      <x:c r="I659" s="32" t="n">
        <x:f>IF(B659="Holiday",F659,IF(B659="Closed",0,MAX(0,H659-G659)))</x:f>
        <x:v>0</x:v>
      </x:c>
      <x:c r="J659" s="32" t="n">
        <x:f>IF(B659="Holiday",MAX(0,C659-F659),IF(B659="Closed",0,MAX(0,E659-I659)))</x:f>
        <x:v>0</x:v>
      </x:c>
      <x:c r="K659" s="32" t="n">
        <x:f>IF(B659="Holiday",IF(Dashboard!$B$14="Interest Only",D659,D659+G659),0)</x:f>
        <x:v>0</x:v>
      </x:c>
      <x:c r="L659" s="32" t="n">
        <x:f>J659+K659</x:f>
        <x:v>0</x:v>
      </x:c>
      <x:c r="M659" s="32" t="n">
        <x:f>IF(A659=1,H659,M658+H659)</x:f>
        <x:v>0</x:v>
      </x:c>
      <x:c r="N659" s="32" t="n">
        <x:f>IF(A659=1,I659,N658+I659)</x:f>
        <x:v>0</x:v>
      </x:c>
      <x:c r="O659" s="32" t="n">
        <x:f>IF(A659=1,G659,O658+G659)</x:f>
        <x:v>3671325</x:v>
      </x:c>
      <x:c r="P659" s="37" t="n">
        <x:f>EDATE(Dashboard!$B$10,A659)</x:f>
        <x:v>65047</x:v>
      </x:c>
    </x:row>
    <x:row r="660">
      <x:c r="A660" s="33" t="n">
        <x:v>659</x:v>
      </x:c>
      <x:c r="B660" s="33" t="str">
        <x:f>IF(A660&lt;=Dashboard!$F$8,"Holiday",IF(A660&lt;=Dashboard!$F$8+Dashboard!$F$7,"Repayment","Closed"))</x:f>
        <x:v>Closed</x:v>
      </x:c>
      <x:c r="C660" s="32">
        <x:f>IF(A660=1,Dashboard!$B$6,IF(B660="Holiday",J659,L659))</x:f>
      </x:c>
      <x:c r="D660" s="32">
        <x:f>IF(A660=1,0,IF(B660="Holiday",K659,0))</x:f>
      </x:c>
      <x:c r="E660" s="32">
        <x:f>C660+D660</x:f>
      </x:c>
      <x:c r="F660" s="32">
        <x:f>IF(B660="Holiday",IF(Dashboard!$B$14="Principal Only",MIN(Dashboard!$B$15,C660),0),0)</x:f>
      </x:c>
      <x:c r="G660" s="32" t="n">
        <x:f>IF(B660="Closed",0,IF(B660="Holiday",IF(Dashboard!$B$14="Interest Only",C660*Dashboard!$F$6,MAX(0,(C660-F660)*Dashboard!$F$6)),E660*Dashboard!$F$6))</x:f>
        <x:v>0</x:v>
      </x:c>
      <x:c r="H660" s="32" t="n">
        <x:f>IF(B660="Holiday",IF(Dashboard!$B$14="Interest Only",G660,F660),IF(B660="Closed",0,MIN(Dashboard!$F$10,E660+G660)))</x:f>
        <x:v>0</x:v>
      </x:c>
      <x:c r="I660" s="32" t="n">
        <x:f>IF(B660="Holiday",F660,IF(B660="Closed",0,MAX(0,H660-G660)))</x:f>
        <x:v>0</x:v>
      </x:c>
      <x:c r="J660" s="32" t="n">
        <x:f>IF(B660="Holiday",MAX(0,C660-F660),IF(B660="Closed",0,MAX(0,E660-I660)))</x:f>
        <x:v>0</x:v>
      </x:c>
      <x:c r="K660" s="32" t="n">
        <x:f>IF(B660="Holiday",IF(Dashboard!$B$14="Interest Only",D660,D660+G660),0)</x:f>
        <x:v>0</x:v>
      </x:c>
      <x:c r="L660" s="32" t="n">
        <x:f>J660+K660</x:f>
        <x:v>0</x:v>
      </x:c>
      <x:c r="M660" s="32" t="n">
        <x:f>IF(A660=1,H660,M659+H660)</x:f>
        <x:v>0</x:v>
      </x:c>
      <x:c r="N660" s="32" t="n">
        <x:f>IF(A660=1,I660,N659+I660)</x:f>
        <x:v>0</x:v>
      </x:c>
      <x:c r="O660" s="32" t="n">
        <x:f>IF(A660=1,G660,O659+G660)</x:f>
        <x:v>3671325</x:v>
      </x:c>
      <x:c r="P660" s="37" t="n">
        <x:f>EDATE(Dashboard!$B$10,A660)</x:f>
        <x:v>65075</x:v>
      </x:c>
    </x:row>
    <x:row r="661">
      <x:c r="A661" s="33" t="n">
        <x:v>660</x:v>
      </x:c>
      <x:c r="B661" s="33" t="str">
        <x:f>IF(A661&lt;=Dashboard!$F$8,"Holiday",IF(A661&lt;=Dashboard!$F$8+Dashboard!$F$7,"Repayment","Closed"))</x:f>
        <x:v>Closed</x:v>
      </x:c>
      <x:c r="C661" s="32">
        <x:f>IF(A661=1,Dashboard!$B$6,IF(B661="Holiday",J660,L660))</x:f>
      </x:c>
      <x:c r="D661" s="32">
        <x:f>IF(A661=1,0,IF(B661="Holiday",K660,0))</x:f>
      </x:c>
      <x:c r="E661" s="32">
        <x:f>C661+D661</x:f>
      </x:c>
      <x:c r="F661" s="32">
        <x:f>IF(B661="Holiday",IF(Dashboard!$B$14="Principal Only",MIN(Dashboard!$B$15,C661),0),0)</x:f>
      </x:c>
      <x:c r="G661" s="32" t="n">
        <x:f>IF(B661="Closed",0,IF(B661="Holiday",IF(Dashboard!$B$14="Interest Only",C661*Dashboard!$F$6,MAX(0,(C661-F661)*Dashboard!$F$6)),E661*Dashboard!$F$6))</x:f>
        <x:v>0</x:v>
      </x:c>
      <x:c r="H661" s="32" t="n">
        <x:f>IF(B661="Holiday",IF(Dashboard!$B$14="Interest Only",G661,F661),IF(B661="Closed",0,MIN(Dashboard!$F$10,E661+G661)))</x:f>
        <x:v>0</x:v>
      </x:c>
      <x:c r="I661" s="32" t="n">
        <x:f>IF(B661="Holiday",F661,IF(B661="Closed",0,MAX(0,H661-G661)))</x:f>
        <x:v>0</x:v>
      </x:c>
      <x:c r="J661" s="32" t="n">
        <x:f>IF(B661="Holiday",MAX(0,C661-F661),IF(B661="Closed",0,MAX(0,E661-I661)))</x:f>
        <x:v>0</x:v>
      </x:c>
      <x:c r="K661" s="32" t="n">
        <x:f>IF(B661="Holiday",IF(Dashboard!$B$14="Interest Only",D661,D661+G661),0)</x:f>
        <x:v>0</x:v>
      </x:c>
      <x:c r="L661" s="32" t="n">
        <x:f>J661+K661</x:f>
        <x:v>0</x:v>
      </x:c>
      <x:c r="M661" s="32" t="n">
        <x:f>IF(A661=1,H661,M660+H661)</x:f>
        <x:v>0</x:v>
      </x:c>
      <x:c r="N661" s="32" t="n">
        <x:f>IF(A661=1,I661,N660+I661)</x:f>
        <x:v>0</x:v>
      </x:c>
      <x:c r="O661" s="32" t="n">
        <x:f>IF(A661=1,G661,O660+G661)</x:f>
        <x:v>3671325</x:v>
      </x:c>
      <x:c r="P661" s="37" t="n">
        <x:f>EDATE(Dashboard!$B$10,A661)</x:f>
        <x:v>65106</x:v>
      </x:c>
    </x:row>
    <x:row r="662">
      <x:c r="A662" s="33" t="n">
        <x:v>661</x:v>
      </x:c>
      <x:c r="B662" s="33" t="str">
        <x:f>IF(A662&lt;=Dashboard!$F$8,"Holiday",IF(A662&lt;=Dashboard!$F$8+Dashboard!$F$7,"Repayment","Closed"))</x:f>
        <x:v>Closed</x:v>
      </x:c>
      <x:c r="C662" s="32">
        <x:f>IF(A662=1,Dashboard!$B$6,IF(B662="Holiday",J661,L661))</x:f>
      </x:c>
      <x:c r="D662" s="32">
        <x:f>IF(A662=1,0,IF(B662="Holiday",K661,0))</x:f>
      </x:c>
      <x:c r="E662" s="32">
        <x:f>C662+D662</x:f>
      </x:c>
      <x:c r="F662" s="32">
        <x:f>IF(B662="Holiday",IF(Dashboard!$B$14="Principal Only",MIN(Dashboard!$B$15,C662),0),0)</x:f>
      </x:c>
      <x:c r="G662" s="32" t="n">
        <x:f>IF(B662="Closed",0,IF(B662="Holiday",IF(Dashboard!$B$14="Interest Only",C662*Dashboard!$F$6,MAX(0,(C662-F662)*Dashboard!$F$6)),E662*Dashboard!$F$6))</x:f>
        <x:v>0</x:v>
      </x:c>
      <x:c r="H662" s="32" t="n">
        <x:f>IF(B662="Holiday",IF(Dashboard!$B$14="Interest Only",G662,F662),IF(B662="Closed",0,MIN(Dashboard!$F$10,E662+G662)))</x:f>
        <x:v>0</x:v>
      </x:c>
      <x:c r="I662" s="32" t="n">
        <x:f>IF(B662="Holiday",F662,IF(B662="Closed",0,MAX(0,H662-G662)))</x:f>
        <x:v>0</x:v>
      </x:c>
      <x:c r="J662" s="32" t="n">
        <x:f>IF(B662="Holiday",MAX(0,C662-F662),IF(B662="Closed",0,MAX(0,E662-I662)))</x:f>
        <x:v>0</x:v>
      </x:c>
      <x:c r="K662" s="32" t="n">
        <x:f>IF(B662="Holiday",IF(Dashboard!$B$14="Interest Only",D662,D662+G662),0)</x:f>
        <x:v>0</x:v>
      </x:c>
      <x:c r="L662" s="32" t="n">
        <x:f>J662+K662</x:f>
        <x:v>0</x:v>
      </x:c>
      <x:c r="M662" s="32" t="n">
        <x:f>IF(A662=1,H662,M661+H662)</x:f>
        <x:v>0</x:v>
      </x:c>
      <x:c r="N662" s="32" t="n">
        <x:f>IF(A662=1,I662,N661+I662)</x:f>
        <x:v>0</x:v>
      </x:c>
      <x:c r="O662" s="32" t="n">
        <x:f>IF(A662=1,G662,O661+G662)</x:f>
        <x:v>3671325</x:v>
      </x:c>
      <x:c r="P662" s="37" t="n">
        <x:f>EDATE(Dashboard!$B$10,A662)</x:f>
        <x:v>65136</x:v>
      </x:c>
    </x:row>
    <x:row r="663">
      <x:c r="A663" s="33" t="n">
        <x:v>662</x:v>
      </x:c>
      <x:c r="B663" s="33" t="str">
        <x:f>IF(A663&lt;=Dashboard!$F$8,"Holiday",IF(A663&lt;=Dashboard!$F$8+Dashboard!$F$7,"Repayment","Closed"))</x:f>
        <x:v>Closed</x:v>
      </x:c>
      <x:c r="C663" s="32">
        <x:f>IF(A663=1,Dashboard!$B$6,IF(B663="Holiday",J662,L662))</x:f>
      </x:c>
      <x:c r="D663" s="32">
        <x:f>IF(A663=1,0,IF(B663="Holiday",K662,0))</x:f>
      </x:c>
      <x:c r="E663" s="32">
        <x:f>C663+D663</x:f>
      </x:c>
      <x:c r="F663" s="32">
        <x:f>IF(B663="Holiday",IF(Dashboard!$B$14="Principal Only",MIN(Dashboard!$B$15,C663),0),0)</x:f>
      </x:c>
      <x:c r="G663" s="32" t="n">
        <x:f>IF(B663="Closed",0,IF(B663="Holiday",IF(Dashboard!$B$14="Interest Only",C663*Dashboard!$F$6,MAX(0,(C663-F663)*Dashboard!$F$6)),E663*Dashboard!$F$6))</x:f>
        <x:v>0</x:v>
      </x:c>
      <x:c r="H663" s="32" t="n">
        <x:f>IF(B663="Holiday",IF(Dashboard!$B$14="Interest Only",G663,F663),IF(B663="Closed",0,MIN(Dashboard!$F$10,E663+G663)))</x:f>
        <x:v>0</x:v>
      </x:c>
      <x:c r="I663" s="32" t="n">
        <x:f>IF(B663="Holiday",F663,IF(B663="Closed",0,MAX(0,H663-G663)))</x:f>
        <x:v>0</x:v>
      </x:c>
      <x:c r="J663" s="32" t="n">
        <x:f>IF(B663="Holiday",MAX(0,C663-F663),IF(B663="Closed",0,MAX(0,E663-I663)))</x:f>
        <x:v>0</x:v>
      </x:c>
      <x:c r="K663" s="32" t="n">
        <x:f>IF(B663="Holiday",IF(Dashboard!$B$14="Interest Only",D663,D663+G663),0)</x:f>
        <x:v>0</x:v>
      </x:c>
      <x:c r="L663" s="32" t="n">
        <x:f>J663+K663</x:f>
        <x:v>0</x:v>
      </x:c>
      <x:c r="M663" s="32" t="n">
        <x:f>IF(A663=1,H663,M662+H663)</x:f>
        <x:v>0</x:v>
      </x:c>
      <x:c r="N663" s="32" t="n">
        <x:f>IF(A663=1,I663,N662+I663)</x:f>
        <x:v>0</x:v>
      </x:c>
      <x:c r="O663" s="32" t="n">
        <x:f>IF(A663=1,G663,O662+G663)</x:f>
        <x:v>3671325</x:v>
      </x:c>
      <x:c r="P663" s="37" t="n">
        <x:f>EDATE(Dashboard!$B$10,A663)</x:f>
        <x:v>65167</x:v>
      </x:c>
    </x:row>
    <x:row r="664">
      <x:c r="A664" s="33" t="n">
        <x:v>663</x:v>
      </x:c>
      <x:c r="B664" s="33" t="str">
        <x:f>IF(A664&lt;=Dashboard!$F$8,"Holiday",IF(A664&lt;=Dashboard!$F$8+Dashboard!$F$7,"Repayment","Closed"))</x:f>
        <x:v>Closed</x:v>
      </x:c>
      <x:c r="C664" s="32">
        <x:f>IF(A664=1,Dashboard!$B$6,IF(B664="Holiday",J663,L663))</x:f>
      </x:c>
      <x:c r="D664" s="32">
        <x:f>IF(A664=1,0,IF(B664="Holiday",K663,0))</x:f>
      </x:c>
      <x:c r="E664" s="32">
        <x:f>C664+D664</x:f>
      </x:c>
      <x:c r="F664" s="32">
        <x:f>IF(B664="Holiday",IF(Dashboard!$B$14="Principal Only",MIN(Dashboard!$B$15,C664),0),0)</x:f>
      </x:c>
      <x:c r="G664" s="32" t="n">
        <x:f>IF(B664="Closed",0,IF(B664="Holiday",IF(Dashboard!$B$14="Interest Only",C664*Dashboard!$F$6,MAX(0,(C664-F664)*Dashboard!$F$6)),E664*Dashboard!$F$6))</x:f>
        <x:v>0</x:v>
      </x:c>
      <x:c r="H664" s="32" t="n">
        <x:f>IF(B664="Holiday",IF(Dashboard!$B$14="Interest Only",G664,F664),IF(B664="Closed",0,MIN(Dashboard!$F$10,E664+G664)))</x:f>
        <x:v>0</x:v>
      </x:c>
      <x:c r="I664" s="32" t="n">
        <x:f>IF(B664="Holiday",F664,IF(B664="Closed",0,MAX(0,H664-G664)))</x:f>
        <x:v>0</x:v>
      </x:c>
      <x:c r="J664" s="32" t="n">
        <x:f>IF(B664="Holiday",MAX(0,C664-F664),IF(B664="Closed",0,MAX(0,E664-I664)))</x:f>
        <x:v>0</x:v>
      </x:c>
      <x:c r="K664" s="32" t="n">
        <x:f>IF(B664="Holiday",IF(Dashboard!$B$14="Interest Only",D664,D664+G664),0)</x:f>
        <x:v>0</x:v>
      </x:c>
      <x:c r="L664" s="32" t="n">
        <x:f>J664+K664</x:f>
        <x:v>0</x:v>
      </x:c>
      <x:c r="M664" s="32" t="n">
        <x:f>IF(A664=1,H664,M663+H664)</x:f>
        <x:v>0</x:v>
      </x:c>
      <x:c r="N664" s="32" t="n">
        <x:f>IF(A664=1,I664,N663+I664)</x:f>
        <x:v>0</x:v>
      </x:c>
      <x:c r="O664" s="32" t="n">
        <x:f>IF(A664=1,G664,O663+G664)</x:f>
        <x:v>3671325</x:v>
      </x:c>
      <x:c r="P664" s="37" t="n">
        <x:f>EDATE(Dashboard!$B$10,A664)</x:f>
        <x:v>65197</x:v>
      </x:c>
    </x:row>
    <x:row r="665">
      <x:c r="A665" s="33" t="n">
        <x:v>664</x:v>
      </x:c>
      <x:c r="B665" s="33" t="str">
        <x:f>IF(A665&lt;=Dashboard!$F$8,"Holiday",IF(A665&lt;=Dashboard!$F$8+Dashboard!$F$7,"Repayment","Closed"))</x:f>
        <x:v>Closed</x:v>
      </x:c>
      <x:c r="C665" s="32">
        <x:f>IF(A665=1,Dashboard!$B$6,IF(B665="Holiday",J664,L664))</x:f>
      </x:c>
      <x:c r="D665" s="32">
        <x:f>IF(A665=1,0,IF(B665="Holiday",K664,0))</x:f>
      </x:c>
      <x:c r="E665" s="32">
        <x:f>C665+D665</x:f>
      </x:c>
      <x:c r="F665" s="32">
        <x:f>IF(B665="Holiday",IF(Dashboard!$B$14="Principal Only",MIN(Dashboard!$B$15,C665),0),0)</x:f>
      </x:c>
      <x:c r="G665" s="32" t="n">
        <x:f>IF(B665="Closed",0,IF(B665="Holiday",IF(Dashboard!$B$14="Interest Only",C665*Dashboard!$F$6,MAX(0,(C665-F665)*Dashboard!$F$6)),E665*Dashboard!$F$6))</x:f>
        <x:v>0</x:v>
      </x:c>
      <x:c r="H665" s="32" t="n">
        <x:f>IF(B665="Holiday",IF(Dashboard!$B$14="Interest Only",G665,F665),IF(B665="Closed",0,MIN(Dashboard!$F$10,E665+G665)))</x:f>
        <x:v>0</x:v>
      </x:c>
      <x:c r="I665" s="32" t="n">
        <x:f>IF(B665="Holiday",F665,IF(B665="Closed",0,MAX(0,H665-G665)))</x:f>
        <x:v>0</x:v>
      </x:c>
      <x:c r="J665" s="32" t="n">
        <x:f>IF(B665="Holiday",MAX(0,C665-F665),IF(B665="Closed",0,MAX(0,E665-I665)))</x:f>
        <x:v>0</x:v>
      </x:c>
      <x:c r="K665" s="32" t="n">
        <x:f>IF(B665="Holiday",IF(Dashboard!$B$14="Interest Only",D665,D665+G665),0)</x:f>
        <x:v>0</x:v>
      </x:c>
      <x:c r="L665" s="32" t="n">
        <x:f>J665+K665</x:f>
        <x:v>0</x:v>
      </x:c>
      <x:c r="M665" s="32" t="n">
        <x:f>IF(A665=1,H665,M664+H665)</x:f>
        <x:v>0</x:v>
      </x:c>
      <x:c r="N665" s="32" t="n">
        <x:f>IF(A665=1,I665,N664+I665)</x:f>
        <x:v>0</x:v>
      </x:c>
      <x:c r="O665" s="32" t="n">
        <x:f>IF(A665=1,G665,O664+G665)</x:f>
        <x:v>3671325</x:v>
      </x:c>
      <x:c r="P665" s="37" t="n">
        <x:f>EDATE(Dashboard!$B$10,A665)</x:f>
        <x:v>65228</x:v>
      </x:c>
    </x:row>
    <x:row r="666">
      <x:c r="A666" s="33" t="n">
        <x:v>665</x:v>
      </x:c>
      <x:c r="B666" s="33" t="str">
        <x:f>IF(A666&lt;=Dashboard!$F$8,"Holiday",IF(A666&lt;=Dashboard!$F$8+Dashboard!$F$7,"Repayment","Closed"))</x:f>
        <x:v>Closed</x:v>
      </x:c>
      <x:c r="C666" s="32">
        <x:f>IF(A666=1,Dashboard!$B$6,IF(B666="Holiday",J665,L665))</x:f>
      </x:c>
      <x:c r="D666" s="32">
        <x:f>IF(A666=1,0,IF(B666="Holiday",K665,0))</x:f>
      </x:c>
      <x:c r="E666" s="32">
        <x:f>C666+D666</x:f>
      </x:c>
      <x:c r="F666" s="32">
        <x:f>IF(B666="Holiday",IF(Dashboard!$B$14="Principal Only",MIN(Dashboard!$B$15,C666),0),0)</x:f>
      </x:c>
      <x:c r="G666" s="32" t="n">
        <x:f>IF(B666="Closed",0,IF(B666="Holiday",IF(Dashboard!$B$14="Interest Only",C666*Dashboard!$F$6,MAX(0,(C666-F666)*Dashboard!$F$6)),E666*Dashboard!$F$6))</x:f>
        <x:v>0</x:v>
      </x:c>
      <x:c r="H666" s="32" t="n">
        <x:f>IF(B666="Holiday",IF(Dashboard!$B$14="Interest Only",G666,F666),IF(B666="Closed",0,MIN(Dashboard!$F$10,E666+G666)))</x:f>
        <x:v>0</x:v>
      </x:c>
      <x:c r="I666" s="32" t="n">
        <x:f>IF(B666="Holiday",F666,IF(B666="Closed",0,MAX(0,H666-G666)))</x:f>
        <x:v>0</x:v>
      </x:c>
      <x:c r="J666" s="32" t="n">
        <x:f>IF(B666="Holiday",MAX(0,C666-F666),IF(B666="Closed",0,MAX(0,E666-I666)))</x:f>
        <x:v>0</x:v>
      </x:c>
      <x:c r="K666" s="32" t="n">
        <x:f>IF(B666="Holiday",IF(Dashboard!$B$14="Interest Only",D666,D666+G666),0)</x:f>
        <x:v>0</x:v>
      </x:c>
      <x:c r="L666" s="32" t="n">
        <x:f>J666+K666</x:f>
        <x:v>0</x:v>
      </x:c>
      <x:c r="M666" s="32" t="n">
        <x:f>IF(A666=1,H666,M665+H666)</x:f>
        <x:v>0</x:v>
      </x:c>
      <x:c r="N666" s="32" t="n">
        <x:f>IF(A666=1,I666,N665+I666)</x:f>
        <x:v>0</x:v>
      </x:c>
      <x:c r="O666" s="32" t="n">
        <x:f>IF(A666=1,G666,O665+G666)</x:f>
        <x:v>3671325</x:v>
      </x:c>
      <x:c r="P666" s="37" t="n">
        <x:f>EDATE(Dashboard!$B$10,A666)</x:f>
        <x:v>65259</x:v>
      </x:c>
    </x:row>
    <x:row r="667">
      <x:c r="A667" s="33" t="n">
        <x:v>666</x:v>
      </x:c>
      <x:c r="B667" s="33" t="str">
        <x:f>IF(A667&lt;=Dashboard!$F$8,"Holiday",IF(A667&lt;=Dashboard!$F$8+Dashboard!$F$7,"Repayment","Closed"))</x:f>
        <x:v>Closed</x:v>
      </x:c>
      <x:c r="C667" s="32">
        <x:f>IF(A667=1,Dashboard!$B$6,IF(B667="Holiday",J666,L666))</x:f>
      </x:c>
      <x:c r="D667" s="32">
        <x:f>IF(A667=1,0,IF(B667="Holiday",K666,0))</x:f>
      </x:c>
      <x:c r="E667" s="32">
        <x:f>C667+D667</x:f>
      </x:c>
      <x:c r="F667" s="32">
        <x:f>IF(B667="Holiday",IF(Dashboard!$B$14="Principal Only",MIN(Dashboard!$B$15,C667),0),0)</x:f>
      </x:c>
      <x:c r="G667" s="32" t="n">
        <x:f>IF(B667="Closed",0,IF(B667="Holiday",IF(Dashboard!$B$14="Interest Only",C667*Dashboard!$F$6,MAX(0,(C667-F667)*Dashboard!$F$6)),E667*Dashboard!$F$6))</x:f>
        <x:v>0</x:v>
      </x:c>
      <x:c r="H667" s="32" t="n">
        <x:f>IF(B667="Holiday",IF(Dashboard!$B$14="Interest Only",G667,F667),IF(B667="Closed",0,MIN(Dashboard!$F$10,E667+G667)))</x:f>
        <x:v>0</x:v>
      </x:c>
      <x:c r="I667" s="32" t="n">
        <x:f>IF(B667="Holiday",F667,IF(B667="Closed",0,MAX(0,H667-G667)))</x:f>
        <x:v>0</x:v>
      </x:c>
      <x:c r="J667" s="32" t="n">
        <x:f>IF(B667="Holiday",MAX(0,C667-F667),IF(B667="Closed",0,MAX(0,E667-I667)))</x:f>
        <x:v>0</x:v>
      </x:c>
      <x:c r="K667" s="32" t="n">
        <x:f>IF(B667="Holiday",IF(Dashboard!$B$14="Interest Only",D667,D667+G667),0)</x:f>
        <x:v>0</x:v>
      </x:c>
      <x:c r="L667" s="32" t="n">
        <x:f>J667+K667</x:f>
        <x:v>0</x:v>
      </x:c>
      <x:c r="M667" s="32" t="n">
        <x:f>IF(A667=1,H667,M666+H667)</x:f>
        <x:v>0</x:v>
      </x:c>
      <x:c r="N667" s="32" t="n">
        <x:f>IF(A667=1,I667,N666+I667)</x:f>
        <x:v>0</x:v>
      </x:c>
      <x:c r="O667" s="32" t="n">
        <x:f>IF(A667=1,G667,O666+G667)</x:f>
        <x:v>3671325</x:v>
      </x:c>
      <x:c r="P667" s="37" t="n">
        <x:f>EDATE(Dashboard!$B$10,A667)</x:f>
        <x:v>65289</x:v>
      </x:c>
    </x:row>
    <x:row r="668">
      <x:c r="A668" s="33" t="n">
        <x:v>667</x:v>
      </x:c>
      <x:c r="B668" s="33" t="str">
        <x:f>IF(A668&lt;=Dashboard!$F$8,"Holiday",IF(A668&lt;=Dashboard!$F$8+Dashboard!$F$7,"Repayment","Closed"))</x:f>
        <x:v>Closed</x:v>
      </x:c>
      <x:c r="C668" s="32">
        <x:f>IF(A668=1,Dashboard!$B$6,IF(B668="Holiday",J667,L667))</x:f>
      </x:c>
      <x:c r="D668" s="32">
        <x:f>IF(A668=1,0,IF(B668="Holiday",K667,0))</x:f>
      </x:c>
      <x:c r="E668" s="32">
        <x:f>C668+D668</x:f>
      </x:c>
      <x:c r="F668" s="32">
        <x:f>IF(B668="Holiday",IF(Dashboard!$B$14="Principal Only",MIN(Dashboard!$B$15,C668),0),0)</x:f>
      </x:c>
      <x:c r="G668" s="32" t="n">
        <x:f>IF(B668="Closed",0,IF(B668="Holiday",IF(Dashboard!$B$14="Interest Only",C668*Dashboard!$F$6,MAX(0,(C668-F668)*Dashboard!$F$6)),E668*Dashboard!$F$6))</x:f>
        <x:v>0</x:v>
      </x:c>
      <x:c r="H668" s="32" t="n">
        <x:f>IF(B668="Holiday",IF(Dashboard!$B$14="Interest Only",G668,F668),IF(B668="Closed",0,MIN(Dashboard!$F$10,E668+G668)))</x:f>
        <x:v>0</x:v>
      </x:c>
      <x:c r="I668" s="32" t="n">
        <x:f>IF(B668="Holiday",F668,IF(B668="Closed",0,MAX(0,H668-G668)))</x:f>
        <x:v>0</x:v>
      </x:c>
      <x:c r="J668" s="32" t="n">
        <x:f>IF(B668="Holiday",MAX(0,C668-F668),IF(B668="Closed",0,MAX(0,E668-I668)))</x:f>
        <x:v>0</x:v>
      </x:c>
      <x:c r="K668" s="32" t="n">
        <x:f>IF(B668="Holiday",IF(Dashboard!$B$14="Interest Only",D668,D668+G668),0)</x:f>
        <x:v>0</x:v>
      </x:c>
      <x:c r="L668" s="32" t="n">
        <x:f>J668+K668</x:f>
        <x:v>0</x:v>
      </x:c>
      <x:c r="M668" s="32" t="n">
        <x:f>IF(A668=1,H668,M667+H668)</x:f>
        <x:v>0</x:v>
      </x:c>
      <x:c r="N668" s="32" t="n">
        <x:f>IF(A668=1,I668,N667+I668)</x:f>
        <x:v>0</x:v>
      </x:c>
      <x:c r="O668" s="32" t="n">
        <x:f>IF(A668=1,G668,O667+G668)</x:f>
        <x:v>3671325</x:v>
      </x:c>
      <x:c r="P668" s="37" t="n">
        <x:f>EDATE(Dashboard!$B$10,A668)</x:f>
        <x:v>65320</x:v>
      </x:c>
    </x:row>
    <x:row r="669">
      <x:c r="A669" s="33" t="n">
        <x:v>668</x:v>
      </x:c>
      <x:c r="B669" s="33" t="str">
        <x:f>IF(A669&lt;=Dashboard!$F$8,"Holiday",IF(A669&lt;=Dashboard!$F$8+Dashboard!$F$7,"Repayment","Closed"))</x:f>
        <x:v>Closed</x:v>
      </x:c>
      <x:c r="C669" s="32">
        <x:f>IF(A669=1,Dashboard!$B$6,IF(B669="Holiday",J668,L668))</x:f>
      </x:c>
      <x:c r="D669" s="32">
        <x:f>IF(A669=1,0,IF(B669="Holiday",K668,0))</x:f>
      </x:c>
      <x:c r="E669" s="32">
        <x:f>C669+D669</x:f>
      </x:c>
      <x:c r="F669" s="32">
        <x:f>IF(B669="Holiday",IF(Dashboard!$B$14="Principal Only",MIN(Dashboard!$B$15,C669),0),0)</x:f>
      </x:c>
      <x:c r="G669" s="32" t="n">
        <x:f>IF(B669="Closed",0,IF(B669="Holiday",IF(Dashboard!$B$14="Interest Only",C669*Dashboard!$F$6,MAX(0,(C669-F669)*Dashboard!$F$6)),E669*Dashboard!$F$6))</x:f>
        <x:v>0</x:v>
      </x:c>
      <x:c r="H669" s="32" t="n">
        <x:f>IF(B669="Holiday",IF(Dashboard!$B$14="Interest Only",G669,F669),IF(B669="Closed",0,MIN(Dashboard!$F$10,E669+G669)))</x:f>
        <x:v>0</x:v>
      </x:c>
      <x:c r="I669" s="32" t="n">
        <x:f>IF(B669="Holiday",F669,IF(B669="Closed",0,MAX(0,H669-G669)))</x:f>
        <x:v>0</x:v>
      </x:c>
      <x:c r="J669" s="32" t="n">
        <x:f>IF(B669="Holiday",MAX(0,C669-F669),IF(B669="Closed",0,MAX(0,E669-I669)))</x:f>
        <x:v>0</x:v>
      </x:c>
      <x:c r="K669" s="32" t="n">
        <x:f>IF(B669="Holiday",IF(Dashboard!$B$14="Interest Only",D669,D669+G669),0)</x:f>
        <x:v>0</x:v>
      </x:c>
      <x:c r="L669" s="32" t="n">
        <x:f>J669+K669</x:f>
        <x:v>0</x:v>
      </x:c>
      <x:c r="M669" s="32" t="n">
        <x:f>IF(A669=1,H669,M668+H669)</x:f>
        <x:v>0</x:v>
      </x:c>
      <x:c r="N669" s="32" t="n">
        <x:f>IF(A669=1,I669,N668+I669)</x:f>
        <x:v>0</x:v>
      </x:c>
      <x:c r="O669" s="32" t="n">
        <x:f>IF(A669=1,G669,O668+G669)</x:f>
        <x:v>3671325</x:v>
      </x:c>
      <x:c r="P669" s="37" t="n">
        <x:f>EDATE(Dashboard!$B$10,A669)</x:f>
        <x:v>65350</x:v>
      </x:c>
    </x:row>
    <x:row r="670">
      <x:c r="A670" s="33" t="n">
        <x:v>669</x:v>
      </x:c>
      <x:c r="B670" s="33" t="str">
        <x:f>IF(A670&lt;=Dashboard!$F$8,"Holiday",IF(A670&lt;=Dashboard!$F$8+Dashboard!$F$7,"Repayment","Closed"))</x:f>
        <x:v>Closed</x:v>
      </x:c>
      <x:c r="C670" s="32">
        <x:f>IF(A670=1,Dashboard!$B$6,IF(B670="Holiday",J669,L669))</x:f>
      </x:c>
      <x:c r="D670" s="32">
        <x:f>IF(A670=1,0,IF(B670="Holiday",K669,0))</x:f>
      </x:c>
      <x:c r="E670" s="32">
        <x:f>C670+D670</x:f>
      </x:c>
      <x:c r="F670" s="32">
        <x:f>IF(B670="Holiday",IF(Dashboard!$B$14="Principal Only",MIN(Dashboard!$B$15,C670),0),0)</x:f>
      </x:c>
      <x:c r="G670" s="32" t="n">
        <x:f>IF(B670="Closed",0,IF(B670="Holiday",IF(Dashboard!$B$14="Interest Only",C670*Dashboard!$F$6,MAX(0,(C670-F670)*Dashboard!$F$6)),E670*Dashboard!$F$6))</x:f>
        <x:v>0</x:v>
      </x:c>
      <x:c r="H670" s="32" t="n">
        <x:f>IF(B670="Holiday",IF(Dashboard!$B$14="Interest Only",G670,F670),IF(B670="Closed",0,MIN(Dashboard!$F$10,E670+G670)))</x:f>
        <x:v>0</x:v>
      </x:c>
      <x:c r="I670" s="32" t="n">
        <x:f>IF(B670="Holiday",F670,IF(B670="Closed",0,MAX(0,H670-G670)))</x:f>
        <x:v>0</x:v>
      </x:c>
      <x:c r="J670" s="32" t="n">
        <x:f>IF(B670="Holiday",MAX(0,C670-F670),IF(B670="Closed",0,MAX(0,E670-I670)))</x:f>
        <x:v>0</x:v>
      </x:c>
      <x:c r="K670" s="32" t="n">
        <x:f>IF(B670="Holiday",IF(Dashboard!$B$14="Interest Only",D670,D670+G670),0)</x:f>
        <x:v>0</x:v>
      </x:c>
      <x:c r="L670" s="32" t="n">
        <x:f>J670+K670</x:f>
        <x:v>0</x:v>
      </x:c>
      <x:c r="M670" s="32" t="n">
        <x:f>IF(A670=1,H670,M669+H670)</x:f>
        <x:v>0</x:v>
      </x:c>
      <x:c r="N670" s="32" t="n">
        <x:f>IF(A670=1,I670,N669+I670)</x:f>
        <x:v>0</x:v>
      </x:c>
      <x:c r="O670" s="32" t="n">
        <x:f>IF(A670=1,G670,O669+G670)</x:f>
        <x:v>3671325</x:v>
      </x:c>
      <x:c r="P670" s="37" t="n">
        <x:f>EDATE(Dashboard!$B$10,A670)</x:f>
        <x:v>65381</x:v>
      </x:c>
    </x:row>
    <x:row r="671">
      <x:c r="A671" s="33" t="n">
        <x:v>670</x:v>
      </x:c>
      <x:c r="B671" s="33" t="str">
        <x:f>IF(A671&lt;=Dashboard!$F$8,"Holiday",IF(A671&lt;=Dashboard!$F$8+Dashboard!$F$7,"Repayment","Closed"))</x:f>
        <x:v>Closed</x:v>
      </x:c>
      <x:c r="C671" s="32">
        <x:f>IF(A671=1,Dashboard!$B$6,IF(B671="Holiday",J670,L670))</x:f>
      </x:c>
      <x:c r="D671" s="32">
        <x:f>IF(A671=1,0,IF(B671="Holiday",K670,0))</x:f>
      </x:c>
      <x:c r="E671" s="32">
        <x:f>C671+D671</x:f>
      </x:c>
      <x:c r="F671" s="32">
        <x:f>IF(B671="Holiday",IF(Dashboard!$B$14="Principal Only",MIN(Dashboard!$B$15,C671),0),0)</x:f>
      </x:c>
      <x:c r="G671" s="32" t="n">
        <x:f>IF(B671="Closed",0,IF(B671="Holiday",IF(Dashboard!$B$14="Interest Only",C671*Dashboard!$F$6,MAX(0,(C671-F671)*Dashboard!$F$6)),E671*Dashboard!$F$6))</x:f>
        <x:v>0</x:v>
      </x:c>
      <x:c r="H671" s="32" t="n">
        <x:f>IF(B671="Holiday",IF(Dashboard!$B$14="Interest Only",G671,F671),IF(B671="Closed",0,MIN(Dashboard!$F$10,E671+G671)))</x:f>
        <x:v>0</x:v>
      </x:c>
      <x:c r="I671" s="32" t="n">
        <x:f>IF(B671="Holiday",F671,IF(B671="Closed",0,MAX(0,H671-G671)))</x:f>
        <x:v>0</x:v>
      </x:c>
      <x:c r="J671" s="32" t="n">
        <x:f>IF(B671="Holiday",MAX(0,C671-F671),IF(B671="Closed",0,MAX(0,E671-I671)))</x:f>
        <x:v>0</x:v>
      </x:c>
      <x:c r="K671" s="32" t="n">
        <x:f>IF(B671="Holiday",IF(Dashboard!$B$14="Interest Only",D671,D671+G671),0)</x:f>
        <x:v>0</x:v>
      </x:c>
      <x:c r="L671" s="32" t="n">
        <x:f>J671+K671</x:f>
        <x:v>0</x:v>
      </x:c>
      <x:c r="M671" s="32" t="n">
        <x:f>IF(A671=1,H671,M670+H671)</x:f>
        <x:v>0</x:v>
      </x:c>
      <x:c r="N671" s="32" t="n">
        <x:f>IF(A671=1,I671,N670+I671)</x:f>
        <x:v>0</x:v>
      </x:c>
      <x:c r="O671" s="32" t="n">
        <x:f>IF(A671=1,G671,O670+G671)</x:f>
        <x:v>3671325</x:v>
      </x:c>
      <x:c r="P671" s="37" t="n">
        <x:f>EDATE(Dashboard!$B$10,A671)</x:f>
        <x:v>65412</x:v>
      </x:c>
    </x:row>
    <x:row r="672">
      <x:c r="A672" s="33" t="n">
        <x:v>671</x:v>
      </x:c>
      <x:c r="B672" s="33" t="str">
        <x:f>IF(A672&lt;=Dashboard!$F$8,"Holiday",IF(A672&lt;=Dashboard!$F$8+Dashboard!$F$7,"Repayment","Closed"))</x:f>
        <x:v>Closed</x:v>
      </x:c>
      <x:c r="C672" s="32">
        <x:f>IF(A672=1,Dashboard!$B$6,IF(B672="Holiday",J671,L671))</x:f>
      </x:c>
      <x:c r="D672" s="32">
        <x:f>IF(A672=1,0,IF(B672="Holiday",K671,0))</x:f>
      </x:c>
      <x:c r="E672" s="32">
        <x:f>C672+D672</x:f>
      </x:c>
      <x:c r="F672" s="32">
        <x:f>IF(B672="Holiday",IF(Dashboard!$B$14="Principal Only",MIN(Dashboard!$B$15,C672),0),0)</x:f>
      </x:c>
      <x:c r="G672" s="32" t="n">
        <x:f>IF(B672="Closed",0,IF(B672="Holiday",IF(Dashboard!$B$14="Interest Only",C672*Dashboard!$F$6,MAX(0,(C672-F672)*Dashboard!$F$6)),E672*Dashboard!$F$6))</x:f>
        <x:v>0</x:v>
      </x:c>
      <x:c r="H672" s="32" t="n">
        <x:f>IF(B672="Holiday",IF(Dashboard!$B$14="Interest Only",G672,F672),IF(B672="Closed",0,MIN(Dashboard!$F$10,E672+G672)))</x:f>
        <x:v>0</x:v>
      </x:c>
      <x:c r="I672" s="32" t="n">
        <x:f>IF(B672="Holiday",F672,IF(B672="Closed",0,MAX(0,H672-G672)))</x:f>
        <x:v>0</x:v>
      </x:c>
      <x:c r="J672" s="32" t="n">
        <x:f>IF(B672="Holiday",MAX(0,C672-F672),IF(B672="Closed",0,MAX(0,E672-I672)))</x:f>
        <x:v>0</x:v>
      </x:c>
      <x:c r="K672" s="32" t="n">
        <x:f>IF(B672="Holiday",IF(Dashboard!$B$14="Interest Only",D672,D672+G672),0)</x:f>
        <x:v>0</x:v>
      </x:c>
      <x:c r="L672" s="32" t="n">
        <x:f>J672+K672</x:f>
        <x:v>0</x:v>
      </x:c>
      <x:c r="M672" s="32" t="n">
        <x:f>IF(A672=1,H672,M671+H672)</x:f>
        <x:v>0</x:v>
      </x:c>
      <x:c r="N672" s="32" t="n">
        <x:f>IF(A672=1,I672,N671+I672)</x:f>
        <x:v>0</x:v>
      </x:c>
      <x:c r="O672" s="32" t="n">
        <x:f>IF(A672=1,G672,O671+G672)</x:f>
        <x:v>3671325</x:v>
      </x:c>
      <x:c r="P672" s="37" t="n">
        <x:f>EDATE(Dashboard!$B$10,A672)</x:f>
        <x:v>65440</x:v>
      </x:c>
    </x:row>
    <x:row r="673">
      <x:c r="A673" s="33" t="n">
        <x:v>672</x:v>
      </x:c>
      <x:c r="B673" s="33" t="str">
        <x:f>IF(A673&lt;=Dashboard!$F$8,"Holiday",IF(A673&lt;=Dashboard!$F$8+Dashboard!$F$7,"Repayment","Closed"))</x:f>
        <x:v>Closed</x:v>
      </x:c>
      <x:c r="C673" s="32">
        <x:f>IF(A673=1,Dashboard!$B$6,IF(B673="Holiday",J672,L672))</x:f>
      </x:c>
      <x:c r="D673" s="32">
        <x:f>IF(A673=1,0,IF(B673="Holiday",K672,0))</x:f>
      </x:c>
      <x:c r="E673" s="32">
        <x:f>C673+D673</x:f>
      </x:c>
      <x:c r="F673" s="32">
        <x:f>IF(B673="Holiday",IF(Dashboard!$B$14="Principal Only",MIN(Dashboard!$B$15,C673),0),0)</x:f>
      </x:c>
      <x:c r="G673" s="32" t="n">
        <x:f>IF(B673="Closed",0,IF(B673="Holiday",IF(Dashboard!$B$14="Interest Only",C673*Dashboard!$F$6,MAX(0,(C673-F673)*Dashboard!$F$6)),E673*Dashboard!$F$6))</x:f>
        <x:v>0</x:v>
      </x:c>
      <x:c r="H673" s="32" t="n">
        <x:f>IF(B673="Holiday",IF(Dashboard!$B$14="Interest Only",G673,F673),IF(B673="Closed",0,MIN(Dashboard!$F$10,E673+G673)))</x:f>
        <x:v>0</x:v>
      </x:c>
      <x:c r="I673" s="32" t="n">
        <x:f>IF(B673="Holiday",F673,IF(B673="Closed",0,MAX(0,H673-G673)))</x:f>
        <x:v>0</x:v>
      </x:c>
      <x:c r="J673" s="32" t="n">
        <x:f>IF(B673="Holiday",MAX(0,C673-F673),IF(B673="Closed",0,MAX(0,E673-I673)))</x:f>
        <x:v>0</x:v>
      </x:c>
      <x:c r="K673" s="32" t="n">
        <x:f>IF(B673="Holiday",IF(Dashboard!$B$14="Interest Only",D673,D673+G673),0)</x:f>
        <x:v>0</x:v>
      </x:c>
      <x:c r="L673" s="32" t="n">
        <x:f>J673+K673</x:f>
        <x:v>0</x:v>
      </x:c>
      <x:c r="M673" s="32" t="n">
        <x:f>IF(A673=1,H673,M672+H673)</x:f>
        <x:v>0</x:v>
      </x:c>
      <x:c r="N673" s="32" t="n">
        <x:f>IF(A673=1,I673,N672+I673)</x:f>
        <x:v>0</x:v>
      </x:c>
      <x:c r="O673" s="32" t="n">
        <x:f>IF(A673=1,G673,O672+G673)</x:f>
        <x:v>3671325</x:v>
      </x:c>
      <x:c r="P673" s="37" t="n">
        <x:f>EDATE(Dashboard!$B$10,A673)</x:f>
        <x:v>65471</x:v>
      </x:c>
    </x:row>
    <x:row r="674">
      <x:c r="A674" s="33" t="n">
        <x:v>673</x:v>
      </x:c>
      <x:c r="B674" s="33" t="str">
        <x:f>IF(A674&lt;=Dashboard!$F$8,"Holiday",IF(A674&lt;=Dashboard!$F$8+Dashboard!$F$7,"Repayment","Closed"))</x:f>
        <x:v>Closed</x:v>
      </x:c>
      <x:c r="C674" s="32">
        <x:f>IF(A674=1,Dashboard!$B$6,IF(B674="Holiday",J673,L673))</x:f>
      </x:c>
      <x:c r="D674" s="32">
        <x:f>IF(A674=1,0,IF(B674="Holiday",K673,0))</x:f>
      </x:c>
      <x:c r="E674" s="32">
        <x:f>C674+D674</x:f>
      </x:c>
      <x:c r="F674" s="32">
        <x:f>IF(B674="Holiday",IF(Dashboard!$B$14="Principal Only",MIN(Dashboard!$B$15,C674),0),0)</x:f>
      </x:c>
      <x:c r="G674" s="32" t="n">
        <x:f>IF(B674="Closed",0,IF(B674="Holiday",IF(Dashboard!$B$14="Interest Only",C674*Dashboard!$F$6,MAX(0,(C674-F674)*Dashboard!$F$6)),E674*Dashboard!$F$6))</x:f>
        <x:v>0</x:v>
      </x:c>
      <x:c r="H674" s="32" t="n">
        <x:f>IF(B674="Holiday",IF(Dashboard!$B$14="Interest Only",G674,F674),IF(B674="Closed",0,MIN(Dashboard!$F$10,E674+G674)))</x:f>
        <x:v>0</x:v>
      </x:c>
      <x:c r="I674" s="32" t="n">
        <x:f>IF(B674="Holiday",F674,IF(B674="Closed",0,MAX(0,H674-G674)))</x:f>
        <x:v>0</x:v>
      </x:c>
      <x:c r="J674" s="32" t="n">
        <x:f>IF(B674="Holiday",MAX(0,C674-F674),IF(B674="Closed",0,MAX(0,E674-I674)))</x:f>
        <x:v>0</x:v>
      </x:c>
      <x:c r="K674" s="32" t="n">
        <x:f>IF(B674="Holiday",IF(Dashboard!$B$14="Interest Only",D674,D674+G674),0)</x:f>
        <x:v>0</x:v>
      </x:c>
      <x:c r="L674" s="32" t="n">
        <x:f>J674+K674</x:f>
        <x:v>0</x:v>
      </x:c>
      <x:c r="M674" s="32" t="n">
        <x:f>IF(A674=1,H674,M673+H674)</x:f>
        <x:v>0</x:v>
      </x:c>
      <x:c r="N674" s="32" t="n">
        <x:f>IF(A674=1,I674,N673+I674)</x:f>
        <x:v>0</x:v>
      </x:c>
      <x:c r="O674" s="32" t="n">
        <x:f>IF(A674=1,G674,O673+G674)</x:f>
        <x:v>3671325</x:v>
      </x:c>
      <x:c r="P674" s="37" t="n">
        <x:f>EDATE(Dashboard!$B$10,A674)</x:f>
        <x:v>65501</x:v>
      </x:c>
    </x:row>
    <x:row r="675">
      <x:c r="A675" s="33" t="n">
        <x:v>674</x:v>
      </x:c>
      <x:c r="B675" s="33" t="str">
        <x:f>IF(A675&lt;=Dashboard!$F$8,"Holiday",IF(A675&lt;=Dashboard!$F$8+Dashboard!$F$7,"Repayment","Closed"))</x:f>
        <x:v>Closed</x:v>
      </x:c>
      <x:c r="C675" s="32">
        <x:f>IF(A675=1,Dashboard!$B$6,IF(B675="Holiday",J674,L674))</x:f>
      </x:c>
      <x:c r="D675" s="32">
        <x:f>IF(A675=1,0,IF(B675="Holiday",K674,0))</x:f>
      </x:c>
      <x:c r="E675" s="32">
        <x:f>C675+D675</x:f>
      </x:c>
      <x:c r="F675" s="32">
        <x:f>IF(B675="Holiday",IF(Dashboard!$B$14="Principal Only",MIN(Dashboard!$B$15,C675),0),0)</x:f>
      </x:c>
      <x:c r="G675" s="32" t="n">
        <x:f>IF(B675="Closed",0,IF(B675="Holiday",IF(Dashboard!$B$14="Interest Only",C675*Dashboard!$F$6,MAX(0,(C675-F675)*Dashboard!$F$6)),E675*Dashboard!$F$6))</x:f>
        <x:v>0</x:v>
      </x:c>
      <x:c r="H675" s="32" t="n">
        <x:f>IF(B675="Holiday",IF(Dashboard!$B$14="Interest Only",G675,F675),IF(B675="Closed",0,MIN(Dashboard!$F$10,E675+G675)))</x:f>
        <x:v>0</x:v>
      </x:c>
      <x:c r="I675" s="32" t="n">
        <x:f>IF(B675="Holiday",F675,IF(B675="Closed",0,MAX(0,H675-G675)))</x:f>
        <x:v>0</x:v>
      </x:c>
      <x:c r="J675" s="32" t="n">
        <x:f>IF(B675="Holiday",MAX(0,C675-F675),IF(B675="Closed",0,MAX(0,E675-I675)))</x:f>
        <x:v>0</x:v>
      </x:c>
      <x:c r="K675" s="32" t="n">
        <x:f>IF(B675="Holiday",IF(Dashboard!$B$14="Interest Only",D675,D675+G675),0)</x:f>
        <x:v>0</x:v>
      </x:c>
      <x:c r="L675" s="32" t="n">
        <x:f>J675+K675</x:f>
        <x:v>0</x:v>
      </x:c>
      <x:c r="M675" s="32" t="n">
        <x:f>IF(A675=1,H675,M674+H675)</x:f>
        <x:v>0</x:v>
      </x:c>
      <x:c r="N675" s="32" t="n">
        <x:f>IF(A675=1,I675,N674+I675)</x:f>
        <x:v>0</x:v>
      </x:c>
      <x:c r="O675" s="32" t="n">
        <x:f>IF(A675=1,G675,O674+G675)</x:f>
        <x:v>3671325</x:v>
      </x:c>
      <x:c r="P675" s="37" t="n">
        <x:f>EDATE(Dashboard!$B$10,A675)</x:f>
        <x:v>65532</x:v>
      </x:c>
    </x:row>
    <x:row r="676">
      <x:c r="A676" s="33" t="n">
        <x:v>675</x:v>
      </x:c>
      <x:c r="B676" s="33" t="str">
        <x:f>IF(A676&lt;=Dashboard!$F$8,"Holiday",IF(A676&lt;=Dashboard!$F$8+Dashboard!$F$7,"Repayment","Closed"))</x:f>
        <x:v>Closed</x:v>
      </x:c>
      <x:c r="C676" s="32">
        <x:f>IF(A676=1,Dashboard!$B$6,IF(B676="Holiday",J675,L675))</x:f>
      </x:c>
      <x:c r="D676" s="32">
        <x:f>IF(A676=1,0,IF(B676="Holiday",K675,0))</x:f>
      </x:c>
      <x:c r="E676" s="32">
        <x:f>C676+D676</x:f>
      </x:c>
      <x:c r="F676" s="32">
        <x:f>IF(B676="Holiday",IF(Dashboard!$B$14="Principal Only",MIN(Dashboard!$B$15,C676),0),0)</x:f>
      </x:c>
      <x:c r="G676" s="32" t="n">
        <x:f>IF(B676="Closed",0,IF(B676="Holiday",IF(Dashboard!$B$14="Interest Only",C676*Dashboard!$F$6,MAX(0,(C676-F676)*Dashboard!$F$6)),E676*Dashboard!$F$6))</x:f>
        <x:v>0</x:v>
      </x:c>
      <x:c r="H676" s="32" t="n">
        <x:f>IF(B676="Holiday",IF(Dashboard!$B$14="Interest Only",G676,F676),IF(B676="Closed",0,MIN(Dashboard!$F$10,E676+G676)))</x:f>
        <x:v>0</x:v>
      </x:c>
      <x:c r="I676" s="32" t="n">
        <x:f>IF(B676="Holiday",F676,IF(B676="Closed",0,MAX(0,H676-G676)))</x:f>
        <x:v>0</x:v>
      </x:c>
      <x:c r="J676" s="32" t="n">
        <x:f>IF(B676="Holiday",MAX(0,C676-F676),IF(B676="Closed",0,MAX(0,E676-I676)))</x:f>
        <x:v>0</x:v>
      </x:c>
      <x:c r="K676" s="32" t="n">
        <x:f>IF(B676="Holiday",IF(Dashboard!$B$14="Interest Only",D676,D676+G676),0)</x:f>
        <x:v>0</x:v>
      </x:c>
      <x:c r="L676" s="32" t="n">
        <x:f>J676+K676</x:f>
        <x:v>0</x:v>
      </x:c>
      <x:c r="M676" s="32" t="n">
        <x:f>IF(A676=1,H676,M675+H676)</x:f>
        <x:v>0</x:v>
      </x:c>
      <x:c r="N676" s="32" t="n">
        <x:f>IF(A676=1,I676,N675+I676)</x:f>
        <x:v>0</x:v>
      </x:c>
      <x:c r="O676" s="32" t="n">
        <x:f>IF(A676=1,G676,O675+G676)</x:f>
        <x:v>3671325</x:v>
      </x:c>
      <x:c r="P676" s="37" t="n">
        <x:f>EDATE(Dashboard!$B$10,A676)</x:f>
        <x:v>65562</x:v>
      </x:c>
    </x:row>
    <x:row r="677">
      <x:c r="A677" s="33" t="n">
        <x:v>676</x:v>
      </x:c>
      <x:c r="B677" s="33" t="str">
        <x:f>IF(A677&lt;=Dashboard!$F$8,"Holiday",IF(A677&lt;=Dashboard!$F$8+Dashboard!$F$7,"Repayment","Closed"))</x:f>
        <x:v>Closed</x:v>
      </x:c>
      <x:c r="C677" s="32">
        <x:f>IF(A677=1,Dashboard!$B$6,IF(B677="Holiday",J676,L676))</x:f>
      </x:c>
      <x:c r="D677" s="32">
        <x:f>IF(A677=1,0,IF(B677="Holiday",K676,0))</x:f>
      </x:c>
      <x:c r="E677" s="32">
        <x:f>C677+D677</x:f>
      </x:c>
      <x:c r="F677" s="32">
        <x:f>IF(B677="Holiday",IF(Dashboard!$B$14="Principal Only",MIN(Dashboard!$B$15,C677),0),0)</x:f>
      </x:c>
      <x:c r="G677" s="32" t="n">
        <x:f>IF(B677="Closed",0,IF(B677="Holiday",IF(Dashboard!$B$14="Interest Only",C677*Dashboard!$F$6,MAX(0,(C677-F677)*Dashboard!$F$6)),E677*Dashboard!$F$6))</x:f>
        <x:v>0</x:v>
      </x:c>
      <x:c r="H677" s="32" t="n">
        <x:f>IF(B677="Holiday",IF(Dashboard!$B$14="Interest Only",G677,F677),IF(B677="Closed",0,MIN(Dashboard!$F$10,E677+G677)))</x:f>
        <x:v>0</x:v>
      </x:c>
      <x:c r="I677" s="32" t="n">
        <x:f>IF(B677="Holiday",F677,IF(B677="Closed",0,MAX(0,H677-G677)))</x:f>
        <x:v>0</x:v>
      </x:c>
      <x:c r="J677" s="32" t="n">
        <x:f>IF(B677="Holiday",MAX(0,C677-F677),IF(B677="Closed",0,MAX(0,E677-I677)))</x:f>
        <x:v>0</x:v>
      </x:c>
      <x:c r="K677" s="32" t="n">
        <x:f>IF(B677="Holiday",IF(Dashboard!$B$14="Interest Only",D677,D677+G677),0)</x:f>
        <x:v>0</x:v>
      </x:c>
      <x:c r="L677" s="32" t="n">
        <x:f>J677+K677</x:f>
        <x:v>0</x:v>
      </x:c>
      <x:c r="M677" s="32" t="n">
        <x:f>IF(A677=1,H677,M676+H677)</x:f>
        <x:v>0</x:v>
      </x:c>
      <x:c r="N677" s="32" t="n">
        <x:f>IF(A677=1,I677,N676+I677)</x:f>
        <x:v>0</x:v>
      </x:c>
      <x:c r="O677" s="32" t="n">
        <x:f>IF(A677=1,G677,O676+G677)</x:f>
        <x:v>3671325</x:v>
      </x:c>
      <x:c r="P677" s="37" t="n">
        <x:f>EDATE(Dashboard!$B$10,A677)</x:f>
        <x:v>65593</x:v>
      </x:c>
    </x:row>
    <x:row r="678">
      <x:c r="A678" s="33" t="n">
        <x:v>677</x:v>
      </x:c>
      <x:c r="B678" s="33" t="str">
        <x:f>IF(A678&lt;=Dashboard!$F$8,"Holiday",IF(A678&lt;=Dashboard!$F$8+Dashboard!$F$7,"Repayment","Closed"))</x:f>
        <x:v>Closed</x:v>
      </x:c>
      <x:c r="C678" s="32">
        <x:f>IF(A678=1,Dashboard!$B$6,IF(B678="Holiday",J677,L677))</x:f>
      </x:c>
      <x:c r="D678" s="32">
        <x:f>IF(A678=1,0,IF(B678="Holiday",K677,0))</x:f>
      </x:c>
      <x:c r="E678" s="32">
        <x:f>C678+D678</x:f>
      </x:c>
      <x:c r="F678" s="32">
        <x:f>IF(B678="Holiday",IF(Dashboard!$B$14="Principal Only",MIN(Dashboard!$B$15,C678),0),0)</x:f>
      </x:c>
      <x:c r="G678" s="32" t="n">
        <x:f>IF(B678="Closed",0,IF(B678="Holiday",IF(Dashboard!$B$14="Interest Only",C678*Dashboard!$F$6,MAX(0,(C678-F678)*Dashboard!$F$6)),E678*Dashboard!$F$6))</x:f>
        <x:v>0</x:v>
      </x:c>
      <x:c r="H678" s="32" t="n">
        <x:f>IF(B678="Holiday",IF(Dashboard!$B$14="Interest Only",G678,F678),IF(B678="Closed",0,MIN(Dashboard!$F$10,E678+G678)))</x:f>
        <x:v>0</x:v>
      </x:c>
      <x:c r="I678" s="32" t="n">
        <x:f>IF(B678="Holiday",F678,IF(B678="Closed",0,MAX(0,H678-G678)))</x:f>
        <x:v>0</x:v>
      </x:c>
      <x:c r="J678" s="32" t="n">
        <x:f>IF(B678="Holiday",MAX(0,C678-F678),IF(B678="Closed",0,MAX(0,E678-I678)))</x:f>
        <x:v>0</x:v>
      </x:c>
      <x:c r="K678" s="32" t="n">
        <x:f>IF(B678="Holiday",IF(Dashboard!$B$14="Interest Only",D678,D678+G678),0)</x:f>
        <x:v>0</x:v>
      </x:c>
      <x:c r="L678" s="32" t="n">
        <x:f>J678+K678</x:f>
        <x:v>0</x:v>
      </x:c>
      <x:c r="M678" s="32" t="n">
        <x:f>IF(A678=1,H678,M677+H678)</x:f>
        <x:v>0</x:v>
      </x:c>
      <x:c r="N678" s="32" t="n">
        <x:f>IF(A678=1,I678,N677+I678)</x:f>
        <x:v>0</x:v>
      </x:c>
      <x:c r="O678" s="32" t="n">
        <x:f>IF(A678=1,G678,O677+G678)</x:f>
        <x:v>3671325</x:v>
      </x:c>
      <x:c r="P678" s="37" t="n">
        <x:f>EDATE(Dashboard!$B$10,A678)</x:f>
        <x:v>65624</x:v>
      </x:c>
    </x:row>
    <x:row r="679">
      <x:c r="A679" s="33" t="n">
        <x:v>678</x:v>
      </x:c>
      <x:c r="B679" s="33" t="str">
        <x:f>IF(A679&lt;=Dashboard!$F$8,"Holiday",IF(A679&lt;=Dashboard!$F$8+Dashboard!$F$7,"Repayment","Closed"))</x:f>
        <x:v>Closed</x:v>
      </x:c>
      <x:c r="C679" s="32">
        <x:f>IF(A679=1,Dashboard!$B$6,IF(B679="Holiday",J678,L678))</x:f>
      </x:c>
      <x:c r="D679" s="32">
        <x:f>IF(A679=1,0,IF(B679="Holiday",K678,0))</x:f>
      </x:c>
      <x:c r="E679" s="32">
        <x:f>C679+D679</x:f>
      </x:c>
      <x:c r="F679" s="32">
        <x:f>IF(B679="Holiday",IF(Dashboard!$B$14="Principal Only",MIN(Dashboard!$B$15,C679),0),0)</x:f>
      </x:c>
      <x:c r="G679" s="32" t="n">
        <x:f>IF(B679="Closed",0,IF(B679="Holiday",IF(Dashboard!$B$14="Interest Only",C679*Dashboard!$F$6,MAX(0,(C679-F679)*Dashboard!$F$6)),E679*Dashboard!$F$6))</x:f>
        <x:v>0</x:v>
      </x:c>
      <x:c r="H679" s="32" t="n">
        <x:f>IF(B679="Holiday",IF(Dashboard!$B$14="Interest Only",G679,F679),IF(B679="Closed",0,MIN(Dashboard!$F$10,E679+G679)))</x:f>
        <x:v>0</x:v>
      </x:c>
      <x:c r="I679" s="32" t="n">
        <x:f>IF(B679="Holiday",F679,IF(B679="Closed",0,MAX(0,H679-G679)))</x:f>
        <x:v>0</x:v>
      </x:c>
      <x:c r="J679" s="32" t="n">
        <x:f>IF(B679="Holiday",MAX(0,C679-F679),IF(B679="Closed",0,MAX(0,E679-I679)))</x:f>
        <x:v>0</x:v>
      </x:c>
      <x:c r="K679" s="32" t="n">
        <x:f>IF(B679="Holiday",IF(Dashboard!$B$14="Interest Only",D679,D679+G679),0)</x:f>
        <x:v>0</x:v>
      </x:c>
      <x:c r="L679" s="32" t="n">
        <x:f>J679+K679</x:f>
        <x:v>0</x:v>
      </x:c>
      <x:c r="M679" s="32" t="n">
        <x:f>IF(A679=1,H679,M678+H679)</x:f>
        <x:v>0</x:v>
      </x:c>
      <x:c r="N679" s="32" t="n">
        <x:f>IF(A679=1,I679,N678+I679)</x:f>
        <x:v>0</x:v>
      </x:c>
      <x:c r="O679" s="32" t="n">
        <x:f>IF(A679=1,G679,O678+G679)</x:f>
        <x:v>3671325</x:v>
      </x:c>
      <x:c r="P679" s="37" t="n">
        <x:f>EDATE(Dashboard!$B$10,A679)</x:f>
        <x:v>65654</x:v>
      </x:c>
    </x:row>
    <x:row r="680">
      <x:c r="A680" s="33" t="n">
        <x:v>679</x:v>
      </x:c>
      <x:c r="B680" s="33" t="str">
        <x:f>IF(A680&lt;=Dashboard!$F$8,"Holiday",IF(A680&lt;=Dashboard!$F$8+Dashboard!$F$7,"Repayment","Closed"))</x:f>
        <x:v>Closed</x:v>
      </x:c>
      <x:c r="C680" s="32">
        <x:f>IF(A680=1,Dashboard!$B$6,IF(B680="Holiday",J679,L679))</x:f>
      </x:c>
      <x:c r="D680" s="32">
        <x:f>IF(A680=1,0,IF(B680="Holiday",K679,0))</x:f>
      </x:c>
      <x:c r="E680" s="32">
        <x:f>C680+D680</x:f>
      </x:c>
      <x:c r="F680" s="32">
        <x:f>IF(B680="Holiday",IF(Dashboard!$B$14="Principal Only",MIN(Dashboard!$B$15,C680),0),0)</x:f>
      </x:c>
      <x:c r="G680" s="32" t="n">
        <x:f>IF(B680="Closed",0,IF(B680="Holiday",IF(Dashboard!$B$14="Interest Only",C680*Dashboard!$F$6,MAX(0,(C680-F680)*Dashboard!$F$6)),E680*Dashboard!$F$6))</x:f>
        <x:v>0</x:v>
      </x:c>
      <x:c r="H680" s="32" t="n">
        <x:f>IF(B680="Holiday",IF(Dashboard!$B$14="Interest Only",G680,F680),IF(B680="Closed",0,MIN(Dashboard!$F$10,E680+G680)))</x:f>
        <x:v>0</x:v>
      </x:c>
      <x:c r="I680" s="32" t="n">
        <x:f>IF(B680="Holiday",F680,IF(B680="Closed",0,MAX(0,H680-G680)))</x:f>
        <x:v>0</x:v>
      </x:c>
      <x:c r="J680" s="32" t="n">
        <x:f>IF(B680="Holiday",MAX(0,C680-F680),IF(B680="Closed",0,MAX(0,E680-I680)))</x:f>
        <x:v>0</x:v>
      </x:c>
      <x:c r="K680" s="32" t="n">
        <x:f>IF(B680="Holiday",IF(Dashboard!$B$14="Interest Only",D680,D680+G680),0)</x:f>
        <x:v>0</x:v>
      </x:c>
      <x:c r="L680" s="32" t="n">
        <x:f>J680+K680</x:f>
        <x:v>0</x:v>
      </x:c>
      <x:c r="M680" s="32" t="n">
        <x:f>IF(A680=1,H680,M679+H680)</x:f>
        <x:v>0</x:v>
      </x:c>
      <x:c r="N680" s="32" t="n">
        <x:f>IF(A680=1,I680,N679+I680)</x:f>
        <x:v>0</x:v>
      </x:c>
      <x:c r="O680" s="32" t="n">
        <x:f>IF(A680=1,G680,O679+G680)</x:f>
        <x:v>3671325</x:v>
      </x:c>
      <x:c r="P680" s="37" t="n">
        <x:f>EDATE(Dashboard!$B$10,A680)</x:f>
        <x:v>65685</x:v>
      </x:c>
    </x:row>
    <x:row r="681">
      <x:c r="A681" s="33" t="n">
        <x:v>680</x:v>
      </x:c>
      <x:c r="B681" s="33" t="str">
        <x:f>IF(A681&lt;=Dashboard!$F$8,"Holiday",IF(A681&lt;=Dashboard!$F$8+Dashboard!$F$7,"Repayment","Closed"))</x:f>
        <x:v>Closed</x:v>
      </x:c>
      <x:c r="C681" s="32">
        <x:f>IF(A681=1,Dashboard!$B$6,IF(B681="Holiday",J680,L680))</x:f>
      </x:c>
      <x:c r="D681" s="32">
        <x:f>IF(A681=1,0,IF(B681="Holiday",K680,0))</x:f>
      </x:c>
      <x:c r="E681" s="32">
        <x:f>C681+D681</x:f>
      </x:c>
      <x:c r="F681" s="32">
        <x:f>IF(B681="Holiday",IF(Dashboard!$B$14="Principal Only",MIN(Dashboard!$B$15,C681),0),0)</x:f>
      </x:c>
      <x:c r="G681" s="32" t="n">
        <x:f>IF(B681="Closed",0,IF(B681="Holiday",IF(Dashboard!$B$14="Interest Only",C681*Dashboard!$F$6,MAX(0,(C681-F681)*Dashboard!$F$6)),E681*Dashboard!$F$6))</x:f>
        <x:v>0</x:v>
      </x:c>
      <x:c r="H681" s="32" t="n">
        <x:f>IF(B681="Holiday",IF(Dashboard!$B$14="Interest Only",G681,F681),IF(B681="Closed",0,MIN(Dashboard!$F$10,E681+G681)))</x:f>
        <x:v>0</x:v>
      </x:c>
      <x:c r="I681" s="32" t="n">
        <x:f>IF(B681="Holiday",F681,IF(B681="Closed",0,MAX(0,H681-G681)))</x:f>
        <x:v>0</x:v>
      </x:c>
      <x:c r="J681" s="32" t="n">
        <x:f>IF(B681="Holiday",MAX(0,C681-F681),IF(B681="Closed",0,MAX(0,E681-I681)))</x:f>
        <x:v>0</x:v>
      </x:c>
      <x:c r="K681" s="32" t="n">
        <x:f>IF(B681="Holiday",IF(Dashboard!$B$14="Interest Only",D681,D681+G681),0)</x:f>
        <x:v>0</x:v>
      </x:c>
      <x:c r="L681" s="32" t="n">
        <x:f>J681+K681</x:f>
        <x:v>0</x:v>
      </x:c>
      <x:c r="M681" s="32" t="n">
        <x:f>IF(A681=1,H681,M680+H681)</x:f>
        <x:v>0</x:v>
      </x:c>
      <x:c r="N681" s="32" t="n">
        <x:f>IF(A681=1,I681,N680+I681)</x:f>
        <x:v>0</x:v>
      </x:c>
      <x:c r="O681" s="32" t="n">
        <x:f>IF(A681=1,G681,O680+G681)</x:f>
        <x:v>3671325</x:v>
      </x:c>
      <x:c r="P681" s="37" t="n">
        <x:f>EDATE(Dashboard!$B$10,A681)</x:f>
        <x:v>65715</x:v>
      </x:c>
    </x:row>
    <x:row r="682">
      <x:c r="A682" s="33" t="n">
        <x:v>681</x:v>
      </x:c>
      <x:c r="B682" s="33" t="str">
        <x:f>IF(A682&lt;=Dashboard!$F$8,"Holiday",IF(A682&lt;=Dashboard!$F$8+Dashboard!$F$7,"Repayment","Closed"))</x:f>
        <x:v>Closed</x:v>
      </x:c>
      <x:c r="C682" s="32">
        <x:f>IF(A682=1,Dashboard!$B$6,IF(B682="Holiday",J681,L681))</x:f>
      </x:c>
      <x:c r="D682" s="32">
        <x:f>IF(A682=1,0,IF(B682="Holiday",K681,0))</x:f>
      </x:c>
      <x:c r="E682" s="32">
        <x:f>C682+D682</x:f>
      </x:c>
      <x:c r="F682" s="32">
        <x:f>IF(B682="Holiday",IF(Dashboard!$B$14="Principal Only",MIN(Dashboard!$B$15,C682),0),0)</x:f>
      </x:c>
      <x:c r="G682" s="32" t="n">
        <x:f>IF(B682="Closed",0,IF(B682="Holiday",IF(Dashboard!$B$14="Interest Only",C682*Dashboard!$F$6,MAX(0,(C682-F682)*Dashboard!$F$6)),E682*Dashboard!$F$6))</x:f>
        <x:v>0</x:v>
      </x:c>
      <x:c r="H682" s="32" t="n">
        <x:f>IF(B682="Holiday",IF(Dashboard!$B$14="Interest Only",G682,F682),IF(B682="Closed",0,MIN(Dashboard!$F$10,E682+G682)))</x:f>
        <x:v>0</x:v>
      </x:c>
      <x:c r="I682" s="32" t="n">
        <x:f>IF(B682="Holiday",F682,IF(B682="Closed",0,MAX(0,H682-G682)))</x:f>
        <x:v>0</x:v>
      </x:c>
      <x:c r="J682" s="32" t="n">
        <x:f>IF(B682="Holiday",MAX(0,C682-F682),IF(B682="Closed",0,MAX(0,E682-I682)))</x:f>
        <x:v>0</x:v>
      </x:c>
      <x:c r="K682" s="32" t="n">
        <x:f>IF(B682="Holiday",IF(Dashboard!$B$14="Interest Only",D682,D682+G682),0)</x:f>
        <x:v>0</x:v>
      </x:c>
      <x:c r="L682" s="32" t="n">
        <x:f>J682+K682</x:f>
        <x:v>0</x:v>
      </x:c>
      <x:c r="M682" s="32" t="n">
        <x:f>IF(A682=1,H682,M681+H682)</x:f>
        <x:v>0</x:v>
      </x:c>
      <x:c r="N682" s="32" t="n">
        <x:f>IF(A682=1,I682,N681+I682)</x:f>
        <x:v>0</x:v>
      </x:c>
      <x:c r="O682" s="32" t="n">
        <x:f>IF(A682=1,G682,O681+G682)</x:f>
        <x:v>3671325</x:v>
      </x:c>
      <x:c r="P682" s="37" t="n">
        <x:f>EDATE(Dashboard!$B$10,A682)</x:f>
        <x:v>65746</x:v>
      </x:c>
    </x:row>
    <x:row r="683">
      <x:c r="A683" s="33" t="n">
        <x:v>682</x:v>
      </x:c>
      <x:c r="B683" s="33" t="str">
        <x:f>IF(A683&lt;=Dashboard!$F$8,"Holiday",IF(A683&lt;=Dashboard!$F$8+Dashboard!$F$7,"Repayment","Closed"))</x:f>
        <x:v>Closed</x:v>
      </x:c>
      <x:c r="C683" s="32">
        <x:f>IF(A683=1,Dashboard!$B$6,IF(B683="Holiday",J682,L682))</x:f>
      </x:c>
      <x:c r="D683" s="32">
        <x:f>IF(A683=1,0,IF(B683="Holiday",K682,0))</x:f>
      </x:c>
      <x:c r="E683" s="32">
        <x:f>C683+D683</x:f>
      </x:c>
      <x:c r="F683" s="32">
        <x:f>IF(B683="Holiday",IF(Dashboard!$B$14="Principal Only",MIN(Dashboard!$B$15,C683),0),0)</x:f>
      </x:c>
      <x:c r="G683" s="32" t="n">
        <x:f>IF(B683="Closed",0,IF(B683="Holiday",IF(Dashboard!$B$14="Interest Only",C683*Dashboard!$F$6,MAX(0,(C683-F683)*Dashboard!$F$6)),E683*Dashboard!$F$6))</x:f>
        <x:v>0</x:v>
      </x:c>
      <x:c r="H683" s="32" t="n">
        <x:f>IF(B683="Holiday",IF(Dashboard!$B$14="Interest Only",G683,F683),IF(B683="Closed",0,MIN(Dashboard!$F$10,E683+G683)))</x:f>
        <x:v>0</x:v>
      </x:c>
      <x:c r="I683" s="32" t="n">
        <x:f>IF(B683="Holiday",F683,IF(B683="Closed",0,MAX(0,H683-G683)))</x:f>
        <x:v>0</x:v>
      </x:c>
      <x:c r="J683" s="32" t="n">
        <x:f>IF(B683="Holiday",MAX(0,C683-F683),IF(B683="Closed",0,MAX(0,E683-I683)))</x:f>
        <x:v>0</x:v>
      </x:c>
      <x:c r="K683" s="32" t="n">
        <x:f>IF(B683="Holiday",IF(Dashboard!$B$14="Interest Only",D683,D683+G683),0)</x:f>
        <x:v>0</x:v>
      </x:c>
      <x:c r="L683" s="32" t="n">
        <x:f>J683+K683</x:f>
        <x:v>0</x:v>
      </x:c>
      <x:c r="M683" s="32" t="n">
        <x:f>IF(A683=1,H683,M682+H683)</x:f>
        <x:v>0</x:v>
      </x:c>
      <x:c r="N683" s="32" t="n">
        <x:f>IF(A683=1,I683,N682+I683)</x:f>
        <x:v>0</x:v>
      </x:c>
      <x:c r="O683" s="32" t="n">
        <x:f>IF(A683=1,G683,O682+G683)</x:f>
        <x:v>3671325</x:v>
      </x:c>
      <x:c r="P683" s="37" t="n">
        <x:f>EDATE(Dashboard!$B$10,A683)</x:f>
        <x:v>65777</x:v>
      </x:c>
    </x:row>
    <x:row r="684">
      <x:c r="A684" s="33" t="n">
        <x:v>683</x:v>
      </x:c>
      <x:c r="B684" s="33" t="str">
        <x:f>IF(A684&lt;=Dashboard!$F$8,"Holiday",IF(A684&lt;=Dashboard!$F$8+Dashboard!$F$7,"Repayment","Closed"))</x:f>
        <x:v>Closed</x:v>
      </x:c>
      <x:c r="C684" s="32">
        <x:f>IF(A684=1,Dashboard!$B$6,IF(B684="Holiday",J683,L683))</x:f>
      </x:c>
      <x:c r="D684" s="32">
        <x:f>IF(A684=1,0,IF(B684="Holiday",K683,0))</x:f>
      </x:c>
      <x:c r="E684" s="32">
        <x:f>C684+D684</x:f>
      </x:c>
      <x:c r="F684" s="32">
        <x:f>IF(B684="Holiday",IF(Dashboard!$B$14="Principal Only",MIN(Dashboard!$B$15,C684),0),0)</x:f>
      </x:c>
      <x:c r="G684" s="32" t="n">
        <x:f>IF(B684="Closed",0,IF(B684="Holiday",IF(Dashboard!$B$14="Interest Only",C684*Dashboard!$F$6,MAX(0,(C684-F684)*Dashboard!$F$6)),E684*Dashboard!$F$6))</x:f>
        <x:v>0</x:v>
      </x:c>
      <x:c r="H684" s="32" t="n">
        <x:f>IF(B684="Holiday",IF(Dashboard!$B$14="Interest Only",G684,F684),IF(B684="Closed",0,MIN(Dashboard!$F$10,E684+G684)))</x:f>
        <x:v>0</x:v>
      </x:c>
      <x:c r="I684" s="32" t="n">
        <x:f>IF(B684="Holiday",F684,IF(B684="Closed",0,MAX(0,H684-G684)))</x:f>
        <x:v>0</x:v>
      </x:c>
      <x:c r="J684" s="32" t="n">
        <x:f>IF(B684="Holiday",MAX(0,C684-F684),IF(B684="Closed",0,MAX(0,E684-I684)))</x:f>
        <x:v>0</x:v>
      </x:c>
      <x:c r="K684" s="32" t="n">
        <x:f>IF(B684="Holiday",IF(Dashboard!$B$14="Interest Only",D684,D684+G684),0)</x:f>
        <x:v>0</x:v>
      </x:c>
      <x:c r="L684" s="32" t="n">
        <x:f>J684+K684</x:f>
        <x:v>0</x:v>
      </x:c>
      <x:c r="M684" s="32" t="n">
        <x:f>IF(A684=1,H684,M683+H684)</x:f>
        <x:v>0</x:v>
      </x:c>
      <x:c r="N684" s="32" t="n">
        <x:f>IF(A684=1,I684,N683+I684)</x:f>
        <x:v>0</x:v>
      </x:c>
      <x:c r="O684" s="32" t="n">
        <x:f>IF(A684=1,G684,O683+G684)</x:f>
        <x:v>3671325</x:v>
      </x:c>
      <x:c r="P684" s="37" t="n">
        <x:f>EDATE(Dashboard!$B$10,A684)</x:f>
        <x:v>65806</x:v>
      </x:c>
    </x:row>
    <x:row r="685">
      <x:c r="A685" s="33" t="n">
        <x:v>684</x:v>
      </x:c>
      <x:c r="B685" s="33" t="str">
        <x:f>IF(A685&lt;=Dashboard!$F$8,"Holiday",IF(A685&lt;=Dashboard!$F$8+Dashboard!$F$7,"Repayment","Closed"))</x:f>
        <x:v>Closed</x:v>
      </x:c>
      <x:c r="C685" s="32">
        <x:f>IF(A685=1,Dashboard!$B$6,IF(B685="Holiday",J684,L684))</x:f>
      </x:c>
      <x:c r="D685" s="32">
        <x:f>IF(A685=1,0,IF(B685="Holiday",K684,0))</x:f>
      </x:c>
      <x:c r="E685" s="32">
        <x:f>C685+D685</x:f>
      </x:c>
      <x:c r="F685" s="32">
        <x:f>IF(B685="Holiday",IF(Dashboard!$B$14="Principal Only",MIN(Dashboard!$B$15,C685),0),0)</x:f>
      </x:c>
      <x:c r="G685" s="32" t="n">
        <x:f>IF(B685="Closed",0,IF(B685="Holiday",IF(Dashboard!$B$14="Interest Only",C685*Dashboard!$F$6,MAX(0,(C685-F685)*Dashboard!$F$6)),E685*Dashboard!$F$6))</x:f>
        <x:v>0</x:v>
      </x:c>
      <x:c r="H685" s="32" t="n">
        <x:f>IF(B685="Holiday",IF(Dashboard!$B$14="Interest Only",G685,F685),IF(B685="Closed",0,MIN(Dashboard!$F$10,E685+G685)))</x:f>
        <x:v>0</x:v>
      </x:c>
      <x:c r="I685" s="32" t="n">
        <x:f>IF(B685="Holiday",F685,IF(B685="Closed",0,MAX(0,H685-G685)))</x:f>
        <x:v>0</x:v>
      </x:c>
      <x:c r="J685" s="32" t="n">
        <x:f>IF(B685="Holiday",MAX(0,C685-F685),IF(B685="Closed",0,MAX(0,E685-I685)))</x:f>
        <x:v>0</x:v>
      </x:c>
      <x:c r="K685" s="32" t="n">
        <x:f>IF(B685="Holiday",IF(Dashboard!$B$14="Interest Only",D685,D685+G685),0)</x:f>
        <x:v>0</x:v>
      </x:c>
      <x:c r="L685" s="32" t="n">
        <x:f>J685+K685</x:f>
        <x:v>0</x:v>
      </x:c>
      <x:c r="M685" s="32" t="n">
        <x:f>IF(A685=1,H685,M684+H685)</x:f>
        <x:v>0</x:v>
      </x:c>
      <x:c r="N685" s="32" t="n">
        <x:f>IF(A685=1,I685,N684+I685)</x:f>
        <x:v>0</x:v>
      </x:c>
      <x:c r="O685" s="32" t="n">
        <x:f>IF(A685=1,G685,O684+G685)</x:f>
        <x:v>3671325</x:v>
      </x:c>
      <x:c r="P685" s="37" t="n">
        <x:f>EDATE(Dashboard!$B$10,A685)</x:f>
        <x:v>65837</x:v>
      </x:c>
    </x:row>
    <x:row r="686">
      <x:c r="A686" s="33" t="n">
        <x:v>685</x:v>
      </x:c>
      <x:c r="B686" s="33" t="str">
        <x:f>IF(A686&lt;=Dashboard!$F$8,"Holiday",IF(A686&lt;=Dashboard!$F$8+Dashboard!$F$7,"Repayment","Closed"))</x:f>
        <x:v>Closed</x:v>
      </x:c>
      <x:c r="C686" s="32">
        <x:f>IF(A686=1,Dashboard!$B$6,IF(B686="Holiday",J685,L685))</x:f>
      </x:c>
      <x:c r="D686" s="32">
        <x:f>IF(A686=1,0,IF(B686="Holiday",K685,0))</x:f>
      </x:c>
      <x:c r="E686" s="32">
        <x:f>C686+D686</x:f>
      </x:c>
      <x:c r="F686" s="32">
        <x:f>IF(B686="Holiday",IF(Dashboard!$B$14="Principal Only",MIN(Dashboard!$B$15,C686),0),0)</x:f>
      </x:c>
      <x:c r="G686" s="32" t="n">
        <x:f>IF(B686="Closed",0,IF(B686="Holiday",IF(Dashboard!$B$14="Interest Only",C686*Dashboard!$F$6,MAX(0,(C686-F686)*Dashboard!$F$6)),E686*Dashboard!$F$6))</x:f>
        <x:v>0</x:v>
      </x:c>
      <x:c r="H686" s="32" t="n">
        <x:f>IF(B686="Holiday",IF(Dashboard!$B$14="Interest Only",G686,F686),IF(B686="Closed",0,MIN(Dashboard!$F$10,E686+G686)))</x:f>
        <x:v>0</x:v>
      </x:c>
      <x:c r="I686" s="32" t="n">
        <x:f>IF(B686="Holiday",F686,IF(B686="Closed",0,MAX(0,H686-G686)))</x:f>
        <x:v>0</x:v>
      </x:c>
      <x:c r="J686" s="32" t="n">
        <x:f>IF(B686="Holiday",MAX(0,C686-F686),IF(B686="Closed",0,MAX(0,E686-I686)))</x:f>
        <x:v>0</x:v>
      </x:c>
      <x:c r="K686" s="32" t="n">
        <x:f>IF(B686="Holiday",IF(Dashboard!$B$14="Interest Only",D686,D686+G686),0)</x:f>
        <x:v>0</x:v>
      </x:c>
      <x:c r="L686" s="32" t="n">
        <x:f>J686+K686</x:f>
        <x:v>0</x:v>
      </x:c>
      <x:c r="M686" s="32" t="n">
        <x:f>IF(A686=1,H686,M685+H686)</x:f>
        <x:v>0</x:v>
      </x:c>
      <x:c r="N686" s="32" t="n">
        <x:f>IF(A686=1,I686,N685+I686)</x:f>
        <x:v>0</x:v>
      </x:c>
      <x:c r="O686" s="32" t="n">
        <x:f>IF(A686=1,G686,O685+G686)</x:f>
        <x:v>3671325</x:v>
      </x:c>
      <x:c r="P686" s="37" t="n">
        <x:f>EDATE(Dashboard!$B$10,A686)</x:f>
        <x:v>65867</x:v>
      </x:c>
    </x:row>
    <x:row r="687">
      <x:c r="A687" s="33" t="n">
        <x:v>686</x:v>
      </x:c>
      <x:c r="B687" s="33" t="str">
        <x:f>IF(A687&lt;=Dashboard!$F$8,"Holiday",IF(A687&lt;=Dashboard!$F$8+Dashboard!$F$7,"Repayment","Closed"))</x:f>
        <x:v>Closed</x:v>
      </x:c>
      <x:c r="C687" s="32">
        <x:f>IF(A687=1,Dashboard!$B$6,IF(B687="Holiday",J686,L686))</x:f>
      </x:c>
      <x:c r="D687" s="32">
        <x:f>IF(A687=1,0,IF(B687="Holiday",K686,0))</x:f>
      </x:c>
      <x:c r="E687" s="32">
        <x:f>C687+D687</x:f>
      </x:c>
      <x:c r="F687" s="32">
        <x:f>IF(B687="Holiday",IF(Dashboard!$B$14="Principal Only",MIN(Dashboard!$B$15,C687),0),0)</x:f>
      </x:c>
      <x:c r="G687" s="32" t="n">
        <x:f>IF(B687="Closed",0,IF(B687="Holiday",IF(Dashboard!$B$14="Interest Only",C687*Dashboard!$F$6,MAX(0,(C687-F687)*Dashboard!$F$6)),E687*Dashboard!$F$6))</x:f>
        <x:v>0</x:v>
      </x:c>
      <x:c r="H687" s="32" t="n">
        <x:f>IF(B687="Holiday",IF(Dashboard!$B$14="Interest Only",G687,F687),IF(B687="Closed",0,MIN(Dashboard!$F$10,E687+G687)))</x:f>
        <x:v>0</x:v>
      </x:c>
      <x:c r="I687" s="32" t="n">
        <x:f>IF(B687="Holiday",F687,IF(B687="Closed",0,MAX(0,H687-G687)))</x:f>
        <x:v>0</x:v>
      </x:c>
      <x:c r="J687" s="32" t="n">
        <x:f>IF(B687="Holiday",MAX(0,C687-F687),IF(B687="Closed",0,MAX(0,E687-I687)))</x:f>
        <x:v>0</x:v>
      </x:c>
      <x:c r="K687" s="32" t="n">
        <x:f>IF(B687="Holiday",IF(Dashboard!$B$14="Interest Only",D687,D687+G687),0)</x:f>
        <x:v>0</x:v>
      </x:c>
      <x:c r="L687" s="32" t="n">
        <x:f>J687+K687</x:f>
        <x:v>0</x:v>
      </x:c>
      <x:c r="M687" s="32" t="n">
        <x:f>IF(A687=1,H687,M686+H687)</x:f>
        <x:v>0</x:v>
      </x:c>
      <x:c r="N687" s="32" t="n">
        <x:f>IF(A687=1,I687,N686+I687)</x:f>
        <x:v>0</x:v>
      </x:c>
      <x:c r="O687" s="32" t="n">
        <x:f>IF(A687=1,G687,O686+G687)</x:f>
        <x:v>3671325</x:v>
      </x:c>
      <x:c r="P687" s="37" t="n">
        <x:f>EDATE(Dashboard!$B$10,A687)</x:f>
        <x:v>65898</x:v>
      </x:c>
    </x:row>
    <x:row r="688">
      <x:c r="A688" s="33" t="n">
        <x:v>687</x:v>
      </x:c>
      <x:c r="B688" s="33" t="str">
        <x:f>IF(A688&lt;=Dashboard!$F$8,"Holiday",IF(A688&lt;=Dashboard!$F$8+Dashboard!$F$7,"Repayment","Closed"))</x:f>
        <x:v>Closed</x:v>
      </x:c>
      <x:c r="C688" s="32">
        <x:f>IF(A688=1,Dashboard!$B$6,IF(B688="Holiday",J687,L687))</x:f>
      </x:c>
      <x:c r="D688" s="32">
        <x:f>IF(A688=1,0,IF(B688="Holiday",K687,0))</x:f>
      </x:c>
      <x:c r="E688" s="32">
        <x:f>C688+D688</x:f>
      </x:c>
      <x:c r="F688" s="32">
        <x:f>IF(B688="Holiday",IF(Dashboard!$B$14="Principal Only",MIN(Dashboard!$B$15,C688),0),0)</x:f>
      </x:c>
      <x:c r="G688" s="32" t="n">
        <x:f>IF(B688="Closed",0,IF(B688="Holiday",IF(Dashboard!$B$14="Interest Only",C688*Dashboard!$F$6,MAX(0,(C688-F688)*Dashboard!$F$6)),E688*Dashboard!$F$6))</x:f>
        <x:v>0</x:v>
      </x:c>
      <x:c r="H688" s="32" t="n">
        <x:f>IF(B688="Holiday",IF(Dashboard!$B$14="Interest Only",G688,F688),IF(B688="Closed",0,MIN(Dashboard!$F$10,E688+G688)))</x:f>
        <x:v>0</x:v>
      </x:c>
      <x:c r="I688" s="32" t="n">
        <x:f>IF(B688="Holiday",F688,IF(B688="Closed",0,MAX(0,H688-G688)))</x:f>
        <x:v>0</x:v>
      </x:c>
      <x:c r="J688" s="32" t="n">
        <x:f>IF(B688="Holiday",MAX(0,C688-F688),IF(B688="Closed",0,MAX(0,E688-I688)))</x:f>
        <x:v>0</x:v>
      </x:c>
      <x:c r="K688" s="32" t="n">
        <x:f>IF(B688="Holiday",IF(Dashboard!$B$14="Interest Only",D688,D688+G688),0)</x:f>
        <x:v>0</x:v>
      </x:c>
      <x:c r="L688" s="32" t="n">
        <x:f>J688+K688</x:f>
        <x:v>0</x:v>
      </x:c>
      <x:c r="M688" s="32" t="n">
        <x:f>IF(A688=1,H688,M687+H688)</x:f>
        <x:v>0</x:v>
      </x:c>
      <x:c r="N688" s="32" t="n">
        <x:f>IF(A688=1,I688,N687+I688)</x:f>
        <x:v>0</x:v>
      </x:c>
      <x:c r="O688" s="32" t="n">
        <x:f>IF(A688=1,G688,O687+G688)</x:f>
        <x:v>3671325</x:v>
      </x:c>
      <x:c r="P688" s="37" t="n">
        <x:f>EDATE(Dashboard!$B$10,A688)</x:f>
        <x:v>65928</x:v>
      </x:c>
    </x:row>
    <x:row r="689">
      <x:c r="A689" s="33" t="n">
        <x:v>688</x:v>
      </x:c>
      <x:c r="B689" s="33" t="str">
        <x:f>IF(A689&lt;=Dashboard!$F$8,"Holiday",IF(A689&lt;=Dashboard!$F$8+Dashboard!$F$7,"Repayment","Closed"))</x:f>
        <x:v>Closed</x:v>
      </x:c>
      <x:c r="C689" s="32">
        <x:f>IF(A689=1,Dashboard!$B$6,IF(B689="Holiday",J688,L688))</x:f>
      </x:c>
      <x:c r="D689" s="32">
        <x:f>IF(A689=1,0,IF(B689="Holiday",K688,0))</x:f>
      </x:c>
      <x:c r="E689" s="32">
        <x:f>C689+D689</x:f>
      </x:c>
      <x:c r="F689" s="32">
        <x:f>IF(B689="Holiday",IF(Dashboard!$B$14="Principal Only",MIN(Dashboard!$B$15,C689),0),0)</x:f>
      </x:c>
      <x:c r="G689" s="32" t="n">
        <x:f>IF(B689="Closed",0,IF(B689="Holiday",IF(Dashboard!$B$14="Interest Only",C689*Dashboard!$F$6,MAX(0,(C689-F689)*Dashboard!$F$6)),E689*Dashboard!$F$6))</x:f>
        <x:v>0</x:v>
      </x:c>
      <x:c r="H689" s="32" t="n">
        <x:f>IF(B689="Holiday",IF(Dashboard!$B$14="Interest Only",G689,F689),IF(B689="Closed",0,MIN(Dashboard!$F$10,E689+G689)))</x:f>
        <x:v>0</x:v>
      </x:c>
      <x:c r="I689" s="32" t="n">
        <x:f>IF(B689="Holiday",F689,IF(B689="Closed",0,MAX(0,H689-G689)))</x:f>
        <x:v>0</x:v>
      </x:c>
      <x:c r="J689" s="32" t="n">
        <x:f>IF(B689="Holiday",MAX(0,C689-F689),IF(B689="Closed",0,MAX(0,E689-I689)))</x:f>
        <x:v>0</x:v>
      </x:c>
      <x:c r="K689" s="32" t="n">
        <x:f>IF(B689="Holiday",IF(Dashboard!$B$14="Interest Only",D689,D689+G689),0)</x:f>
        <x:v>0</x:v>
      </x:c>
      <x:c r="L689" s="32" t="n">
        <x:f>J689+K689</x:f>
        <x:v>0</x:v>
      </x:c>
      <x:c r="M689" s="32" t="n">
        <x:f>IF(A689=1,H689,M688+H689)</x:f>
        <x:v>0</x:v>
      </x:c>
      <x:c r="N689" s="32" t="n">
        <x:f>IF(A689=1,I689,N688+I689)</x:f>
        <x:v>0</x:v>
      </x:c>
      <x:c r="O689" s="32" t="n">
        <x:f>IF(A689=1,G689,O688+G689)</x:f>
        <x:v>3671325</x:v>
      </x:c>
      <x:c r="P689" s="37" t="n">
        <x:f>EDATE(Dashboard!$B$10,A689)</x:f>
        <x:v>65959</x:v>
      </x:c>
    </x:row>
    <x:row r="690">
      <x:c r="A690" s="33" t="n">
        <x:v>689</x:v>
      </x:c>
      <x:c r="B690" s="33" t="str">
        <x:f>IF(A690&lt;=Dashboard!$F$8,"Holiday",IF(A690&lt;=Dashboard!$F$8+Dashboard!$F$7,"Repayment","Closed"))</x:f>
        <x:v>Closed</x:v>
      </x:c>
      <x:c r="C690" s="32">
        <x:f>IF(A690=1,Dashboard!$B$6,IF(B690="Holiday",J689,L689))</x:f>
      </x:c>
      <x:c r="D690" s="32">
        <x:f>IF(A690=1,0,IF(B690="Holiday",K689,0))</x:f>
      </x:c>
      <x:c r="E690" s="32">
        <x:f>C690+D690</x:f>
      </x:c>
      <x:c r="F690" s="32">
        <x:f>IF(B690="Holiday",IF(Dashboard!$B$14="Principal Only",MIN(Dashboard!$B$15,C690),0),0)</x:f>
      </x:c>
      <x:c r="G690" s="32" t="n">
        <x:f>IF(B690="Closed",0,IF(B690="Holiday",IF(Dashboard!$B$14="Interest Only",C690*Dashboard!$F$6,MAX(0,(C690-F690)*Dashboard!$F$6)),E690*Dashboard!$F$6))</x:f>
        <x:v>0</x:v>
      </x:c>
      <x:c r="H690" s="32" t="n">
        <x:f>IF(B690="Holiday",IF(Dashboard!$B$14="Interest Only",G690,F690),IF(B690="Closed",0,MIN(Dashboard!$F$10,E690+G690)))</x:f>
        <x:v>0</x:v>
      </x:c>
      <x:c r="I690" s="32" t="n">
        <x:f>IF(B690="Holiday",F690,IF(B690="Closed",0,MAX(0,H690-G690)))</x:f>
        <x:v>0</x:v>
      </x:c>
      <x:c r="J690" s="32" t="n">
        <x:f>IF(B690="Holiday",MAX(0,C690-F690),IF(B690="Closed",0,MAX(0,E690-I690)))</x:f>
        <x:v>0</x:v>
      </x:c>
      <x:c r="K690" s="32" t="n">
        <x:f>IF(B690="Holiday",IF(Dashboard!$B$14="Interest Only",D690,D690+G690),0)</x:f>
        <x:v>0</x:v>
      </x:c>
      <x:c r="L690" s="32" t="n">
        <x:f>J690+K690</x:f>
        <x:v>0</x:v>
      </x:c>
      <x:c r="M690" s="32" t="n">
        <x:f>IF(A690=1,H690,M689+H690)</x:f>
        <x:v>0</x:v>
      </x:c>
      <x:c r="N690" s="32" t="n">
        <x:f>IF(A690=1,I690,N689+I690)</x:f>
        <x:v>0</x:v>
      </x:c>
      <x:c r="O690" s="32" t="n">
        <x:f>IF(A690=1,G690,O689+G690)</x:f>
        <x:v>3671325</x:v>
      </x:c>
      <x:c r="P690" s="37" t="n">
        <x:f>EDATE(Dashboard!$B$10,A690)</x:f>
        <x:v>65990</x:v>
      </x:c>
    </x:row>
    <x:row r="691">
      <x:c r="A691" s="33" t="n">
        <x:v>690</x:v>
      </x:c>
      <x:c r="B691" s="33" t="str">
        <x:f>IF(A691&lt;=Dashboard!$F$8,"Holiday",IF(A691&lt;=Dashboard!$F$8+Dashboard!$F$7,"Repayment","Closed"))</x:f>
        <x:v>Closed</x:v>
      </x:c>
      <x:c r="C691" s="32">
        <x:f>IF(A691=1,Dashboard!$B$6,IF(B691="Holiday",J690,L690))</x:f>
      </x:c>
      <x:c r="D691" s="32">
        <x:f>IF(A691=1,0,IF(B691="Holiday",K690,0))</x:f>
      </x:c>
      <x:c r="E691" s="32">
        <x:f>C691+D691</x:f>
      </x:c>
      <x:c r="F691" s="32">
        <x:f>IF(B691="Holiday",IF(Dashboard!$B$14="Principal Only",MIN(Dashboard!$B$15,C691),0),0)</x:f>
      </x:c>
      <x:c r="G691" s="32" t="n">
        <x:f>IF(B691="Closed",0,IF(B691="Holiday",IF(Dashboard!$B$14="Interest Only",C691*Dashboard!$F$6,MAX(0,(C691-F691)*Dashboard!$F$6)),E691*Dashboard!$F$6))</x:f>
        <x:v>0</x:v>
      </x:c>
      <x:c r="H691" s="32" t="n">
        <x:f>IF(B691="Holiday",IF(Dashboard!$B$14="Interest Only",G691,F691),IF(B691="Closed",0,MIN(Dashboard!$F$10,E691+G691)))</x:f>
        <x:v>0</x:v>
      </x:c>
      <x:c r="I691" s="32" t="n">
        <x:f>IF(B691="Holiday",F691,IF(B691="Closed",0,MAX(0,H691-G691)))</x:f>
        <x:v>0</x:v>
      </x:c>
      <x:c r="J691" s="32" t="n">
        <x:f>IF(B691="Holiday",MAX(0,C691-F691),IF(B691="Closed",0,MAX(0,E691-I691)))</x:f>
        <x:v>0</x:v>
      </x:c>
      <x:c r="K691" s="32" t="n">
        <x:f>IF(B691="Holiday",IF(Dashboard!$B$14="Interest Only",D691,D691+G691),0)</x:f>
        <x:v>0</x:v>
      </x:c>
      <x:c r="L691" s="32" t="n">
        <x:f>J691+K691</x:f>
        <x:v>0</x:v>
      </x:c>
      <x:c r="M691" s="32" t="n">
        <x:f>IF(A691=1,H691,M690+H691)</x:f>
        <x:v>0</x:v>
      </x:c>
      <x:c r="N691" s="32" t="n">
        <x:f>IF(A691=1,I691,N690+I691)</x:f>
        <x:v>0</x:v>
      </x:c>
      <x:c r="O691" s="32" t="n">
        <x:f>IF(A691=1,G691,O690+G691)</x:f>
        <x:v>3671325</x:v>
      </x:c>
      <x:c r="P691" s="37" t="n">
        <x:f>EDATE(Dashboard!$B$10,A691)</x:f>
        <x:v>66020</x:v>
      </x:c>
    </x:row>
    <x:row r="692">
      <x:c r="A692" s="33" t="n">
        <x:v>691</x:v>
      </x:c>
      <x:c r="B692" s="33" t="str">
        <x:f>IF(A692&lt;=Dashboard!$F$8,"Holiday",IF(A692&lt;=Dashboard!$F$8+Dashboard!$F$7,"Repayment","Closed"))</x:f>
        <x:v>Closed</x:v>
      </x:c>
      <x:c r="C692" s="32">
        <x:f>IF(A692=1,Dashboard!$B$6,IF(B692="Holiday",J691,L691))</x:f>
      </x:c>
      <x:c r="D692" s="32">
        <x:f>IF(A692=1,0,IF(B692="Holiday",K691,0))</x:f>
      </x:c>
      <x:c r="E692" s="32">
        <x:f>C692+D692</x:f>
      </x:c>
      <x:c r="F692" s="32">
        <x:f>IF(B692="Holiday",IF(Dashboard!$B$14="Principal Only",MIN(Dashboard!$B$15,C692),0),0)</x:f>
      </x:c>
      <x:c r="G692" s="32" t="n">
        <x:f>IF(B692="Closed",0,IF(B692="Holiday",IF(Dashboard!$B$14="Interest Only",C692*Dashboard!$F$6,MAX(0,(C692-F692)*Dashboard!$F$6)),E692*Dashboard!$F$6))</x:f>
        <x:v>0</x:v>
      </x:c>
      <x:c r="H692" s="32" t="n">
        <x:f>IF(B692="Holiday",IF(Dashboard!$B$14="Interest Only",G692,F692),IF(B692="Closed",0,MIN(Dashboard!$F$10,E692+G692)))</x:f>
        <x:v>0</x:v>
      </x:c>
      <x:c r="I692" s="32" t="n">
        <x:f>IF(B692="Holiday",F692,IF(B692="Closed",0,MAX(0,H692-G692)))</x:f>
        <x:v>0</x:v>
      </x:c>
      <x:c r="J692" s="32" t="n">
        <x:f>IF(B692="Holiday",MAX(0,C692-F692),IF(B692="Closed",0,MAX(0,E692-I692)))</x:f>
        <x:v>0</x:v>
      </x:c>
      <x:c r="K692" s="32" t="n">
        <x:f>IF(B692="Holiday",IF(Dashboard!$B$14="Interest Only",D692,D692+G692),0)</x:f>
        <x:v>0</x:v>
      </x:c>
      <x:c r="L692" s="32" t="n">
        <x:f>J692+K692</x:f>
        <x:v>0</x:v>
      </x:c>
      <x:c r="M692" s="32" t="n">
        <x:f>IF(A692=1,H692,M691+H692)</x:f>
        <x:v>0</x:v>
      </x:c>
      <x:c r="N692" s="32" t="n">
        <x:f>IF(A692=1,I692,N691+I692)</x:f>
        <x:v>0</x:v>
      </x:c>
      <x:c r="O692" s="32" t="n">
        <x:f>IF(A692=1,G692,O691+G692)</x:f>
        <x:v>3671325</x:v>
      </x:c>
      <x:c r="P692" s="37" t="n">
        <x:f>EDATE(Dashboard!$B$10,A692)</x:f>
        <x:v>66051</x:v>
      </x:c>
    </x:row>
    <x:row r="693">
      <x:c r="A693" s="33" t="n">
        <x:v>692</x:v>
      </x:c>
      <x:c r="B693" s="33" t="str">
        <x:f>IF(A693&lt;=Dashboard!$F$8,"Holiday",IF(A693&lt;=Dashboard!$F$8+Dashboard!$F$7,"Repayment","Closed"))</x:f>
        <x:v>Closed</x:v>
      </x:c>
      <x:c r="C693" s="32">
        <x:f>IF(A693=1,Dashboard!$B$6,IF(B693="Holiday",J692,L692))</x:f>
      </x:c>
      <x:c r="D693" s="32">
        <x:f>IF(A693=1,0,IF(B693="Holiday",K692,0))</x:f>
      </x:c>
      <x:c r="E693" s="32">
        <x:f>C693+D693</x:f>
      </x:c>
      <x:c r="F693" s="32">
        <x:f>IF(B693="Holiday",IF(Dashboard!$B$14="Principal Only",MIN(Dashboard!$B$15,C693),0),0)</x:f>
      </x:c>
      <x:c r="G693" s="32" t="n">
        <x:f>IF(B693="Closed",0,IF(B693="Holiday",IF(Dashboard!$B$14="Interest Only",C693*Dashboard!$F$6,MAX(0,(C693-F693)*Dashboard!$F$6)),E693*Dashboard!$F$6))</x:f>
        <x:v>0</x:v>
      </x:c>
      <x:c r="H693" s="32" t="n">
        <x:f>IF(B693="Holiday",IF(Dashboard!$B$14="Interest Only",G693,F693),IF(B693="Closed",0,MIN(Dashboard!$F$10,E693+G693)))</x:f>
        <x:v>0</x:v>
      </x:c>
      <x:c r="I693" s="32" t="n">
        <x:f>IF(B693="Holiday",F693,IF(B693="Closed",0,MAX(0,H693-G693)))</x:f>
        <x:v>0</x:v>
      </x:c>
      <x:c r="J693" s="32" t="n">
        <x:f>IF(B693="Holiday",MAX(0,C693-F693),IF(B693="Closed",0,MAX(0,E693-I693)))</x:f>
        <x:v>0</x:v>
      </x:c>
      <x:c r="K693" s="32" t="n">
        <x:f>IF(B693="Holiday",IF(Dashboard!$B$14="Interest Only",D693,D693+G693),0)</x:f>
        <x:v>0</x:v>
      </x:c>
      <x:c r="L693" s="32" t="n">
        <x:f>J693+K693</x:f>
        <x:v>0</x:v>
      </x:c>
      <x:c r="M693" s="32" t="n">
        <x:f>IF(A693=1,H693,M692+H693)</x:f>
        <x:v>0</x:v>
      </x:c>
      <x:c r="N693" s="32" t="n">
        <x:f>IF(A693=1,I693,N692+I693)</x:f>
        <x:v>0</x:v>
      </x:c>
      <x:c r="O693" s="32" t="n">
        <x:f>IF(A693=1,G693,O692+G693)</x:f>
        <x:v>3671325</x:v>
      </x:c>
      <x:c r="P693" s="37" t="n">
        <x:f>EDATE(Dashboard!$B$10,A693)</x:f>
        <x:v>66081</x:v>
      </x:c>
    </x:row>
    <x:row r="694">
      <x:c r="A694" s="33" t="n">
        <x:v>693</x:v>
      </x:c>
      <x:c r="B694" s="33" t="str">
        <x:f>IF(A694&lt;=Dashboard!$F$8,"Holiday",IF(A694&lt;=Dashboard!$F$8+Dashboard!$F$7,"Repayment","Closed"))</x:f>
        <x:v>Closed</x:v>
      </x:c>
      <x:c r="C694" s="32">
        <x:f>IF(A694=1,Dashboard!$B$6,IF(B694="Holiday",J693,L693))</x:f>
      </x:c>
      <x:c r="D694" s="32">
        <x:f>IF(A694=1,0,IF(B694="Holiday",K693,0))</x:f>
      </x:c>
      <x:c r="E694" s="32">
        <x:f>C694+D694</x:f>
      </x:c>
      <x:c r="F694" s="32">
        <x:f>IF(B694="Holiday",IF(Dashboard!$B$14="Principal Only",MIN(Dashboard!$B$15,C694),0),0)</x:f>
      </x:c>
      <x:c r="G694" s="32" t="n">
        <x:f>IF(B694="Closed",0,IF(B694="Holiday",IF(Dashboard!$B$14="Interest Only",C694*Dashboard!$F$6,MAX(0,(C694-F694)*Dashboard!$F$6)),E694*Dashboard!$F$6))</x:f>
        <x:v>0</x:v>
      </x:c>
      <x:c r="H694" s="32" t="n">
        <x:f>IF(B694="Holiday",IF(Dashboard!$B$14="Interest Only",G694,F694),IF(B694="Closed",0,MIN(Dashboard!$F$10,E694+G694)))</x:f>
        <x:v>0</x:v>
      </x:c>
      <x:c r="I694" s="32" t="n">
        <x:f>IF(B694="Holiday",F694,IF(B694="Closed",0,MAX(0,H694-G694)))</x:f>
        <x:v>0</x:v>
      </x:c>
      <x:c r="J694" s="32" t="n">
        <x:f>IF(B694="Holiday",MAX(0,C694-F694),IF(B694="Closed",0,MAX(0,E694-I694)))</x:f>
        <x:v>0</x:v>
      </x:c>
      <x:c r="K694" s="32" t="n">
        <x:f>IF(B694="Holiday",IF(Dashboard!$B$14="Interest Only",D694,D694+G694),0)</x:f>
        <x:v>0</x:v>
      </x:c>
      <x:c r="L694" s="32" t="n">
        <x:f>J694+K694</x:f>
        <x:v>0</x:v>
      </x:c>
      <x:c r="M694" s="32" t="n">
        <x:f>IF(A694=1,H694,M693+H694)</x:f>
        <x:v>0</x:v>
      </x:c>
      <x:c r="N694" s="32" t="n">
        <x:f>IF(A694=1,I694,N693+I694)</x:f>
        <x:v>0</x:v>
      </x:c>
      <x:c r="O694" s="32" t="n">
        <x:f>IF(A694=1,G694,O693+G694)</x:f>
        <x:v>3671325</x:v>
      </x:c>
      <x:c r="P694" s="37" t="n">
        <x:f>EDATE(Dashboard!$B$10,A694)</x:f>
        <x:v>66112</x:v>
      </x:c>
    </x:row>
    <x:row r="695">
      <x:c r="A695" s="33" t="n">
        <x:v>694</x:v>
      </x:c>
      <x:c r="B695" s="33" t="str">
        <x:f>IF(A695&lt;=Dashboard!$F$8,"Holiday",IF(A695&lt;=Dashboard!$F$8+Dashboard!$F$7,"Repayment","Closed"))</x:f>
        <x:v>Closed</x:v>
      </x:c>
      <x:c r="C695" s="32">
        <x:f>IF(A695=1,Dashboard!$B$6,IF(B695="Holiday",J694,L694))</x:f>
      </x:c>
      <x:c r="D695" s="32">
        <x:f>IF(A695=1,0,IF(B695="Holiday",K694,0))</x:f>
      </x:c>
      <x:c r="E695" s="32">
        <x:f>C695+D695</x:f>
      </x:c>
      <x:c r="F695" s="32">
        <x:f>IF(B695="Holiday",IF(Dashboard!$B$14="Principal Only",MIN(Dashboard!$B$15,C695),0),0)</x:f>
      </x:c>
      <x:c r="G695" s="32" t="n">
        <x:f>IF(B695="Closed",0,IF(B695="Holiday",IF(Dashboard!$B$14="Interest Only",C695*Dashboard!$F$6,MAX(0,(C695-F695)*Dashboard!$F$6)),E695*Dashboard!$F$6))</x:f>
        <x:v>0</x:v>
      </x:c>
      <x:c r="H695" s="32" t="n">
        <x:f>IF(B695="Holiday",IF(Dashboard!$B$14="Interest Only",G695,F695),IF(B695="Closed",0,MIN(Dashboard!$F$10,E695+G695)))</x:f>
        <x:v>0</x:v>
      </x:c>
      <x:c r="I695" s="32" t="n">
        <x:f>IF(B695="Holiday",F695,IF(B695="Closed",0,MAX(0,H695-G695)))</x:f>
        <x:v>0</x:v>
      </x:c>
      <x:c r="J695" s="32" t="n">
        <x:f>IF(B695="Holiday",MAX(0,C695-F695),IF(B695="Closed",0,MAX(0,E695-I695)))</x:f>
        <x:v>0</x:v>
      </x:c>
      <x:c r="K695" s="32" t="n">
        <x:f>IF(B695="Holiday",IF(Dashboard!$B$14="Interest Only",D695,D695+G695),0)</x:f>
        <x:v>0</x:v>
      </x:c>
      <x:c r="L695" s="32" t="n">
        <x:f>J695+K695</x:f>
        <x:v>0</x:v>
      </x:c>
      <x:c r="M695" s="32" t="n">
        <x:f>IF(A695=1,H695,M694+H695)</x:f>
        <x:v>0</x:v>
      </x:c>
      <x:c r="N695" s="32" t="n">
        <x:f>IF(A695=1,I695,N694+I695)</x:f>
        <x:v>0</x:v>
      </x:c>
      <x:c r="O695" s="32" t="n">
        <x:f>IF(A695=1,G695,O694+G695)</x:f>
        <x:v>3671325</x:v>
      </x:c>
      <x:c r="P695" s="37" t="n">
        <x:f>EDATE(Dashboard!$B$10,A695)</x:f>
        <x:v>66143</x:v>
      </x:c>
    </x:row>
    <x:row r="696">
      <x:c r="A696" s="33" t="n">
        <x:v>695</x:v>
      </x:c>
      <x:c r="B696" s="33" t="str">
        <x:f>IF(A696&lt;=Dashboard!$F$8,"Holiday",IF(A696&lt;=Dashboard!$F$8+Dashboard!$F$7,"Repayment","Closed"))</x:f>
        <x:v>Closed</x:v>
      </x:c>
      <x:c r="C696" s="32">
        <x:f>IF(A696=1,Dashboard!$B$6,IF(B696="Holiday",J695,L695))</x:f>
      </x:c>
      <x:c r="D696" s="32">
        <x:f>IF(A696=1,0,IF(B696="Holiday",K695,0))</x:f>
      </x:c>
      <x:c r="E696" s="32">
        <x:f>C696+D696</x:f>
      </x:c>
      <x:c r="F696" s="32">
        <x:f>IF(B696="Holiday",IF(Dashboard!$B$14="Principal Only",MIN(Dashboard!$B$15,C696),0),0)</x:f>
      </x:c>
      <x:c r="G696" s="32" t="n">
        <x:f>IF(B696="Closed",0,IF(B696="Holiday",IF(Dashboard!$B$14="Interest Only",C696*Dashboard!$F$6,MAX(0,(C696-F696)*Dashboard!$F$6)),E696*Dashboard!$F$6))</x:f>
        <x:v>0</x:v>
      </x:c>
      <x:c r="H696" s="32" t="n">
        <x:f>IF(B696="Holiday",IF(Dashboard!$B$14="Interest Only",G696,F696),IF(B696="Closed",0,MIN(Dashboard!$F$10,E696+G696)))</x:f>
        <x:v>0</x:v>
      </x:c>
      <x:c r="I696" s="32" t="n">
        <x:f>IF(B696="Holiday",F696,IF(B696="Closed",0,MAX(0,H696-G696)))</x:f>
        <x:v>0</x:v>
      </x:c>
      <x:c r="J696" s="32" t="n">
        <x:f>IF(B696="Holiday",MAX(0,C696-F696),IF(B696="Closed",0,MAX(0,E696-I696)))</x:f>
        <x:v>0</x:v>
      </x:c>
      <x:c r="K696" s="32" t="n">
        <x:f>IF(B696="Holiday",IF(Dashboard!$B$14="Interest Only",D696,D696+G696),0)</x:f>
        <x:v>0</x:v>
      </x:c>
      <x:c r="L696" s="32" t="n">
        <x:f>J696+K696</x:f>
        <x:v>0</x:v>
      </x:c>
      <x:c r="M696" s="32" t="n">
        <x:f>IF(A696=1,H696,M695+H696)</x:f>
        <x:v>0</x:v>
      </x:c>
      <x:c r="N696" s="32" t="n">
        <x:f>IF(A696=1,I696,N695+I696)</x:f>
        <x:v>0</x:v>
      </x:c>
      <x:c r="O696" s="32" t="n">
        <x:f>IF(A696=1,G696,O695+G696)</x:f>
        <x:v>3671325</x:v>
      </x:c>
      <x:c r="P696" s="37" t="n">
        <x:f>EDATE(Dashboard!$B$10,A696)</x:f>
        <x:v>66171</x:v>
      </x:c>
    </x:row>
    <x:row r="697">
      <x:c r="A697" s="33" t="n">
        <x:v>696</x:v>
      </x:c>
      <x:c r="B697" s="33" t="str">
        <x:f>IF(A697&lt;=Dashboard!$F$8,"Holiday",IF(A697&lt;=Dashboard!$F$8+Dashboard!$F$7,"Repayment","Closed"))</x:f>
        <x:v>Closed</x:v>
      </x:c>
      <x:c r="C697" s="32">
        <x:f>IF(A697=1,Dashboard!$B$6,IF(B697="Holiday",J696,L696))</x:f>
      </x:c>
      <x:c r="D697" s="32">
        <x:f>IF(A697=1,0,IF(B697="Holiday",K696,0))</x:f>
      </x:c>
      <x:c r="E697" s="32">
        <x:f>C697+D697</x:f>
      </x:c>
      <x:c r="F697" s="32">
        <x:f>IF(B697="Holiday",IF(Dashboard!$B$14="Principal Only",MIN(Dashboard!$B$15,C697),0),0)</x:f>
      </x:c>
      <x:c r="G697" s="32" t="n">
        <x:f>IF(B697="Closed",0,IF(B697="Holiday",IF(Dashboard!$B$14="Interest Only",C697*Dashboard!$F$6,MAX(0,(C697-F697)*Dashboard!$F$6)),E697*Dashboard!$F$6))</x:f>
        <x:v>0</x:v>
      </x:c>
      <x:c r="H697" s="32" t="n">
        <x:f>IF(B697="Holiday",IF(Dashboard!$B$14="Interest Only",G697,F697),IF(B697="Closed",0,MIN(Dashboard!$F$10,E697+G697)))</x:f>
        <x:v>0</x:v>
      </x:c>
      <x:c r="I697" s="32" t="n">
        <x:f>IF(B697="Holiday",F697,IF(B697="Closed",0,MAX(0,H697-G697)))</x:f>
        <x:v>0</x:v>
      </x:c>
      <x:c r="J697" s="32" t="n">
        <x:f>IF(B697="Holiday",MAX(0,C697-F697),IF(B697="Closed",0,MAX(0,E697-I697)))</x:f>
        <x:v>0</x:v>
      </x:c>
      <x:c r="K697" s="32" t="n">
        <x:f>IF(B697="Holiday",IF(Dashboard!$B$14="Interest Only",D697,D697+G697),0)</x:f>
        <x:v>0</x:v>
      </x:c>
      <x:c r="L697" s="32" t="n">
        <x:f>J697+K697</x:f>
        <x:v>0</x:v>
      </x:c>
      <x:c r="M697" s="32" t="n">
        <x:f>IF(A697=1,H697,M696+H697)</x:f>
        <x:v>0</x:v>
      </x:c>
      <x:c r="N697" s="32" t="n">
        <x:f>IF(A697=1,I697,N696+I697)</x:f>
        <x:v>0</x:v>
      </x:c>
      <x:c r="O697" s="32" t="n">
        <x:f>IF(A697=1,G697,O696+G697)</x:f>
        <x:v>3671325</x:v>
      </x:c>
      <x:c r="P697" s="37" t="n">
        <x:f>EDATE(Dashboard!$B$10,A697)</x:f>
        <x:v>66202</x:v>
      </x:c>
    </x:row>
    <x:row r="698">
      <x:c r="A698" s="33" t="n">
        <x:v>697</x:v>
      </x:c>
      <x:c r="B698" s="33" t="str">
        <x:f>IF(A698&lt;=Dashboard!$F$8,"Holiday",IF(A698&lt;=Dashboard!$F$8+Dashboard!$F$7,"Repayment","Closed"))</x:f>
        <x:v>Closed</x:v>
      </x:c>
      <x:c r="C698" s="32">
        <x:f>IF(A698=1,Dashboard!$B$6,IF(B698="Holiday",J697,L697))</x:f>
      </x:c>
      <x:c r="D698" s="32">
        <x:f>IF(A698=1,0,IF(B698="Holiday",K697,0))</x:f>
      </x:c>
      <x:c r="E698" s="32">
        <x:f>C698+D698</x:f>
      </x:c>
      <x:c r="F698" s="32">
        <x:f>IF(B698="Holiday",IF(Dashboard!$B$14="Principal Only",MIN(Dashboard!$B$15,C698),0),0)</x:f>
      </x:c>
      <x:c r="G698" s="32" t="n">
        <x:f>IF(B698="Closed",0,IF(B698="Holiday",IF(Dashboard!$B$14="Interest Only",C698*Dashboard!$F$6,MAX(0,(C698-F698)*Dashboard!$F$6)),E698*Dashboard!$F$6))</x:f>
        <x:v>0</x:v>
      </x:c>
      <x:c r="H698" s="32" t="n">
        <x:f>IF(B698="Holiday",IF(Dashboard!$B$14="Interest Only",G698,F698),IF(B698="Closed",0,MIN(Dashboard!$F$10,E698+G698)))</x:f>
        <x:v>0</x:v>
      </x:c>
      <x:c r="I698" s="32" t="n">
        <x:f>IF(B698="Holiday",F698,IF(B698="Closed",0,MAX(0,H698-G698)))</x:f>
        <x:v>0</x:v>
      </x:c>
      <x:c r="J698" s="32" t="n">
        <x:f>IF(B698="Holiday",MAX(0,C698-F698),IF(B698="Closed",0,MAX(0,E698-I698)))</x:f>
        <x:v>0</x:v>
      </x:c>
      <x:c r="K698" s="32" t="n">
        <x:f>IF(B698="Holiday",IF(Dashboard!$B$14="Interest Only",D698,D698+G698),0)</x:f>
        <x:v>0</x:v>
      </x:c>
      <x:c r="L698" s="32" t="n">
        <x:f>J698+K698</x:f>
        <x:v>0</x:v>
      </x:c>
      <x:c r="M698" s="32" t="n">
        <x:f>IF(A698=1,H698,M697+H698)</x:f>
        <x:v>0</x:v>
      </x:c>
      <x:c r="N698" s="32" t="n">
        <x:f>IF(A698=1,I698,N697+I698)</x:f>
        <x:v>0</x:v>
      </x:c>
      <x:c r="O698" s="32" t="n">
        <x:f>IF(A698=1,G698,O697+G698)</x:f>
        <x:v>3671325</x:v>
      </x:c>
      <x:c r="P698" s="37" t="n">
        <x:f>EDATE(Dashboard!$B$10,A698)</x:f>
        <x:v>66232</x:v>
      </x:c>
    </x:row>
    <x:row r="699">
      <x:c r="A699" s="33" t="n">
        <x:v>698</x:v>
      </x:c>
      <x:c r="B699" s="33" t="str">
        <x:f>IF(A699&lt;=Dashboard!$F$8,"Holiday",IF(A699&lt;=Dashboard!$F$8+Dashboard!$F$7,"Repayment","Closed"))</x:f>
        <x:v>Closed</x:v>
      </x:c>
      <x:c r="C699" s="32">
        <x:f>IF(A699=1,Dashboard!$B$6,IF(B699="Holiday",J698,L698))</x:f>
      </x:c>
      <x:c r="D699" s="32">
        <x:f>IF(A699=1,0,IF(B699="Holiday",K698,0))</x:f>
      </x:c>
      <x:c r="E699" s="32">
        <x:f>C699+D699</x:f>
      </x:c>
      <x:c r="F699" s="32">
        <x:f>IF(B699="Holiday",IF(Dashboard!$B$14="Principal Only",MIN(Dashboard!$B$15,C699),0),0)</x:f>
      </x:c>
      <x:c r="G699" s="32" t="n">
        <x:f>IF(B699="Closed",0,IF(B699="Holiday",IF(Dashboard!$B$14="Interest Only",C699*Dashboard!$F$6,MAX(0,(C699-F699)*Dashboard!$F$6)),E699*Dashboard!$F$6))</x:f>
        <x:v>0</x:v>
      </x:c>
      <x:c r="H699" s="32" t="n">
        <x:f>IF(B699="Holiday",IF(Dashboard!$B$14="Interest Only",G699,F699),IF(B699="Closed",0,MIN(Dashboard!$F$10,E699+G699)))</x:f>
        <x:v>0</x:v>
      </x:c>
      <x:c r="I699" s="32" t="n">
        <x:f>IF(B699="Holiday",F699,IF(B699="Closed",0,MAX(0,H699-G699)))</x:f>
        <x:v>0</x:v>
      </x:c>
      <x:c r="J699" s="32" t="n">
        <x:f>IF(B699="Holiday",MAX(0,C699-F699),IF(B699="Closed",0,MAX(0,E699-I699)))</x:f>
        <x:v>0</x:v>
      </x:c>
      <x:c r="K699" s="32" t="n">
        <x:f>IF(B699="Holiday",IF(Dashboard!$B$14="Interest Only",D699,D699+G699),0)</x:f>
        <x:v>0</x:v>
      </x:c>
      <x:c r="L699" s="32" t="n">
        <x:f>J699+K699</x:f>
        <x:v>0</x:v>
      </x:c>
      <x:c r="M699" s="32" t="n">
        <x:f>IF(A699=1,H699,M698+H699)</x:f>
        <x:v>0</x:v>
      </x:c>
      <x:c r="N699" s="32" t="n">
        <x:f>IF(A699=1,I699,N698+I699)</x:f>
        <x:v>0</x:v>
      </x:c>
      <x:c r="O699" s="32" t="n">
        <x:f>IF(A699=1,G699,O698+G699)</x:f>
        <x:v>3671325</x:v>
      </x:c>
      <x:c r="P699" s="37" t="n">
        <x:f>EDATE(Dashboard!$B$10,A699)</x:f>
        <x:v>66263</x:v>
      </x:c>
    </x:row>
    <x:row r="700">
      <x:c r="A700" s="33" t="n">
        <x:v>699</x:v>
      </x:c>
      <x:c r="B700" s="33" t="str">
        <x:f>IF(A700&lt;=Dashboard!$F$8,"Holiday",IF(A700&lt;=Dashboard!$F$8+Dashboard!$F$7,"Repayment","Closed"))</x:f>
        <x:v>Closed</x:v>
      </x:c>
      <x:c r="C700" s="32">
        <x:f>IF(A700=1,Dashboard!$B$6,IF(B700="Holiday",J699,L699))</x:f>
      </x:c>
      <x:c r="D700" s="32">
        <x:f>IF(A700=1,0,IF(B700="Holiday",K699,0))</x:f>
      </x:c>
      <x:c r="E700" s="32">
        <x:f>C700+D700</x:f>
      </x:c>
      <x:c r="F700" s="32">
        <x:f>IF(B700="Holiday",IF(Dashboard!$B$14="Principal Only",MIN(Dashboard!$B$15,C700),0),0)</x:f>
      </x:c>
      <x:c r="G700" s="32" t="n">
        <x:f>IF(B700="Closed",0,IF(B700="Holiday",IF(Dashboard!$B$14="Interest Only",C700*Dashboard!$F$6,MAX(0,(C700-F700)*Dashboard!$F$6)),E700*Dashboard!$F$6))</x:f>
        <x:v>0</x:v>
      </x:c>
      <x:c r="H700" s="32" t="n">
        <x:f>IF(B700="Holiday",IF(Dashboard!$B$14="Interest Only",G700,F700),IF(B700="Closed",0,MIN(Dashboard!$F$10,E700+G700)))</x:f>
        <x:v>0</x:v>
      </x:c>
      <x:c r="I700" s="32" t="n">
        <x:f>IF(B700="Holiday",F700,IF(B700="Closed",0,MAX(0,H700-G700)))</x:f>
        <x:v>0</x:v>
      </x:c>
      <x:c r="J700" s="32" t="n">
        <x:f>IF(B700="Holiday",MAX(0,C700-F700),IF(B700="Closed",0,MAX(0,E700-I700)))</x:f>
        <x:v>0</x:v>
      </x:c>
      <x:c r="K700" s="32" t="n">
        <x:f>IF(B700="Holiday",IF(Dashboard!$B$14="Interest Only",D700,D700+G700),0)</x:f>
        <x:v>0</x:v>
      </x:c>
      <x:c r="L700" s="32" t="n">
        <x:f>J700+K700</x:f>
        <x:v>0</x:v>
      </x:c>
      <x:c r="M700" s="32" t="n">
        <x:f>IF(A700=1,H700,M699+H700)</x:f>
        <x:v>0</x:v>
      </x:c>
      <x:c r="N700" s="32" t="n">
        <x:f>IF(A700=1,I700,N699+I700)</x:f>
        <x:v>0</x:v>
      </x:c>
      <x:c r="O700" s="32" t="n">
        <x:f>IF(A700=1,G700,O699+G700)</x:f>
        <x:v>3671325</x:v>
      </x:c>
      <x:c r="P700" s="37" t="n">
        <x:f>EDATE(Dashboard!$B$10,A700)</x:f>
        <x:v>66293</x:v>
      </x:c>
    </x:row>
    <x:row r="701">
      <x:c r="A701" s="33" t="n">
        <x:v>700</x:v>
      </x:c>
      <x:c r="B701" s="33" t="str">
        <x:f>IF(A701&lt;=Dashboard!$F$8,"Holiday",IF(A701&lt;=Dashboard!$F$8+Dashboard!$F$7,"Repayment","Closed"))</x:f>
        <x:v>Closed</x:v>
      </x:c>
      <x:c r="C701" s="32">
        <x:f>IF(A701=1,Dashboard!$B$6,IF(B701="Holiday",J700,L700))</x:f>
      </x:c>
      <x:c r="D701" s="32">
        <x:f>IF(A701=1,0,IF(B701="Holiday",K700,0))</x:f>
      </x:c>
      <x:c r="E701" s="32">
        <x:f>C701+D701</x:f>
      </x:c>
      <x:c r="F701" s="32">
        <x:f>IF(B701="Holiday",IF(Dashboard!$B$14="Principal Only",MIN(Dashboard!$B$15,C701),0),0)</x:f>
      </x:c>
      <x:c r="G701" s="32" t="n">
        <x:f>IF(B701="Closed",0,IF(B701="Holiday",IF(Dashboard!$B$14="Interest Only",C701*Dashboard!$F$6,MAX(0,(C701-F701)*Dashboard!$F$6)),E701*Dashboard!$F$6))</x:f>
        <x:v>0</x:v>
      </x:c>
      <x:c r="H701" s="32" t="n">
        <x:f>IF(B701="Holiday",IF(Dashboard!$B$14="Interest Only",G701,F701),IF(B701="Closed",0,MIN(Dashboard!$F$10,E701+G701)))</x:f>
        <x:v>0</x:v>
      </x:c>
      <x:c r="I701" s="32" t="n">
        <x:f>IF(B701="Holiday",F701,IF(B701="Closed",0,MAX(0,H701-G701)))</x:f>
        <x:v>0</x:v>
      </x:c>
      <x:c r="J701" s="32" t="n">
        <x:f>IF(B701="Holiday",MAX(0,C701-F701),IF(B701="Closed",0,MAX(0,E701-I701)))</x:f>
        <x:v>0</x:v>
      </x:c>
      <x:c r="K701" s="32" t="n">
        <x:f>IF(B701="Holiday",IF(Dashboard!$B$14="Interest Only",D701,D701+G701),0)</x:f>
        <x:v>0</x:v>
      </x:c>
      <x:c r="L701" s="32" t="n">
        <x:f>J701+K701</x:f>
        <x:v>0</x:v>
      </x:c>
      <x:c r="M701" s="32" t="n">
        <x:f>IF(A701=1,H701,M700+H701)</x:f>
        <x:v>0</x:v>
      </x:c>
      <x:c r="N701" s="32" t="n">
        <x:f>IF(A701=1,I701,N700+I701)</x:f>
        <x:v>0</x:v>
      </x:c>
      <x:c r="O701" s="32" t="n">
        <x:f>IF(A701=1,G701,O700+G701)</x:f>
        <x:v>3671325</x:v>
      </x:c>
      <x:c r="P701" s="37" t="n">
        <x:f>EDATE(Dashboard!$B$10,A701)</x:f>
        <x:v>66324</x:v>
      </x:c>
    </x:row>
    <x:row r="702">
      <x:c r="A702" s="33" t="n">
        <x:v>701</x:v>
      </x:c>
      <x:c r="B702" s="33" t="str">
        <x:f>IF(A702&lt;=Dashboard!$F$8,"Holiday",IF(A702&lt;=Dashboard!$F$8+Dashboard!$F$7,"Repayment","Closed"))</x:f>
        <x:v>Closed</x:v>
      </x:c>
      <x:c r="C702" s="32">
        <x:f>IF(A702=1,Dashboard!$B$6,IF(B702="Holiday",J701,L701))</x:f>
      </x:c>
      <x:c r="D702" s="32">
        <x:f>IF(A702=1,0,IF(B702="Holiday",K701,0))</x:f>
      </x:c>
      <x:c r="E702" s="32">
        <x:f>C702+D702</x:f>
      </x:c>
      <x:c r="F702" s="32">
        <x:f>IF(B702="Holiday",IF(Dashboard!$B$14="Principal Only",MIN(Dashboard!$B$15,C702),0),0)</x:f>
      </x:c>
      <x:c r="G702" s="32" t="n">
        <x:f>IF(B702="Closed",0,IF(B702="Holiday",IF(Dashboard!$B$14="Interest Only",C702*Dashboard!$F$6,MAX(0,(C702-F702)*Dashboard!$F$6)),E702*Dashboard!$F$6))</x:f>
        <x:v>0</x:v>
      </x:c>
      <x:c r="H702" s="32" t="n">
        <x:f>IF(B702="Holiday",IF(Dashboard!$B$14="Interest Only",G702,F702),IF(B702="Closed",0,MIN(Dashboard!$F$10,E702+G702)))</x:f>
        <x:v>0</x:v>
      </x:c>
      <x:c r="I702" s="32" t="n">
        <x:f>IF(B702="Holiday",F702,IF(B702="Closed",0,MAX(0,H702-G702)))</x:f>
        <x:v>0</x:v>
      </x:c>
      <x:c r="J702" s="32" t="n">
        <x:f>IF(B702="Holiday",MAX(0,C702-F702),IF(B702="Closed",0,MAX(0,E702-I702)))</x:f>
        <x:v>0</x:v>
      </x:c>
      <x:c r="K702" s="32" t="n">
        <x:f>IF(B702="Holiday",IF(Dashboard!$B$14="Interest Only",D702,D702+G702),0)</x:f>
        <x:v>0</x:v>
      </x:c>
      <x:c r="L702" s="32" t="n">
        <x:f>J702+K702</x:f>
        <x:v>0</x:v>
      </x:c>
      <x:c r="M702" s="32" t="n">
        <x:f>IF(A702=1,H702,M701+H702)</x:f>
        <x:v>0</x:v>
      </x:c>
      <x:c r="N702" s="32" t="n">
        <x:f>IF(A702=1,I702,N701+I702)</x:f>
        <x:v>0</x:v>
      </x:c>
      <x:c r="O702" s="32" t="n">
        <x:f>IF(A702=1,G702,O701+G702)</x:f>
        <x:v>3671325</x:v>
      </x:c>
      <x:c r="P702" s="37" t="n">
        <x:f>EDATE(Dashboard!$B$10,A702)</x:f>
        <x:v>66355</x:v>
      </x:c>
    </x:row>
    <x:row r="703">
      <x:c r="A703" s="33" t="n">
        <x:v>702</x:v>
      </x:c>
      <x:c r="B703" s="33" t="str">
        <x:f>IF(A703&lt;=Dashboard!$F$8,"Holiday",IF(A703&lt;=Dashboard!$F$8+Dashboard!$F$7,"Repayment","Closed"))</x:f>
        <x:v>Closed</x:v>
      </x:c>
      <x:c r="C703" s="32">
        <x:f>IF(A703=1,Dashboard!$B$6,IF(B703="Holiday",J702,L702))</x:f>
      </x:c>
      <x:c r="D703" s="32">
        <x:f>IF(A703=1,0,IF(B703="Holiday",K702,0))</x:f>
      </x:c>
      <x:c r="E703" s="32">
        <x:f>C703+D703</x:f>
      </x:c>
      <x:c r="F703" s="32">
        <x:f>IF(B703="Holiday",IF(Dashboard!$B$14="Principal Only",MIN(Dashboard!$B$15,C703),0),0)</x:f>
      </x:c>
      <x:c r="G703" s="32" t="n">
        <x:f>IF(B703="Closed",0,IF(B703="Holiday",IF(Dashboard!$B$14="Interest Only",C703*Dashboard!$F$6,MAX(0,(C703-F703)*Dashboard!$F$6)),E703*Dashboard!$F$6))</x:f>
        <x:v>0</x:v>
      </x:c>
      <x:c r="H703" s="32" t="n">
        <x:f>IF(B703="Holiday",IF(Dashboard!$B$14="Interest Only",G703,F703),IF(B703="Closed",0,MIN(Dashboard!$F$10,E703+G703)))</x:f>
        <x:v>0</x:v>
      </x:c>
      <x:c r="I703" s="32" t="n">
        <x:f>IF(B703="Holiday",F703,IF(B703="Closed",0,MAX(0,H703-G703)))</x:f>
        <x:v>0</x:v>
      </x:c>
      <x:c r="J703" s="32" t="n">
        <x:f>IF(B703="Holiday",MAX(0,C703-F703),IF(B703="Closed",0,MAX(0,E703-I703)))</x:f>
        <x:v>0</x:v>
      </x:c>
      <x:c r="K703" s="32" t="n">
        <x:f>IF(B703="Holiday",IF(Dashboard!$B$14="Interest Only",D703,D703+G703),0)</x:f>
        <x:v>0</x:v>
      </x:c>
      <x:c r="L703" s="32" t="n">
        <x:f>J703+K703</x:f>
        <x:v>0</x:v>
      </x:c>
      <x:c r="M703" s="32" t="n">
        <x:f>IF(A703=1,H703,M702+H703)</x:f>
        <x:v>0</x:v>
      </x:c>
      <x:c r="N703" s="32" t="n">
        <x:f>IF(A703=1,I703,N702+I703)</x:f>
        <x:v>0</x:v>
      </x:c>
      <x:c r="O703" s="32" t="n">
        <x:f>IF(A703=1,G703,O702+G703)</x:f>
        <x:v>3671325</x:v>
      </x:c>
      <x:c r="P703" s="37" t="n">
        <x:f>EDATE(Dashboard!$B$10,A703)</x:f>
        <x:v>66385</x:v>
      </x:c>
    </x:row>
    <x:row r="704">
      <x:c r="A704" s="33" t="n">
        <x:v>703</x:v>
      </x:c>
      <x:c r="B704" s="33" t="str">
        <x:f>IF(A704&lt;=Dashboard!$F$8,"Holiday",IF(A704&lt;=Dashboard!$F$8+Dashboard!$F$7,"Repayment","Closed"))</x:f>
        <x:v>Closed</x:v>
      </x:c>
      <x:c r="C704" s="32">
        <x:f>IF(A704=1,Dashboard!$B$6,IF(B704="Holiday",J703,L703))</x:f>
      </x:c>
      <x:c r="D704" s="32">
        <x:f>IF(A704=1,0,IF(B704="Holiday",K703,0))</x:f>
      </x:c>
      <x:c r="E704" s="32">
        <x:f>C704+D704</x:f>
      </x:c>
      <x:c r="F704" s="32">
        <x:f>IF(B704="Holiday",IF(Dashboard!$B$14="Principal Only",MIN(Dashboard!$B$15,C704),0),0)</x:f>
      </x:c>
      <x:c r="G704" s="32" t="n">
        <x:f>IF(B704="Closed",0,IF(B704="Holiday",IF(Dashboard!$B$14="Interest Only",C704*Dashboard!$F$6,MAX(0,(C704-F704)*Dashboard!$F$6)),E704*Dashboard!$F$6))</x:f>
        <x:v>0</x:v>
      </x:c>
      <x:c r="H704" s="32" t="n">
        <x:f>IF(B704="Holiday",IF(Dashboard!$B$14="Interest Only",G704,F704),IF(B704="Closed",0,MIN(Dashboard!$F$10,E704+G704)))</x:f>
        <x:v>0</x:v>
      </x:c>
      <x:c r="I704" s="32" t="n">
        <x:f>IF(B704="Holiday",F704,IF(B704="Closed",0,MAX(0,H704-G704)))</x:f>
        <x:v>0</x:v>
      </x:c>
      <x:c r="J704" s="32" t="n">
        <x:f>IF(B704="Holiday",MAX(0,C704-F704),IF(B704="Closed",0,MAX(0,E704-I704)))</x:f>
        <x:v>0</x:v>
      </x:c>
      <x:c r="K704" s="32" t="n">
        <x:f>IF(B704="Holiday",IF(Dashboard!$B$14="Interest Only",D704,D704+G704),0)</x:f>
        <x:v>0</x:v>
      </x:c>
      <x:c r="L704" s="32" t="n">
        <x:f>J704+K704</x:f>
        <x:v>0</x:v>
      </x:c>
      <x:c r="M704" s="32" t="n">
        <x:f>IF(A704=1,H704,M703+H704)</x:f>
        <x:v>0</x:v>
      </x:c>
      <x:c r="N704" s="32" t="n">
        <x:f>IF(A704=1,I704,N703+I704)</x:f>
        <x:v>0</x:v>
      </x:c>
      <x:c r="O704" s="32" t="n">
        <x:f>IF(A704=1,G704,O703+G704)</x:f>
        <x:v>3671325</x:v>
      </x:c>
      <x:c r="P704" s="37" t="n">
        <x:f>EDATE(Dashboard!$B$10,A704)</x:f>
        <x:v>66416</x:v>
      </x:c>
    </x:row>
    <x:row r="705">
      <x:c r="A705" s="33" t="n">
        <x:v>704</x:v>
      </x:c>
      <x:c r="B705" s="33" t="str">
        <x:f>IF(A705&lt;=Dashboard!$F$8,"Holiday",IF(A705&lt;=Dashboard!$F$8+Dashboard!$F$7,"Repayment","Closed"))</x:f>
        <x:v>Closed</x:v>
      </x:c>
      <x:c r="C705" s="32">
        <x:f>IF(A705=1,Dashboard!$B$6,IF(B705="Holiday",J704,L704))</x:f>
      </x:c>
      <x:c r="D705" s="32">
        <x:f>IF(A705=1,0,IF(B705="Holiday",K704,0))</x:f>
      </x:c>
      <x:c r="E705" s="32">
        <x:f>C705+D705</x:f>
      </x:c>
      <x:c r="F705" s="32">
        <x:f>IF(B705="Holiday",IF(Dashboard!$B$14="Principal Only",MIN(Dashboard!$B$15,C705),0),0)</x:f>
      </x:c>
      <x:c r="G705" s="32" t="n">
        <x:f>IF(B705="Closed",0,IF(B705="Holiday",IF(Dashboard!$B$14="Interest Only",C705*Dashboard!$F$6,MAX(0,(C705-F705)*Dashboard!$F$6)),E705*Dashboard!$F$6))</x:f>
        <x:v>0</x:v>
      </x:c>
      <x:c r="H705" s="32" t="n">
        <x:f>IF(B705="Holiday",IF(Dashboard!$B$14="Interest Only",G705,F705),IF(B705="Closed",0,MIN(Dashboard!$F$10,E705+G705)))</x:f>
        <x:v>0</x:v>
      </x:c>
      <x:c r="I705" s="32" t="n">
        <x:f>IF(B705="Holiday",F705,IF(B705="Closed",0,MAX(0,H705-G705)))</x:f>
        <x:v>0</x:v>
      </x:c>
      <x:c r="J705" s="32" t="n">
        <x:f>IF(B705="Holiday",MAX(0,C705-F705),IF(B705="Closed",0,MAX(0,E705-I705)))</x:f>
        <x:v>0</x:v>
      </x:c>
      <x:c r="K705" s="32" t="n">
        <x:f>IF(B705="Holiday",IF(Dashboard!$B$14="Interest Only",D705,D705+G705),0)</x:f>
        <x:v>0</x:v>
      </x:c>
      <x:c r="L705" s="32" t="n">
        <x:f>J705+K705</x:f>
        <x:v>0</x:v>
      </x:c>
      <x:c r="M705" s="32" t="n">
        <x:f>IF(A705=1,H705,M704+H705)</x:f>
        <x:v>0</x:v>
      </x:c>
      <x:c r="N705" s="32" t="n">
        <x:f>IF(A705=1,I705,N704+I705)</x:f>
        <x:v>0</x:v>
      </x:c>
      <x:c r="O705" s="32" t="n">
        <x:f>IF(A705=1,G705,O704+G705)</x:f>
        <x:v>3671325</x:v>
      </x:c>
      <x:c r="P705" s="37" t="n">
        <x:f>EDATE(Dashboard!$B$10,A705)</x:f>
        <x:v>66446</x:v>
      </x:c>
    </x:row>
    <x:row r="706">
      <x:c r="A706" s="33" t="n">
        <x:v>705</x:v>
      </x:c>
      <x:c r="B706" s="33" t="str">
        <x:f>IF(A706&lt;=Dashboard!$F$8,"Holiday",IF(A706&lt;=Dashboard!$F$8+Dashboard!$F$7,"Repayment","Closed"))</x:f>
        <x:v>Closed</x:v>
      </x:c>
      <x:c r="C706" s="32">
        <x:f>IF(A706=1,Dashboard!$B$6,IF(B706="Holiday",J705,L705))</x:f>
      </x:c>
      <x:c r="D706" s="32">
        <x:f>IF(A706=1,0,IF(B706="Holiday",K705,0))</x:f>
      </x:c>
      <x:c r="E706" s="32">
        <x:f>C706+D706</x:f>
      </x:c>
      <x:c r="F706" s="32">
        <x:f>IF(B706="Holiday",IF(Dashboard!$B$14="Principal Only",MIN(Dashboard!$B$15,C706),0),0)</x:f>
      </x:c>
      <x:c r="G706" s="32" t="n">
        <x:f>IF(B706="Closed",0,IF(B706="Holiday",IF(Dashboard!$B$14="Interest Only",C706*Dashboard!$F$6,MAX(0,(C706-F706)*Dashboard!$F$6)),E706*Dashboard!$F$6))</x:f>
        <x:v>0</x:v>
      </x:c>
      <x:c r="H706" s="32" t="n">
        <x:f>IF(B706="Holiday",IF(Dashboard!$B$14="Interest Only",G706,F706),IF(B706="Closed",0,MIN(Dashboard!$F$10,E706+G706)))</x:f>
        <x:v>0</x:v>
      </x:c>
      <x:c r="I706" s="32" t="n">
        <x:f>IF(B706="Holiday",F706,IF(B706="Closed",0,MAX(0,H706-G706)))</x:f>
        <x:v>0</x:v>
      </x:c>
      <x:c r="J706" s="32" t="n">
        <x:f>IF(B706="Holiday",MAX(0,C706-F706),IF(B706="Closed",0,MAX(0,E706-I706)))</x:f>
        <x:v>0</x:v>
      </x:c>
      <x:c r="K706" s="32" t="n">
        <x:f>IF(B706="Holiday",IF(Dashboard!$B$14="Interest Only",D706,D706+G706),0)</x:f>
        <x:v>0</x:v>
      </x:c>
      <x:c r="L706" s="32" t="n">
        <x:f>J706+K706</x:f>
        <x:v>0</x:v>
      </x:c>
      <x:c r="M706" s="32" t="n">
        <x:f>IF(A706=1,H706,M705+H706)</x:f>
        <x:v>0</x:v>
      </x:c>
      <x:c r="N706" s="32" t="n">
        <x:f>IF(A706=1,I706,N705+I706)</x:f>
        <x:v>0</x:v>
      </x:c>
      <x:c r="O706" s="32" t="n">
        <x:f>IF(A706=1,G706,O705+G706)</x:f>
        <x:v>3671325</x:v>
      </x:c>
      <x:c r="P706" s="37" t="n">
        <x:f>EDATE(Dashboard!$B$10,A706)</x:f>
        <x:v>66477</x:v>
      </x:c>
    </x:row>
    <x:row r="707">
      <x:c r="A707" s="33" t="n">
        <x:v>706</x:v>
      </x:c>
      <x:c r="B707" s="33" t="str">
        <x:f>IF(A707&lt;=Dashboard!$F$8,"Holiday",IF(A707&lt;=Dashboard!$F$8+Dashboard!$F$7,"Repayment","Closed"))</x:f>
        <x:v>Closed</x:v>
      </x:c>
      <x:c r="C707" s="32">
        <x:f>IF(A707=1,Dashboard!$B$6,IF(B707="Holiday",J706,L706))</x:f>
      </x:c>
      <x:c r="D707" s="32">
        <x:f>IF(A707=1,0,IF(B707="Holiday",K706,0))</x:f>
      </x:c>
      <x:c r="E707" s="32">
        <x:f>C707+D707</x:f>
      </x:c>
      <x:c r="F707" s="32">
        <x:f>IF(B707="Holiday",IF(Dashboard!$B$14="Principal Only",MIN(Dashboard!$B$15,C707),0),0)</x:f>
      </x:c>
      <x:c r="G707" s="32" t="n">
        <x:f>IF(B707="Closed",0,IF(B707="Holiday",IF(Dashboard!$B$14="Interest Only",C707*Dashboard!$F$6,MAX(0,(C707-F707)*Dashboard!$F$6)),E707*Dashboard!$F$6))</x:f>
        <x:v>0</x:v>
      </x:c>
      <x:c r="H707" s="32" t="n">
        <x:f>IF(B707="Holiday",IF(Dashboard!$B$14="Interest Only",G707,F707),IF(B707="Closed",0,MIN(Dashboard!$F$10,E707+G707)))</x:f>
        <x:v>0</x:v>
      </x:c>
      <x:c r="I707" s="32" t="n">
        <x:f>IF(B707="Holiday",F707,IF(B707="Closed",0,MAX(0,H707-G707)))</x:f>
        <x:v>0</x:v>
      </x:c>
      <x:c r="J707" s="32" t="n">
        <x:f>IF(B707="Holiday",MAX(0,C707-F707),IF(B707="Closed",0,MAX(0,E707-I707)))</x:f>
        <x:v>0</x:v>
      </x:c>
      <x:c r="K707" s="32" t="n">
        <x:f>IF(B707="Holiday",IF(Dashboard!$B$14="Interest Only",D707,D707+G707),0)</x:f>
        <x:v>0</x:v>
      </x:c>
      <x:c r="L707" s="32" t="n">
        <x:f>J707+K707</x:f>
        <x:v>0</x:v>
      </x:c>
      <x:c r="M707" s="32" t="n">
        <x:f>IF(A707=1,H707,M706+H707)</x:f>
        <x:v>0</x:v>
      </x:c>
      <x:c r="N707" s="32" t="n">
        <x:f>IF(A707=1,I707,N706+I707)</x:f>
        <x:v>0</x:v>
      </x:c>
      <x:c r="O707" s="32" t="n">
        <x:f>IF(A707=1,G707,O706+G707)</x:f>
        <x:v>3671325</x:v>
      </x:c>
      <x:c r="P707" s="37" t="n">
        <x:f>EDATE(Dashboard!$B$10,A707)</x:f>
        <x:v>66508</x:v>
      </x:c>
    </x:row>
    <x:row r="708">
      <x:c r="A708" s="33" t="n">
        <x:v>707</x:v>
      </x:c>
      <x:c r="B708" s="33" t="str">
        <x:f>IF(A708&lt;=Dashboard!$F$8,"Holiday",IF(A708&lt;=Dashboard!$F$8+Dashboard!$F$7,"Repayment","Closed"))</x:f>
        <x:v>Closed</x:v>
      </x:c>
      <x:c r="C708" s="32">
        <x:f>IF(A708=1,Dashboard!$B$6,IF(B708="Holiday",J707,L707))</x:f>
      </x:c>
      <x:c r="D708" s="32">
        <x:f>IF(A708=1,0,IF(B708="Holiday",K707,0))</x:f>
      </x:c>
      <x:c r="E708" s="32">
        <x:f>C708+D708</x:f>
      </x:c>
      <x:c r="F708" s="32">
        <x:f>IF(B708="Holiday",IF(Dashboard!$B$14="Principal Only",MIN(Dashboard!$B$15,C708),0),0)</x:f>
      </x:c>
      <x:c r="G708" s="32" t="n">
        <x:f>IF(B708="Closed",0,IF(B708="Holiday",IF(Dashboard!$B$14="Interest Only",C708*Dashboard!$F$6,MAX(0,(C708-F708)*Dashboard!$F$6)),E708*Dashboard!$F$6))</x:f>
        <x:v>0</x:v>
      </x:c>
      <x:c r="H708" s="32" t="n">
        <x:f>IF(B708="Holiday",IF(Dashboard!$B$14="Interest Only",G708,F708),IF(B708="Closed",0,MIN(Dashboard!$F$10,E708+G708)))</x:f>
        <x:v>0</x:v>
      </x:c>
      <x:c r="I708" s="32" t="n">
        <x:f>IF(B708="Holiday",F708,IF(B708="Closed",0,MAX(0,H708-G708)))</x:f>
        <x:v>0</x:v>
      </x:c>
      <x:c r="J708" s="32" t="n">
        <x:f>IF(B708="Holiday",MAX(0,C708-F708),IF(B708="Closed",0,MAX(0,E708-I708)))</x:f>
        <x:v>0</x:v>
      </x:c>
      <x:c r="K708" s="32" t="n">
        <x:f>IF(B708="Holiday",IF(Dashboard!$B$14="Interest Only",D708,D708+G708),0)</x:f>
        <x:v>0</x:v>
      </x:c>
      <x:c r="L708" s="32" t="n">
        <x:f>J708+K708</x:f>
        <x:v>0</x:v>
      </x:c>
      <x:c r="M708" s="32" t="n">
        <x:f>IF(A708=1,H708,M707+H708)</x:f>
        <x:v>0</x:v>
      </x:c>
      <x:c r="N708" s="32" t="n">
        <x:f>IF(A708=1,I708,N707+I708)</x:f>
        <x:v>0</x:v>
      </x:c>
      <x:c r="O708" s="32" t="n">
        <x:f>IF(A708=1,G708,O707+G708)</x:f>
        <x:v>3671325</x:v>
      </x:c>
      <x:c r="P708" s="37" t="n">
        <x:f>EDATE(Dashboard!$B$10,A708)</x:f>
        <x:v>66536</x:v>
      </x:c>
    </x:row>
    <x:row r="709">
      <x:c r="A709" s="33" t="n">
        <x:v>708</x:v>
      </x:c>
      <x:c r="B709" s="33" t="str">
        <x:f>IF(A709&lt;=Dashboard!$F$8,"Holiday",IF(A709&lt;=Dashboard!$F$8+Dashboard!$F$7,"Repayment","Closed"))</x:f>
        <x:v>Closed</x:v>
      </x:c>
      <x:c r="C709" s="32">
        <x:f>IF(A709=1,Dashboard!$B$6,IF(B709="Holiday",J708,L708))</x:f>
      </x:c>
      <x:c r="D709" s="32">
        <x:f>IF(A709=1,0,IF(B709="Holiday",K708,0))</x:f>
      </x:c>
      <x:c r="E709" s="32">
        <x:f>C709+D709</x:f>
      </x:c>
      <x:c r="F709" s="32">
        <x:f>IF(B709="Holiday",IF(Dashboard!$B$14="Principal Only",MIN(Dashboard!$B$15,C709),0),0)</x:f>
      </x:c>
      <x:c r="G709" s="32" t="n">
        <x:f>IF(B709="Closed",0,IF(B709="Holiday",IF(Dashboard!$B$14="Interest Only",C709*Dashboard!$F$6,MAX(0,(C709-F709)*Dashboard!$F$6)),E709*Dashboard!$F$6))</x:f>
        <x:v>0</x:v>
      </x:c>
      <x:c r="H709" s="32" t="n">
        <x:f>IF(B709="Holiday",IF(Dashboard!$B$14="Interest Only",G709,F709),IF(B709="Closed",0,MIN(Dashboard!$F$10,E709+G709)))</x:f>
        <x:v>0</x:v>
      </x:c>
      <x:c r="I709" s="32" t="n">
        <x:f>IF(B709="Holiday",F709,IF(B709="Closed",0,MAX(0,H709-G709)))</x:f>
        <x:v>0</x:v>
      </x:c>
      <x:c r="J709" s="32" t="n">
        <x:f>IF(B709="Holiday",MAX(0,C709-F709),IF(B709="Closed",0,MAX(0,E709-I709)))</x:f>
        <x:v>0</x:v>
      </x:c>
      <x:c r="K709" s="32" t="n">
        <x:f>IF(B709="Holiday",IF(Dashboard!$B$14="Interest Only",D709,D709+G709),0)</x:f>
        <x:v>0</x:v>
      </x:c>
      <x:c r="L709" s="32" t="n">
        <x:f>J709+K709</x:f>
        <x:v>0</x:v>
      </x:c>
      <x:c r="M709" s="32" t="n">
        <x:f>IF(A709=1,H709,M708+H709)</x:f>
        <x:v>0</x:v>
      </x:c>
      <x:c r="N709" s="32" t="n">
        <x:f>IF(A709=1,I709,N708+I709)</x:f>
        <x:v>0</x:v>
      </x:c>
      <x:c r="O709" s="32" t="n">
        <x:f>IF(A709=1,G709,O708+G709)</x:f>
        <x:v>3671325</x:v>
      </x:c>
      <x:c r="P709" s="37" t="n">
        <x:f>EDATE(Dashboard!$B$10,A709)</x:f>
        <x:v>66567</x:v>
      </x:c>
    </x:row>
    <x:row r="710">
      <x:c r="A710" s="33" t="n">
        <x:v>709</x:v>
      </x:c>
      <x:c r="B710" s="33" t="str">
        <x:f>IF(A710&lt;=Dashboard!$F$8,"Holiday",IF(A710&lt;=Dashboard!$F$8+Dashboard!$F$7,"Repayment","Closed"))</x:f>
        <x:v>Closed</x:v>
      </x:c>
      <x:c r="C710" s="32">
        <x:f>IF(A710=1,Dashboard!$B$6,IF(B710="Holiday",J709,L709))</x:f>
      </x:c>
      <x:c r="D710" s="32">
        <x:f>IF(A710=1,0,IF(B710="Holiday",K709,0))</x:f>
      </x:c>
      <x:c r="E710" s="32">
        <x:f>C710+D710</x:f>
      </x:c>
      <x:c r="F710" s="32">
        <x:f>IF(B710="Holiday",IF(Dashboard!$B$14="Principal Only",MIN(Dashboard!$B$15,C710),0),0)</x:f>
      </x:c>
      <x:c r="G710" s="32" t="n">
        <x:f>IF(B710="Closed",0,IF(B710="Holiday",IF(Dashboard!$B$14="Interest Only",C710*Dashboard!$F$6,MAX(0,(C710-F710)*Dashboard!$F$6)),E710*Dashboard!$F$6))</x:f>
        <x:v>0</x:v>
      </x:c>
      <x:c r="H710" s="32" t="n">
        <x:f>IF(B710="Holiday",IF(Dashboard!$B$14="Interest Only",G710,F710),IF(B710="Closed",0,MIN(Dashboard!$F$10,E710+G710)))</x:f>
        <x:v>0</x:v>
      </x:c>
      <x:c r="I710" s="32" t="n">
        <x:f>IF(B710="Holiday",F710,IF(B710="Closed",0,MAX(0,H710-G710)))</x:f>
        <x:v>0</x:v>
      </x:c>
      <x:c r="J710" s="32" t="n">
        <x:f>IF(B710="Holiday",MAX(0,C710-F710),IF(B710="Closed",0,MAX(0,E710-I710)))</x:f>
        <x:v>0</x:v>
      </x:c>
      <x:c r="K710" s="32" t="n">
        <x:f>IF(B710="Holiday",IF(Dashboard!$B$14="Interest Only",D710,D710+G710),0)</x:f>
        <x:v>0</x:v>
      </x:c>
      <x:c r="L710" s="32" t="n">
        <x:f>J710+K710</x:f>
        <x:v>0</x:v>
      </x:c>
      <x:c r="M710" s="32" t="n">
        <x:f>IF(A710=1,H710,M709+H710)</x:f>
        <x:v>0</x:v>
      </x:c>
      <x:c r="N710" s="32" t="n">
        <x:f>IF(A710=1,I710,N709+I710)</x:f>
        <x:v>0</x:v>
      </x:c>
      <x:c r="O710" s="32" t="n">
        <x:f>IF(A710=1,G710,O709+G710)</x:f>
        <x:v>3671325</x:v>
      </x:c>
      <x:c r="P710" s="37" t="n">
        <x:f>EDATE(Dashboard!$B$10,A710)</x:f>
        <x:v>66597</x:v>
      </x:c>
    </x:row>
    <x:row r="711">
      <x:c r="A711" s="33" t="n">
        <x:v>710</x:v>
      </x:c>
      <x:c r="B711" s="33" t="str">
        <x:f>IF(A711&lt;=Dashboard!$F$8,"Holiday",IF(A711&lt;=Dashboard!$F$8+Dashboard!$F$7,"Repayment","Closed"))</x:f>
        <x:v>Closed</x:v>
      </x:c>
      <x:c r="C711" s="32">
        <x:f>IF(A711=1,Dashboard!$B$6,IF(B711="Holiday",J710,L710))</x:f>
      </x:c>
      <x:c r="D711" s="32">
        <x:f>IF(A711=1,0,IF(B711="Holiday",K710,0))</x:f>
      </x:c>
      <x:c r="E711" s="32">
        <x:f>C711+D711</x:f>
      </x:c>
      <x:c r="F711" s="32">
        <x:f>IF(B711="Holiday",IF(Dashboard!$B$14="Principal Only",MIN(Dashboard!$B$15,C711),0),0)</x:f>
      </x:c>
      <x:c r="G711" s="32" t="n">
        <x:f>IF(B711="Closed",0,IF(B711="Holiday",IF(Dashboard!$B$14="Interest Only",C711*Dashboard!$F$6,MAX(0,(C711-F711)*Dashboard!$F$6)),E711*Dashboard!$F$6))</x:f>
        <x:v>0</x:v>
      </x:c>
      <x:c r="H711" s="32" t="n">
        <x:f>IF(B711="Holiday",IF(Dashboard!$B$14="Interest Only",G711,F711),IF(B711="Closed",0,MIN(Dashboard!$F$10,E711+G711)))</x:f>
        <x:v>0</x:v>
      </x:c>
      <x:c r="I711" s="32" t="n">
        <x:f>IF(B711="Holiday",F711,IF(B711="Closed",0,MAX(0,H711-G711)))</x:f>
        <x:v>0</x:v>
      </x:c>
      <x:c r="J711" s="32" t="n">
        <x:f>IF(B711="Holiday",MAX(0,C711-F711),IF(B711="Closed",0,MAX(0,E711-I711)))</x:f>
        <x:v>0</x:v>
      </x:c>
      <x:c r="K711" s="32" t="n">
        <x:f>IF(B711="Holiday",IF(Dashboard!$B$14="Interest Only",D711,D711+G711),0)</x:f>
        <x:v>0</x:v>
      </x:c>
      <x:c r="L711" s="32" t="n">
        <x:f>J711+K711</x:f>
        <x:v>0</x:v>
      </x:c>
      <x:c r="M711" s="32" t="n">
        <x:f>IF(A711=1,H711,M710+H711)</x:f>
        <x:v>0</x:v>
      </x:c>
      <x:c r="N711" s="32" t="n">
        <x:f>IF(A711=1,I711,N710+I711)</x:f>
        <x:v>0</x:v>
      </x:c>
      <x:c r="O711" s="32" t="n">
        <x:f>IF(A711=1,G711,O710+G711)</x:f>
        <x:v>3671325</x:v>
      </x:c>
      <x:c r="P711" s="37" t="n">
        <x:f>EDATE(Dashboard!$B$10,A711)</x:f>
        <x:v>66628</x:v>
      </x:c>
    </x:row>
    <x:row r="712">
      <x:c r="A712" s="33" t="n">
        <x:v>711</x:v>
      </x:c>
      <x:c r="B712" s="33" t="str">
        <x:f>IF(A712&lt;=Dashboard!$F$8,"Holiday",IF(A712&lt;=Dashboard!$F$8+Dashboard!$F$7,"Repayment","Closed"))</x:f>
        <x:v>Closed</x:v>
      </x:c>
      <x:c r="C712" s="32">
        <x:f>IF(A712=1,Dashboard!$B$6,IF(B712="Holiday",J711,L711))</x:f>
      </x:c>
      <x:c r="D712" s="32">
        <x:f>IF(A712=1,0,IF(B712="Holiday",K711,0))</x:f>
      </x:c>
      <x:c r="E712" s="32">
        <x:f>C712+D712</x:f>
      </x:c>
      <x:c r="F712" s="32">
        <x:f>IF(B712="Holiday",IF(Dashboard!$B$14="Principal Only",MIN(Dashboard!$B$15,C712),0),0)</x:f>
      </x:c>
      <x:c r="G712" s="32" t="n">
        <x:f>IF(B712="Closed",0,IF(B712="Holiday",IF(Dashboard!$B$14="Interest Only",C712*Dashboard!$F$6,MAX(0,(C712-F712)*Dashboard!$F$6)),E712*Dashboard!$F$6))</x:f>
        <x:v>0</x:v>
      </x:c>
      <x:c r="H712" s="32" t="n">
        <x:f>IF(B712="Holiday",IF(Dashboard!$B$14="Interest Only",G712,F712),IF(B712="Closed",0,MIN(Dashboard!$F$10,E712+G712)))</x:f>
        <x:v>0</x:v>
      </x:c>
      <x:c r="I712" s="32" t="n">
        <x:f>IF(B712="Holiday",F712,IF(B712="Closed",0,MAX(0,H712-G712)))</x:f>
        <x:v>0</x:v>
      </x:c>
      <x:c r="J712" s="32" t="n">
        <x:f>IF(B712="Holiday",MAX(0,C712-F712),IF(B712="Closed",0,MAX(0,E712-I712)))</x:f>
        <x:v>0</x:v>
      </x:c>
      <x:c r="K712" s="32" t="n">
        <x:f>IF(B712="Holiday",IF(Dashboard!$B$14="Interest Only",D712,D712+G712),0)</x:f>
        <x:v>0</x:v>
      </x:c>
      <x:c r="L712" s="32" t="n">
        <x:f>J712+K712</x:f>
        <x:v>0</x:v>
      </x:c>
      <x:c r="M712" s="32" t="n">
        <x:f>IF(A712=1,H712,M711+H712)</x:f>
        <x:v>0</x:v>
      </x:c>
      <x:c r="N712" s="32" t="n">
        <x:f>IF(A712=1,I712,N711+I712)</x:f>
        <x:v>0</x:v>
      </x:c>
      <x:c r="O712" s="32" t="n">
        <x:f>IF(A712=1,G712,O711+G712)</x:f>
        <x:v>3671325</x:v>
      </x:c>
      <x:c r="P712" s="37" t="n">
        <x:f>EDATE(Dashboard!$B$10,A712)</x:f>
        <x:v>66658</x:v>
      </x:c>
    </x:row>
    <x:row r="713">
      <x:c r="A713" s="33" t="n">
        <x:v>712</x:v>
      </x:c>
      <x:c r="B713" s="33" t="str">
        <x:f>IF(A713&lt;=Dashboard!$F$8,"Holiday",IF(A713&lt;=Dashboard!$F$8+Dashboard!$F$7,"Repayment","Closed"))</x:f>
        <x:v>Closed</x:v>
      </x:c>
      <x:c r="C713" s="32">
        <x:f>IF(A713=1,Dashboard!$B$6,IF(B713="Holiday",J712,L712))</x:f>
      </x:c>
      <x:c r="D713" s="32">
        <x:f>IF(A713=1,0,IF(B713="Holiday",K712,0))</x:f>
      </x:c>
      <x:c r="E713" s="32">
        <x:f>C713+D713</x:f>
      </x:c>
      <x:c r="F713" s="32">
        <x:f>IF(B713="Holiday",IF(Dashboard!$B$14="Principal Only",MIN(Dashboard!$B$15,C713),0),0)</x:f>
      </x:c>
      <x:c r="G713" s="32" t="n">
        <x:f>IF(B713="Closed",0,IF(B713="Holiday",IF(Dashboard!$B$14="Interest Only",C713*Dashboard!$F$6,MAX(0,(C713-F713)*Dashboard!$F$6)),E713*Dashboard!$F$6))</x:f>
        <x:v>0</x:v>
      </x:c>
      <x:c r="H713" s="32" t="n">
        <x:f>IF(B713="Holiday",IF(Dashboard!$B$14="Interest Only",G713,F713),IF(B713="Closed",0,MIN(Dashboard!$F$10,E713+G713)))</x:f>
        <x:v>0</x:v>
      </x:c>
      <x:c r="I713" s="32" t="n">
        <x:f>IF(B713="Holiday",F713,IF(B713="Closed",0,MAX(0,H713-G713)))</x:f>
        <x:v>0</x:v>
      </x:c>
      <x:c r="J713" s="32" t="n">
        <x:f>IF(B713="Holiday",MAX(0,C713-F713),IF(B713="Closed",0,MAX(0,E713-I713)))</x:f>
        <x:v>0</x:v>
      </x:c>
      <x:c r="K713" s="32" t="n">
        <x:f>IF(B713="Holiday",IF(Dashboard!$B$14="Interest Only",D713,D713+G713),0)</x:f>
        <x:v>0</x:v>
      </x:c>
      <x:c r="L713" s="32" t="n">
        <x:f>J713+K713</x:f>
        <x:v>0</x:v>
      </x:c>
      <x:c r="M713" s="32" t="n">
        <x:f>IF(A713=1,H713,M712+H713)</x:f>
        <x:v>0</x:v>
      </x:c>
      <x:c r="N713" s="32" t="n">
        <x:f>IF(A713=1,I713,N712+I713)</x:f>
        <x:v>0</x:v>
      </x:c>
      <x:c r="O713" s="32" t="n">
        <x:f>IF(A713=1,G713,O712+G713)</x:f>
        <x:v>3671325</x:v>
      </x:c>
      <x:c r="P713" s="37" t="n">
        <x:f>EDATE(Dashboard!$B$10,A713)</x:f>
        <x:v>66689</x:v>
      </x:c>
    </x:row>
    <x:row r="714">
      <x:c r="A714" s="33" t="n">
        <x:v>713</x:v>
      </x:c>
      <x:c r="B714" s="33" t="str">
        <x:f>IF(A714&lt;=Dashboard!$F$8,"Holiday",IF(A714&lt;=Dashboard!$F$8+Dashboard!$F$7,"Repayment","Closed"))</x:f>
        <x:v>Closed</x:v>
      </x:c>
      <x:c r="C714" s="32">
        <x:f>IF(A714=1,Dashboard!$B$6,IF(B714="Holiday",J713,L713))</x:f>
      </x:c>
      <x:c r="D714" s="32">
        <x:f>IF(A714=1,0,IF(B714="Holiday",K713,0))</x:f>
      </x:c>
      <x:c r="E714" s="32">
        <x:f>C714+D714</x:f>
      </x:c>
      <x:c r="F714" s="32">
        <x:f>IF(B714="Holiday",IF(Dashboard!$B$14="Principal Only",MIN(Dashboard!$B$15,C714),0),0)</x:f>
      </x:c>
      <x:c r="G714" s="32" t="n">
        <x:f>IF(B714="Closed",0,IF(B714="Holiday",IF(Dashboard!$B$14="Interest Only",C714*Dashboard!$F$6,MAX(0,(C714-F714)*Dashboard!$F$6)),E714*Dashboard!$F$6))</x:f>
        <x:v>0</x:v>
      </x:c>
      <x:c r="H714" s="32" t="n">
        <x:f>IF(B714="Holiday",IF(Dashboard!$B$14="Interest Only",G714,F714),IF(B714="Closed",0,MIN(Dashboard!$F$10,E714+G714)))</x:f>
        <x:v>0</x:v>
      </x:c>
      <x:c r="I714" s="32" t="n">
        <x:f>IF(B714="Holiday",F714,IF(B714="Closed",0,MAX(0,H714-G714)))</x:f>
        <x:v>0</x:v>
      </x:c>
      <x:c r="J714" s="32" t="n">
        <x:f>IF(B714="Holiday",MAX(0,C714-F714),IF(B714="Closed",0,MAX(0,E714-I714)))</x:f>
        <x:v>0</x:v>
      </x:c>
      <x:c r="K714" s="32" t="n">
        <x:f>IF(B714="Holiday",IF(Dashboard!$B$14="Interest Only",D714,D714+G714),0)</x:f>
        <x:v>0</x:v>
      </x:c>
      <x:c r="L714" s="32" t="n">
        <x:f>J714+K714</x:f>
        <x:v>0</x:v>
      </x:c>
      <x:c r="M714" s="32" t="n">
        <x:f>IF(A714=1,H714,M713+H714)</x:f>
        <x:v>0</x:v>
      </x:c>
      <x:c r="N714" s="32" t="n">
        <x:f>IF(A714=1,I714,N713+I714)</x:f>
        <x:v>0</x:v>
      </x:c>
      <x:c r="O714" s="32" t="n">
        <x:f>IF(A714=1,G714,O713+G714)</x:f>
        <x:v>3671325</x:v>
      </x:c>
      <x:c r="P714" s="37" t="n">
        <x:f>EDATE(Dashboard!$B$10,A714)</x:f>
        <x:v>66720</x:v>
      </x:c>
    </x:row>
    <x:row r="715">
      <x:c r="A715" s="33" t="n">
        <x:v>714</x:v>
      </x:c>
      <x:c r="B715" s="33" t="str">
        <x:f>IF(A715&lt;=Dashboard!$F$8,"Holiday",IF(A715&lt;=Dashboard!$F$8+Dashboard!$F$7,"Repayment","Closed"))</x:f>
        <x:v>Closed</x:v>
      </x:c>
      <x:c r="C715" s="32">
        <x:f>IF(A715=1,Dashboard!$B$6,IF(B715="Holiday",J714,L714))</x:f>
      </x:c>
      <x:c r="D715" s="32">
        <x:f>IF(A715=1,0,IF(B715="Holiday",K714,0))</x:f>
      </x:c>
      <x:c r="E715" s="32">
        <x:f>C715+D715</x:f>
      </x:c>
      <x:c r="F715" s="32">
        <x:f>IF(B715="Holiday",IF(Dashboard!$B$14="Principal Only",MIN(Dashboard!$B$15,C715),0),0)</x:f>
      </x:c>
      <x:c r="G715" s="32" t="n">
        <x:f>IF(B715="Closed",0,IF(B715="Holiday",IF(Dashboard!$B$14="Interest Only",C715*Dashboard!$F$6,MAX(0,(C715-F715)*Dashboard!$F$6)),E715*Dashboard!$F$6))</x:f>
        <x:v>0</x:v>
      </x:c>
      <x:c r="H715" s="32" t="n">
        <x:f>IF(B715="Holiday",IF(Dashboard!$B$14="Interest Only",G715,F715),IF(B715="Closed",0,MIN(Dashboard!$F$10,E715+G715)))</x:f>
        <x:v>0</x:v>
      </x:c>
      <x:c r="I715" s="32" t="n">
        <x:f>IF(B715="Holiday",F715,IF(B715="Closed",0,MAX(0,H715-G715)))</x:f>
        <x:v>0</x:v>
      </x:c>
      <x:c r="J715" s="32" t="n">
        <x:f>IF(B715="Holiday",MAX(0,C715-F715),IF(B715="Closed",0,MAX(0,E715-I715)))</x:f>
        <x:v>0</x:v>
      </x:c>
      <x:c r="K715" s="32" t="n">
        <x:f>IF(B715="Holiday",IF(Dashboard!$B$14="Interest Only",D715,D715+G715),0)</x:f>
        <x:v>0</x:v>
      </x:c>
      <x:c r="L715" s="32" t="n">
        <x:f>J715+K715</x:f>
        <x:v>0</x:v>
      </x:c>
      <x:c r="M715" s="32" t="n">
        <x:f>IF(A715=1,H715,M714+H715)</x:f>
        <x:v>0</x:v>
      </x:c>
      <x:c r="N715" s="32" t="n">
        <x:f>IF(A715=1,I715,N714+I715)</x:f>
        <x:v>0</x:v>
      </x:c>
      <x:c r="O715" s="32" t="n">
        <x:f>IF(A715=1,G715,O714+G715)</x:f>
        <x:v>3671325</x:v>
      </x:c>
      <x:c r="P715" s="37" t="n">
        <x:f>EDATE(Dashboard!$B$10,A715)</x:f>
        <x:v>66750</x:v>
      </x:c>
    </x:row>
    <x:row r="716">
      <x:c r="A716" s="33" t="n">
        <x:v>715</x:v>
      </x:c>
      <x:c r="B716" s="33" t="str">
        <x:f>IF(A716&lt;=Dashboard!$F$8,"Holiday",IF(A716&lt;=Dashboard!$F$8+Dashboard!$F$7,"Repayment","Closed"))</x:f>
        <x:v>Closed</x:v>
      </x:c>
      <x:c r="C716" s="32">
        <x:f>IF(A716=1,Dashboard!$B$6,IF(B716="Holiday",J715,L715))</x:f>
      </x:c>
      <x:c r="D716" s="32">
        <x:f>IF(A716=1,0,IF(B716="Holiday",K715,0))</x:f>
      </x:c>
      <x:c r="E716" s="32">
        <x:f>C716+D716</x:f>
      </x:c>
      <x:c r="F716" s="32">
        <x:f>IF(B716="Holiday",IF(Dashboard!$B$14="Principal Only",MIN(Dashboard!$B$15,C716),0),0)</x:f>
      </x:c>
      <x:c r="G716" s="32" t="n">
        <x:f>IF(B716="Closed",0,IF(B716="Holiday",IF(Dashboard!$B$14="Interest Only",C716*Dashboard!$F$6,MAX(0,(C716-F716)*Dashboard!$F$6)),E716*Dashboard!$F$6))</x:f>
        <x:v>0</x:v>
      </x:c>
      <x:c r="H716" s="32" t="n">
        <x:f>IF(B716="Holiday",IF(Dashboard!$B$14="Interest Only",G716,F716),IF(B716="Closed",0,MIN(Dashboard!$F$10,E716+G716)))</x:f>
        <x:v>0</x:v>
      </x:c>
      <x:c r="I716" s="32" t="n">
        <x:f>IF(B716="Holiday",F716,IF(B716="Closed",0,MAX(0,H716-G716)))</x:f>
        <x:v>0</x:v>
      </x:c>
      <x:c r="J716" s="32" t="n">
        <x:f>IF(B716="Holiday",MAX(0,C716-F716),IF(B716="Closed",0,MAX(0,E716-I716)))</x:f>
        <x:v>0</x:v>
      </x:c>
      <x:c r="K716" s="32" t="n">
        <x:f>IF(B716="Holiday",IF(Dashboard!$B$14="Interest Only",D716,D716+G716),0)</x:f>
        <x:v>0</x:v>
      </x:c>
      <x:c r="L716" s="32" t="n">
        <x:f>J716+K716</x:f>
        <x:v>0</x:v>
      </x:c>
      <x:c r="M716" s="32" t="n">
        <x:f>IF(A716=1,H716,M715+H716)</x:f>
        <x:v>0</x:v>
      </x:c>
      <x:c r="N716" s="32" t="n">
        <x:f>IF(A716=1,I716,N715+I716)</x:f>
        <x:v>0</x:v>
      </x:c>
      <x:c r="O716" s="32" t="n">
        <x:f>IF(A716=1,G716,O715+G716)</x:f>
        <x:v>3671325</x:v>
      </x:c>
      <x:c r="P716" s="37" t="n">
        <x:f>EDATE(Dashboard!$B$10,A716)</x:f>
        <x:v>66781</x:v>
      </x:c>
    </x:row>
    <x:row r="717">
      <x:c r="A717" s="33" t="n">
        <x:v>716</x:v>
      </x:c>
      <x:c r="B717" s="33" t="str">
        <x:f>IF(A717&lt;=Dashboard!$F$8,"Holiday",IF(A717&lt;=Dashboard!$F$8+Dashboard!$F$7,"Repayment","Closed"))</x:f>
        <x:v>Closed</x:v>
      </x:c>
      <x:c r="C717" s="32">
        <x:f>IF(A717=1,Dashboard!$B$6,IF(B717="Holiday",J716,L716))</x:f>
      </x:c>
      <x:c r="D717" s="32">
        <x:f>IF(A717=1,0,IF(B717="Holiday",K716,0))</x:f>
      </x:c>
      <x:c r="E717" s="32">
        <x:f>C717+D717</x:f>
      </x:c>
      <x:c r="F717" s="32">
        <x:f>IF(B717="Holiday",IF(Dashboard!$B$14="Principal Only",MIN(Dashboard!$B$15,C717),0),0)</x:f>
      </x:c>
      <x:c r="G717" s="32" t="n">
        <x:f>IF(B717="Closed",0,IF(B717="Holiday",IF(Dashboard!$B$14="Interest Only",C717*Dashboard!$F$6,MAX(0,(C717-F717)*Dashboard!$F$6)),E717*Dashboard!$F$6))</x:f>
        <x:v>0</x:v>
      </x:c>
      <x:c r="H717" s="32" t="n">
        <x:f>IF(B717="Holiday",IF(Dashboard!$B$14="Interest Only",G717,F717),IF(B717="Closed",0,MIN(Dashboard!$F$10,E717+G717)))</x:f>
        <x:v>0</x:v>
      </x:c>
      <x:c r="I717" s="32" t="n">
        <x:f>IF(B717="Holiday",F717,IF(B717="Closed",0,MAX(0,H717-G717)))</x:f>
        <x:v>0</x:v>
      </x:c>
      <x:c r="J717" s="32" t="n">
        <x:f>IF(B717="Holiday",MAX(0,C717-F717),IF(B717="Closed",0,MAX(0,E717-I717)))</x:f>
        <x:v>0</x:v>
      </x:c>
      <x:c r="K717" s="32" t="n">
        <x:f>IF(B717="Holiday",IF(Dashboard!$B$14="Interest Only",D717,D717+G717),0)</x:f>
        <x:v>0</x:v>
      </x:c>
      <x:c r="L717" s="32" t="n">
        <x:f>J717+K717</x:f>
        <x:v>0</x:v>
      </x:c>
      <x:c r="M717" s="32" t="n">
        <x:f>IF(A717=1,H717,M716+H717)</x:f>
        <x:v>0</x:v>
      </x:c>
      <x:c r="N717" s="32" t="n">
        <x:f>IF(A717=1,I717,N716+I717)</x:f>
        <x:v>0</x:v>
      </x:c>
      <x:c r="O717" s="32" t="n">
        <x:f>IF(A717=1,G717,O716+G717)</x:f>
        <x:v>3671325</x:v>
      </x:c>
      <x:c r="P717" s="37" t="n">
        <x:f>EDATE(Dashboard!$B$10,A717)</x:f>
        <x:v>66811</x:v>
      </x:c>
    </x:row>
    <x:row r="718">
      <x:c r="A718" s="33" t="n">
        <x:v>717</x:v>
      </x:c>
      <x:c r="B718" s="33" t="str">
        <x:f>IF(A718&lt;=Dashboard!$F$8,"Holiday",IF(A718&lt;=Dashboard!$F$8+Dashboard!$F$7,"Repayment","Closed"))</x:f>
        <x:v>Closed</x:v>
      </x:c>
      <x:c r="C718" s="32">
        <x:f>IF(A718=1,Dashboard!$B$6,IF(B718="Holiday",J717,L717))</x:f>
      </x:c>
      <x:c r="D718" s="32">
        <x:f>IF(A718=1,0,IF(B718="Holiday",K717,0))</x:f>
      </x:c>
      <x:c r="E718" s="32">
        <x:f>C718+D718</x:f>
      </x:c>
      <x:c r="F718" s="32">
        <x:f>IF(B718="Holiday",IF(Dashboard!$B$14="Principal Only",MIN(Dashboard!$B$15,C718),0),0)</x:f>
      </x:c>
      <x:c r="G718" s="32" t="n">
        <x:f>IF(B718="Closed",0,IF(B718="Holiday",IF(Dashboard!$B$14="Interest Only",C718*Dashboard!$F$6,MAX(0,(C718-F718)*Dashboard!$F$6)),E718*Dashboard!$F$6))</x:f>
        <x:v>0</x:v>
      </x:c>
      <x:c r="H718" s="32" t="n">
        <x:f>IF(B718="Holiday",IF(Dashboard!$B$14="Interest Only",G718,F718),IF(B718="Closed",0,MIN(Dashboard!$F$10,E718+G718)))</x:f>
        <x:v>0</x:v>
      </x:c>
      <x:c r="I718" s="32" t="n">
        <x:f>IF(B718="Holiday",F718,IF(B718="Closed",0,MAX(0,H718-G718)))</x:f>
        <x:v>0</x:v>
      </x:c>
      <x:c r="J718" s="32" t="n">
        <x:f>IF(B718="Holiday",MAX(0,C718-F718),IF(B718="Closed",0,MAX(0,E718-I718)))</x:f>
        <x:v>0</x:v>
      </x:c>
      <x:c r="K718" s="32" t="n">
        <x:f>IF(B718="Holiday",IF(Dashboard!$B$14="Interest Only",D718,D718+G718),0)</x:f>
        <x:v>0</x:v>
      </x:c>
      <x:c r="L718" s="32" t="n">
        <x:f>J718+K718</x:f>
        <x:v>0</x:v>
      </x:c>
      <x:c r="M718" s="32" t="n">
        <x:f>IF(A718=1,H718,M717+H718)</x:f>
        <x:v>0</x:v>
      </x:c>
      <x:c r="N718" s="32" t="n">
        <x:f>IF(A718=1,I718,N717+I718)</x:f>
        <x:v>0</x:v>
      </x:c>
      <x:c r="O718" s="32" t="n">
        <x:f>IF(A718=1,G718,O717+G718)</x:f>
        <x:v>3671325</x:v>
      </x:c>
      <x:c r="P718" s="37" t="n">
        <x:f>EDATE(Dashboard!$B$10,A718)</x:f>
        <x:v>66842</x:v>
      </x:c>
    </x:row>
    <x:row r="719">
      <x:c r="A719" s="33" t="n">
        <x:v>718</x:v>
      </x:c>
      <x:c r="B719" s="33" t="str">
        <x:f>IF(A719&lt;=Dashboard!$F$8,"Holiday",IF(A719&lt;=Dashboard!$F$8+Dashboard!$F$7,"Repayment","Closed"))</x:f>
        <x:v>Closed</x:v>
      </x:c>
      <x:c r="C719" s="32">
        <x:f>IF(A719=1,Dashboard!$B$6,IF(B719="Holiday",J718,L718))</x:f>
      </x:c>
      <x:c r="D719" s="32">
        <x:f>IF(A719=1,0,IF(B719="Holiday",K718,0))</x:f>
      </x:c>
      <x:c r="E719" s="32">
        <x:f>C719+D719</x:f>
      </x:c>
      <x:c r="F719" s="32">
        <x:f>IF(B719="Holiday",IF(Dashboard!$B$14="Principal Only",MIN(Dashboard!$B$15,C719),0),0)</x:f>
      </x:c>
      <x:c r="G719" s="32" t="n">
        <x:f>IF(B719="Closed",0,IF(B719="Holiday",IF(Dashboard!$B$14="Interest Only",C719*Dashboard!$F$6,MAX(0,(C719-F719)*Dashboard!$F$6)),E719*Dashboard!$F$6))</x:f>
        <x:v>0</x:v>
      </x:c>
      <x:c r="H719" s="32" t="n">
        <x:f>IF(B719="Holiday",IF(Dashboard!$B$14="Interest Only",G719,F719),IF(B719="Closed",0,MIN(Dashboard!$F$10,E719+G719)))</x:f>
        <x:v>0</x:v>
      </x:c>
      <x:c r="I719" s="32" t="n">
        <x:f>IF(B719="Holiday",F719,IF(B719="Closed",0,MAX(0,H719-G719)))</x:f>
        <x:v>0</x:v>
      </x:c>
      <x:c r="J719" s="32" t="n">
        <x:f>IF(B719="Holiday",MAX(0,C719-F719),IF(B719="Closed",0,MAX(0,E719-I719)))</x:f>
        <x:v>0</x:v>
      </x:c>
      <x:c r="K719" s="32" t="n">
        <x:f>IF(B719="Holiday",IF(Dashboard!$B$14="Interest Only",D719,D719+G719),0)</x:f>
        <x:v>0</x:v>
      </x:c>
      <x:c r="L719" s="32" t="n">
        <x:f>J719+K719</x:f>
        <x:v>0</x:v>
      </x:c>
      <x:c r="M719" s="32" t="n">
        <x:f>IF(A719=1,H719,M718+H719)</x:f>
        <x:v>0</x:v>
      </x:c>
      <x:c r="N719" s="32" t="n">
        <x:f>IF(A719=1,I719,N718+I719)</x:f>
        <x:v>0</x:v>
      </x:c>
      <x:c r="O719" s="32" t="n">
        <x:f>IF(A719=1,G719,O718+G719)</x:f>
        <x:v>3671325</x:v>
      </x:c>
      <x:c r="P719" s="37" t="n">
        <x:f>EDATE(Dashboard!$B$10,A719)</x:f>
        <x:v>66873</x:v>
      </x:c>
    </x:row>
    <x:row r="720">
      <x:c r="A720" s="33" t="n">
        <x:v>719</x:v>
      </x:c>
      <x:c r="B720" s="33" t="str">
        <x:f>IF(A720&lt;=Dashboard!$F$8,"Holiday",IF(A720&lt;=Dashboard!$F$8+Dashboard!$F$7,"Repayment","Closed"))</x:f>
        <x:v>Closed</x:v>
      </x:c>
      <x:c r="C720" s="32">
        <x:f>IF(A720=1,Dashboard!$B$6,IF(B720="Holiday",J719,L719))</x:f>
      </x:c>
      <x:c r="D720" s="32">
        <x:f>IF(A720=1,0,IF(B720="Holiday",K719,0))</x:f>
      </x:c>
      <x:c r="E720" s="32">
        <x:f>C720+D720</x:f>
      </x:c>
      <x:c r="F720" s="32">
        <x:f>IF(B720="Holiday",IF(Dashboard!$B$14="Principal Only",MIN(Dashboard!$B$15,C720),0),0)</x:f>
      </x:c>
      <x:c r="G720" s="32" t="n">
        <x:f>IF(B720="Closed",0,IF(B720="Holiday",IF(Dashboard!$B$14="Interest Only",C720*Dashboard!$F$6,MAX(0,(C720-F720)*Dashboard!$F$6)),E720*Dashboard!$F$6))</x:f>
        <x:v>0</x:v>
      </x:c>
      <x:c r="H720" s="32" t="n">
        <x:f>IF(B720="Holiday",IF(Dashboard!$B$14="Interest Only",G720,F720),IF(B720="Closed",0,MIN(Dashboard!$F$10,E720+G720)))</x:f>
        <x:v>0</x:v>
      </x:c>
      <x:c r="I720" s="32" t="n">
        <x:f>IF(B720="Holiday",F720,IF(B720="Closed",0,MAX(0,H720-G720)))</x:f>
        <x:v>0</x:v>
      </x:c>
      <x:c r="J720" s="32" t="n">
        <x:f>IF(B720="Holiday",MAX(0,C720-F720),IF(B720="Closed",0,MAX(0,E720-I720)))</x:f>
        <x:v>0</x:v>
      </x:c>
      <x:c r="K720" s="32" t="n">
        <x:f>IF(B720="Holiday",IF(Dashboard!$B$14="Interest Only",D720,D720+G720),0)</x:f>
        <x:v>0</x:v>
      </x:c>
      <x:c r="L720" s="32" t="n">
        <x:f>J720+K720</x:f>
        <x:v>0</x:v>
      </x:c>
      <x:c r="M720" s="32" t="n">
        <x:f>IF(A720=1,H720,M719+H720)</x:f>
        <x:v>0</x:v>
      </x:c>
      <x:c r="N720" s="32" t="n">
        <x:f>IF(A720=1,I720,N719+I720)</x:f>
        <x:v>0</x:v>
      </x:c>
      <x:c r="O720" s="32" t="n">
        <x:f>IF(A720=1,G720,O719+G720)</x:f>
        <x:v>3671325</x:v>
      </x:c>
      <x:c r="P720" s="37" t="n">
        <x:f>EDATE(Dashboard!$B$10,A720)</x:f>
        <x:v>66901</x:v>
      </x:c>
    </x:row>
    <x:row r="721">
      <x:c r="A721" s="33" t="n">
        <x:v>720</x:v>
      </x:c>
      <x:c r="B721" s="33" t="str">
        <x:f>IF(A721&lt;=Dashboard!$F$8,"Holiday",IF(A721&lt;=Dashboard!$F$8+Dashboard!$F$7,"Repayment","Closed"))</x:f>
        <x:v>Closed</x:v>
      </x:c>
      <x:c r="C721" s="32">
        <x:f>IF(A721=1,Dashboard!$B$6,IF(B721="Holiday",J720,L720))</x:f>
      </x:c>
      <x:c r="D721" s="32">
        <x:f>IF(A721=1,0,IF(B721="Holiday",K720,0))</x:f>
      </x:c>
      <x:c r="E721" s="32">
        <x:f>C721+D721</x:f>
      </x:c>
      <x:c r="F721" s="32">
        <x:f>IF(B721="Holiday",IF(Dashboard!$B$14="Principal Only",MIN(Dashboard!$B$15,C721),0),0)</x:f>
      </x:c>
      <x:c r="G721" s="32" t="n">
        <x:f>IF(B721="Closed",0,IF(B721="Holiday",IF(Dashboard!$B$14="Interest Only",C721*Dashboard!$F$6,MAX(0,(C721-F721)*Dashboard!$F$6)),E721*Dashboard!$F$6))</x:f>
        <x:v>0</x:v>
      </x:c>
      <x:c r="H721" s="32" t="n">
        <x:f>IF(B721="Holiday",IF(Dashboard!$B$14="Interest Only",G721,F721),IF(B721="Closed",0,MIN(Dashboard!$F$10,E721+G721)))</x:f>
        <x:v>0</x:v>
      </x:c>
      <x:c r="I721" s="32" t="n">
        <x:f>IF(B721="Holiday",F721,IF(B721="Closed",0,MAX(0,H721-G721)))</x:f>
        <x:v>0</x:v>
      </x:c>
      <x:c r="J721" s="32" t="n">
        <x:f>IF(B721="Holiday",MAX(0,C721-F721),IF(B721="Closed",0,MAX(0,E721-I721)))</x:f>
        <x:v>0</x:v>
      </x:c>
      <x:c r="K721" s="32" t="n">
        <x:f>IF(B721="Holiday",IF(Dashboard!$B$14="Interest Only",D721,D721+G721),0)</x:f>
        <x:v>0</x:v>
      </x:c>
      <x:c r="L721" s="32" t="n">
        <x:f>J721+K721</x:f>
        <x:v>0</x:v>
      </x:c>
      <x:c r="M721" s="32" t="n">
        <x:f>IF(A721=1,H721,M720+H721)</x:f>
        <x:v>0</x:v>
      </x:c>
      <x:c r="N721" s="32" t="n">
        <x:f>IF(A721=1,I721,N720+I721)</x:f>
        <x:v>0</x:v>
      </x:c>
      <x:c r="O721" s="32" t="n">
        <x:f>IF(A721=1,G721,O720+G721)</x:f>
        <x:v>3671325</x:v>
      </x:c>
      <x:c r="P721" s="37" t="n">
        <x:f>EDATE(Dashboard!$B$10,A721)</x:f>
        <x:v>66932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10000038146973" hidden="0" customWidth="1"/>
    <x:col min="2" max="2" width="15.710000038146973" hidden="0" customWidth="1"/>
    <x:col min="3" max="3" width="15.710000038146973" hidden="0" customWidth="1"/>
    <x:col min="4" max="4" width="15.710000038146973" hidden="0" customWidth="1"/>
    <x:col min="5" max="5" width="15.710000038146973" hidden="0" customWidth="1"/>
    <x:col min="6" max="6" width="15.710000038146973" hidden="0" customWidth="1"/>
    <x:col min="7" max="7" width="15.710000038146973" hidden="0" customWidth="1"/>
    <x:col min="8" max="8" width="15.710000038146973" hidden="0" customWidth="1"/>
    <x:col min="9" max="9" width="15.710000038146973" hidden="0" customWidth="1"/>
    <x:col min="10" max="10" width="15.710000038146973" hidden="0" customWidth="1"/>
    <x:col min="11" max="11" width="15.710000038146973" hidden="0" customWidth="1"/>
    <x:col min="12" max="12" width="15.710000038146973" hidden="0" customWidth="1"/>
    <x:col min="13" max="13" width="15.710000038146973" hidden="0" customWidth="1"/>
    <x:col min="14" max="14" width="15.710000038146973" hidden="0" customWidth="1"/>
    <x:col min="15" max="15" width="15.710000038146973" hidden="0" customWidth="1"/>
    <x:col min="16" max="16" width="15.710000038146973" hidden="0" customWidth="1"/>
    <x:col min="17" max="17" width="15.710000038146973" hidden="0" customWidth="1"/>
    <x:col min="18" max="18" width="15.710000038146973" hidden="0" customWidth="1"/>
    <x:col min="19" max="19" width="15.710000038146973" hidden="0" customWidth="1"/>
    <x:col min="20" max="20" width="15.710000038146973" hidden="0" customWidth="1"/>
    <x:col min="21" max="21" width="15.710000038146973" hidden="0" customWidth="1"/>
    <x:col min="22" max="22" width="15.710000038146973" hidden="0" customWidth="1"/>
    <x:col min="23" max="23" width="15.710000038146973" hidden="0" customWidth="1"/>
    <x:col min="24" max="24" width="15.710000038146973" hidden="0" customWidth="1"/>
    <x:col min="25" max="25" width="15.710000038146973" hidden="0" customWidth="1"/>
    <x:col min="26" max="26" width="15.710000038146973" hidden="0" customWidth="1"/>
    <x:col min="27" max="27" width="15.710000038146973" hidden="0" customWidth="1"/>
    <x:col min="28" max="28" width="15.710000038146973" hidden="0" customWidth="1"/>
    <x:col min="29" max="29" width="15.710000038146973" hidden="0" customWidth="1"/>
    <x:col min="30" max="30" width="15.710000038146973" hidden="0" customWidth="1"/>
    <x:col min="31" max="31" width="15.710000038146973" hidden="0" customWidth="1"/>
    <x:col min="32" max="32" width="15.710000038146973" hidden="0" customWidth="1"/>
    <x:col min="33" max="33" width="15.710000038146973" hidden="0" customWidth="1"/>
    <x:col min="34" max="34" width="15.710000038146973" hidden="0" customWidth="1"/>
    <x:col min="35" max="35" width="15.710000038146973" hidden="0" customWidth="1"/>
    <x:col min="36" max="36" width="15.710000038146973" hidden="0" customWidth="1"/>
    <x:col min="37" max="37" width="15.710000038146973" hidden="0" customWidth="1"/>
    <x:col min="38" max="38" width="15.710000038146973" hidden="0" customWidth="1"/>
    <x:col min="39" max="39" width="15.710000038146973" hidden="0" customWidth="1"/>
  </x:cols>
  <x:sheetData>
    <x:row r="1">
      <x:c r="A1" s="30" t="str">
        <x:v>Close Early Strategy Engine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  <x:c r="AJ2" s="40"/>
      <x:c r="AK2" s="40"/>
      <x:c r="AL2" s="40"/>
      <x:c r="AM2" s="40"/>
    </x:row>
    <x:row r="3">
      <x:c r="A3" s="40" t="str">
        <x:v>Baseline</x:v>
      </x:c>
      <x:c r="B3" s="40" t="str"/>
      <x:c r="C3" s="40" t="str"/>
      <x:c r="D3" s="43" t="e">
        <x:f>SUM(G13:G732)</x:f>
      </x:c>
      <x:c r="E3" s="40" t="str"/>
      <x:c r="F3" s="40" t="str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  <x:c r="AB3" s="40"/>
      <x:c r="AC3" s="40"/>
      <x:c r="AD3" s="40"/>
      <x:c r="AE3" s="40"/>
      <x:c r="AF3" s="40"/>
      <x:c r="AG3" s="40"/>
      <x:c r="AH3" s="40"/>
      <x:c r="AI3" s="40"/>
      <x:c r="AJ3" s="40"/>
      <x:c r="AK3" s="40"/>
      <x:c r="AL3" s="40"/>
      <x:c r="AM3" s="40"/>
    </x:row>
    <x:row r="4">
      <x:c r="A4" s="31" t="str">
        <x:v>Option</x:v>
      </x:c>
      <x:c r="B4" s="31" t="str">
        <x:v>Extra amount</x:v>
      </x:c>
      <x:c r="C4" s="31" t="str">
        <x:v>Total extra</x:v>
      </x:c>
      <x:c r="D4" s="31" t="str">
        <x:v>Interest cost</x:v>
      </x:c>
      <x:c r="E4" s="31" t="str">
        <x:v>Interest saved</x:v>
      </x:c>
      <x:c r="F4" s="31" t="str">
        <x:v>Decision</x:v>
      </x:c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  <x:c r="AA4" s="40"/>
      <x:c r="AB4" s="40"/>
      <x:c r="AC4" s="40"/>
      <x:c r="AD4" s="40"/>
      <x:c r="AE4" s="40"/>
      <x:c r="AF4" s="40"/>
      <x:c r="AG4" s="40"/>
      <x:c r="AH4" s="40"/>
      <x:c r="AI4" s="40"/>
      <x:c r="AJ4" s="40"/>
      <x:c r="AK4" s="40"/>
      <x:c r="AL4" s="40"/>
      <x:c r="AM4" s="40"/>
    </x:row>
    <x:row r="5">
      <x:c r="A5" s="33" t="str">
        <x:v>Monthly Start</x:v>
      </x:c>
      <x:c r="B5" s="32" t="e">
        <x:f>MAX(0,PMT(Dashboard!$F$6,Dashboard!$F$17,-Dashboard!$F$14,0,1)-Dashboard!$F$10)</x:f>
      </x:c>
      <x:c r="C5" s="32" t="e">
        <x:f>SUM(J13:J732)</x:f>
      </x:c>
      <x:c r="D5" s="32" t="e">
        <x:f>SUM(L13:L732)</x:f>
      </x:c>
      <x:c r="E5" s="32" t="e">
        <x:f>MAX(0,$D$3-D5)</x:f>
      </x:c>
      <x:c r="F5" s="33" t="e">
        <x:f>IF(E5=MAX($E$5:$E$8),"Best: highest interest saved",IF(E5&gt;0,"Useful","No extra saving"))</x:f>
      </x:c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  <x:c r="AA5" s="40"/>
      <x:c r="AB5" s="40"/>
      <x:c r="AC5" s="40"/>
      <x:c r="AD5" s="40"/>
      <x:c r="AE5" s="40"/>
      <x:c r="AF5" s="40"/>
      <x:c r="AG5" s="40"/>
      <x:c r="AH5" s="40"/>
      <x:c r="AI5" s="40"/>
      <x:c r="AJ5" s="40"/>
      <x:c r="AK5" s="40"/>
      <x:c r="AL5" s="40"/>
      <x:c r="AM5" s="40"/>
    </x:row>
    <x:row r="6">
      <x:c r="A6" s="33" t="str">
        <x:v>Weekly Start</x:v>
      </x:c>
      <x:c r="B6" s="32" t="e">
        <x:f>B5*12/52</x:f>
      </x:c>
      <x:c r="C6" s="32" t="e">
        <x:f>SUM(Q13:Q732)</x:f>
      </x:c>
      <x:c r="D6" s="32" t="e">
        <x:f>SUM(S13:S732)</x:f>
      </x:c>
      <x:c r="E6" s="32" t="e">
        <x:f>MAX(0,$D$3-D6)</x:f>
      </x:c>
      <x:c r="F6" s="33" t="e">
        <x:f>IF(E6=MAX($E$5:$E$8),"Best: highest interest saved",IF(E6&gt;0,"Useful","No extra saving"))</x:f>
      </x:c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40"/>
      <x:c r="AF6" s="40"/>
      <x:c r="AG6" s="40"/>
      <x:c r="AH6" s="40"/>
      <x:c r="AI6" s="40"/>
      <x:c r="AJ6" s="40"/>
      <x:c r="AK6" s="40"/>
      <x:c r="AL6" s="40"/>
      <x:c r="AM6" s="40"/>
    </x:row>
    <x:row r="7">
      <x:c r="A7" s="33" t="str">
        <x:v>Yearly Start</x:v>
      </x:c>
      <x:c r="B7" s="32" t="e">
        <x:f>B5*12</x:f>
      </x:c>
      <x:c r="C7" s="32" t="e">
        <x:f>SUM(X13:X732)</x:f>
      </x:c>
      <x:c r="D7" s="32" t="e">
        <x:f>SUM(Z13:Z732)</x:f>
      </x:c>
      <x:c r="E7" s="32" t="e">
        <x:f>MAX(0,$D$3-D7)</x:f>
      </x:c>
      <x:c r="F7" s="33" t="e">
        <x:f>IF(E7=MAX($E$5:$E$8),"Best: highest interest saved",IF(E7&gt;0,"Useful","No extra saving"))</x:f>
      </x:c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  <x:c r="AA7" s="40"/>
      <x:c r="AB7" s="40"/>
      <x:c r="AC7" s="40"/>
      <x:c r="AD7" s="40"/>
      <x:c r="AE7" s="40"/>
      <x:c r="AF7" s="40"/>
      <x:c r="AG7" s="40"/>
      <x:c r="AH7" s="40"/>
      <x:c r="AI7" s="40"/>
      <x:c r="AJ7" s="40"/>
      <x:c r="AK7" s="40"/>
      <x:c r="AL7" s="40"/>
      <x:c r="AM7" s="40"/>
    </x:row>
    <x:row r="8">
      <x:c r="A8" s="33" t="str">
        <x:v>One-Time Now</x:v>
      </x:c>
      <x:c r="B8" s="32" t="e">
        <x:f>MAX(0,Dashboard!$F$14-PV(Dashboard!$F$6,Dashboard!$F$17,-Dashboard!$F$10,0,1))</x:f>
      </x:c>
      <x:c r="C8" s="32" t="e">
        <x:f>B8</x:f>
      </x:c>
      <x:c r="D8" s="32" t="e">
        <x:f>SUM(AH13:AH732)</x:f>
      </x:c>
      <x:c r="E8" s="32" t="e">
        <x:f>MAX(0,$D$3-D8)</x:f>
      </x:c>
      <x:c r="F8" s="33" t="e">
        <x:f>IF(E8=MAX($E$5:$E$8),"Best: highest interest saved",IF(E8&gt;0,"Useful","No extra saving"))</x:f>
      </x:c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  <x:c r="AA8" s="40"/>
      <x:c r="AB8" s="40"/>
      <x:c r="AC8" s="40"/>
      <x:c r="AD8" s="40"/>
      <x:c r="AE8" s="40"/>
      <x:c r="AF8" s="40"/>
      <x:c r="AG8" s="40"/>
      <x:c r="AH8" s="40"/>
      <x:c r="AI8" s="40"/>
      <x:c r="AJ8" s="40"/>
      <x:c r="AK8" s="40"/>
      <x:c r="AL8" s="40"/>
      <x:c r="AM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  <x:c r="AA9" s="40"/>
      <x:c r="AB9" s="40"/>
      <x:c r="AC9" s="40"/>
      <x:c r="AD9" s="40"/>
      <x:c r="AE9" s="40"/>
      <x:c r="AF9" s="40"/>
      <x:c r="AG9" s="40"/>
      <x:c r="AH9" s="40"/>
      <x:c r="AI9" s="40"/>
      <x:c r="AJ9" s="40"/>
      <x:c r="AK9" s="40"/>
      <x:c r="AL9" s="40"/>
      <x:c r="AM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  <x:c r="AA10" s="40"/>
      <x:c r="AB10" s="40"/>
      <x:c r="AC10" s="40"/>
      <x:c r="AD10" s="40"/>
      <x:c r="AE10" s="40"/>
      <x:c r="AF10" s="40"/>
      <x:c r="AG10" s="40"/>
      <x:c r="AH10" s="40"/>
      <x:c r="AI10" s="40"/>
      <x:c r="AJ10" s="40"/>
      <x:c r="AK10" s="40"/>
      <x:c r="AL10" s="40"/>
      <x:c r="AM10" s="40"/>
    </x:row>
    <x:row r="11">
      <x:c r="A11" s="30" t="str">
        <x:v>Month</x:v>
      </x:c>
      <x:c r="B11" s="30" t="str">
        <x:v>Base start</x:v>
      </x:c>
      <x:c r="C11" s="30" t="str">
        <x:v>Base extra</x:v>
      </x:c>
      <x:c r="D11" s="30" t="str">
        <x:v>Base interest</x:v>
      </x:c>
      <x:c r="E11" s="30" t="str">
        <x:v>Base EMI</x:v>
      </x:c>
      <x:c r="F11" s="30" t="str">
        <x:v>Base end</x:v>
      </x:c>
      <x:c r="G11" s="30" t="str">
        <x:v>Base cum interest</x:v>
      </x:c>
      <x:c r="H11" s="30" t="str"/>
      <x:c r="I11" s="30" t="str">
        <x:v>Monthly start</x:v>
      </x:c>
      <x:c r="J11" s="30" t="str">
        <x:v>Monthly extra</x:v>
      </x:c>
      <x:c r="K11" s="30" t="str">
        <x:v>Monthly interest</x:v>
      </x:c>
      <x:c r="L11" s="30" t="str">
        <x:v>Monthly EMI</x:v>
      </x:c>
      <x:c r="M11" s="30" t="str">
        <x:v>Monthly end</x:v>
      </x:c>
      <x:c r="N11" s="30" t="str">
        <x:v>Monthly cum interest</x:v>
      </x:c>
      <x:c r="O11" s="30" t="str"/>
      <x:c r="P11" s="30" t="str">
        <x:v>Weekly start</x:v>
      </x:c>
      <x:c r="Q11" s="30" t="str">
        <x:v>Weekly extra</x:v>
      </x:c>
      <x:c r="R11" s="30" t="str">
        <x:v>Weekly interest</x:v>
      </x:c>
      <x:c r="S11" s="30" t="str">
        <x:v>Weekly EMI</x:v>
      </x:c>
      <x:c r="T11" s="30" t="str">
        <x:v>Weekly end</x:v>
      </x:c>
      <x:c r="U11" s="30" t="str">
        <x:v>Weekly cum interest</x:v>
      </x:c>
      <x:c r="V11" s="30" t="str"/>
      <x:c r="W11" s="30" t="str">
        <x:v>Yearly start</x:v>
      </x:c>
      <x:c r="X11" s="30" t="str">
        <x:v>Yearly extra</x:v>
      </x:c>
      <x:c r="Y11" s="30" t="str">
        <x:v>Yearly interest</x:v>
      </x:c>
      <x:c r="Z11" s="30" t="str">
        <x:v>Yearly EMI</x:v>
      </x:c>
      <x:c r="AA11" s="30" t="str">
        <x:v>Yearly end</x:v>
      </x:c>
      <x:c r="AB11" s="30" t="str">
        <x:v>Yearly cum interest</x:v>
      </x:c>
      <x:c r="AC11" s="30" t="str"/>
      <x:c r="AD11" s="30" t="str">
        <x:v>Lump start</x:v>
      </x:c>
      <x:c r="AE11" s="30" t="str">
        <x:v>Lump extra</x:v>
      </x:c>
      <x:c r="AF11" s="30" t="str">
        <x:v>Lump interest</x:v>
      </x:c>
      <x:c r="AG11" s="30" t="str">
        <x:v>Lump EMI</x:v>
      </x:c>
      <x:c r="AH11" s="30" t="str">
        <x:v>Lump end</x:v>
      </x:c>
      <x:c r="AI11" s="30" t="str">
        <x:v>Lump cum interest</x:v>
      </x:c>
      <x:c r="AJ11" s="30" t="str"/>
      <x:c r="AK11" s="30" t="str"/>
      <x:c r="AL11" s="30" t="str"/>
      <x:c r="AM11" s="30" t="str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  <x:c r="AA12" s="40"/>
      <x:c r="AB12" s="40"/>
      <x:c r="AC12" s="40"/>
      <x:c r="AD12" s="40"/>
      <x:c r="AE12" s="40"/>
      <x:c r="AF12" s="40"/>
      <x:c r="AG12" s="40"/>
      <x:c r="AH12" s="40"/>
      <x:c r="AI12" s="40"/>
      <x:c r="AJ12" s="40"/>
      <x:c r="AK12" s="40"/>
      <x:c r="AL12" s="40"/>
      <x:c r="AM12" s="40"/>
    </x:row>
    <x:row r="13">
      <x:c r="A13" s="33" t="n">
        <x:v>1</x:v>
      </x:c>
      <x:c r="B13" s="32" t="n">
        <x:f>IF(A13=1,Dashboard!$F$14,F12)</x:f>
        <x:v>2050000</x:v>
      </x:c>
      <x:c r="C13" s="32" t="n">
        <x:f>0</x:f>
        <x:v>0</x:v>
      </x:c>
      <x:c r="D13" s="32" t="e">
        <x:f>IF(A13&lt;=Dashboard!$F$15,B13*Dashboard!$F$6,0)</x:f>
      </x:c>
      <x:c r="E13" s="32" t="e">
        <x:f>IF(A13&lt;=Dashboard!$F$15,MIN(Dashboard!$F$10,B13+D13),0)</x:f>
      </x:c>
      <x:c r="F13" s="32" t="e">
        <x:f>IF(A13&lt;=Dashboard!$F$15,MAX(0,B13-MAX(0,E13-D13)),0)</x:f>
      </x:c>
      <x:c r="G13" s="32" t="e">
        <x:f>IF(A13=1,D13,G12+D13)</x:f>
      </x:c>
      <x:c r="H13" s="32"/>
      <x:c r="I13" s="32" t="n">
        <x:f>IF(A13=1,Dashboard!$F$14,M12)</x:f>
        <x:v>2050000</x:v>
      </x:c>
      <x:c r="J13" s="32" t="e">
        <x:f>IF(A13&lt;=Dashboard!$F$17,MIN(I13,$B$5),0)</x:f>
      </x:c>
      <x:c r="K13" s="32" t="e">
        <x:f>IF(A13&lt;=Dashboard!$F$17,MAX(0,I13-J13)*Dashboard!$F$6,0)</x:f>
      </x:c>
      <x:c r="L13" s="32" t="e">
        <x:f>IF(A13&lt;=Dashboard!$F$17,MIN(Dashboard!$F$10,MAX(0,I13-J13)+K13),0)</x:f>
      </x:c>
      <x:c r="M13" s="32" t="e">
        <x:f>IF(A13&lt;=Dashboard!$F$17,MAX(0,I13-J13-MAX(0,L13-K13)),0)</x:f>
      </x:c>
      <x:c r="N13" s="32" t="e">
        <x:f>IF(A13=1,K13,N12+K13)</x:f>
      </x:c>
      <x:c r="O13" s="32"/>
      <x:c r="P13" s="32" t="n">
        <x:f>IF(A13=1,Dashboard!$F$14,T12)</x:f>
        <x:v>2050000</x:v>
      </x:c>
      <x:c r="Q13" s="32" t="e">
        <x:f>IF(A13&lt;=Dashboard!$F$17,MIN(P13,$B$6*52/12),0)</x:f>
      </x:c>
      <x:c r="R13" s="32" t="e">
        <x:f>IF(A13&lt;=Dashboard!$F$17,MAX(0,P13-Q13)*Dashboard!$F$6,0)</x:f>
      </x:c>
      <x:c r="S13" s="32" t="e">
        <x:f>IF(A13&lt;=Dashboard!$F$17,MIN(Dashboard!$F$10,MAX(0,P13-Q13)+R13),0)</x:f>
      </x:c>
      <x:c r="T13" s="32" t="e">
        <x:f>IF(A13&lt;=Dashboard!$F$17,MAX(0,P13-Q13-MAX(0,S13-R13)),0)</x:f>
      </x:c>
      <x:c r="U13" s="32" t="e">
        <x:f>IF(A13=1,R13,U12+R13)</x:f>
      </x:c>
      <x:c r="V13" s="32"/>
      <x:c r="W13" s="32" t="n">
        <x:f>IF(A13=1,Dashboard!$F$14,AA12)</x:f>
        <x:v>2050000</x:v>
      </x:c>
      <x:c r="X13" s="32" t="e">
        <x:f>IF(AND(A13&lt;=Dashboard!$F$17,MOD(A13-1,12)=0),MIN(W13,$B$7),0)</x:f>
      </x:c>
      <x:c r="Y13" s="32" t="e">
        <x:f>IF(A13&lt;=Dashboard!$F$17,MAX(0,W13-X13)*Dashboard!$F$6,0)</x:f>
      </x:c>
      <x:c r="Z13" s="32" t="e">
        <x:f>IF(A13&lt;=Dashboard!$F$17,MIN(Dashboard!$F$10,MAX(0,W13-X13)+Y13),0)</x:f>
      </x:c>
      <x:c r="AA13" s="32" t="e">
        <x:f>IF(A13&lt;=Dashboard!$F$17,MAX(0,W13-X13-MAX(0,Z13-Y13)),0)</x:f>
      </x:c>
      <x:c r="AB13" s="32" t="e">
        <x:f>IF(A13=1,Y13,AB12+Y13)</x:f>
      </x:c>
      <x:c r="AC13" s="32"/>
      <x:c r="AD13" s="32" t="e">
        <x:f>IF(A13=1,MAX(0,Dashboard!$F$14-$B$8),AG12)</x:f>
      </x:c>
      <x:c r="AE13" s="32" t="n">
        <x:f>0</x:f>
        <x:v>0</x:v>
      </x:c>
      <x:c r="AF13" s="32" t="e">
        <x:f>IF(A13&lt;=Dashboard!$F$17,AD13*Dashboard!$F$6,0)</x:f>
      </x:c>
      <x:c r="AG13" s="32" t="e">
        <x:f>IF(A13&lt;=Dashboard!$F$17,MIN(Dashboard!$F$10,AD13+AF13),0)</x:f>
      </x:c>
      <x:c r="AH13" s="32" t="e">
        <x:f>IF(A13&lt;=Dashboard!$F$17,MAX(0,AD13-MAX(0,AG13-AF13)),0)</x:f>
      </x:c>
      <x:c r="AI13" s="32" t="e">
        <x:f>IF(A13=1,AF13,AI12+AF13)</x:f>
      </x:c>
      <x:c r="AJ13" s="33"/>
      <x:c r="AK13" s="33"/>
      <x:c r="AL13" s="33"/>
      <x:c r="AM13" s="33"/>
    </x:row>
    <x:row r="14">
      <x:c r="A14" s="33" t="n">
        <x:v>2</x:v>
      </x:c>
      <x:c r="B14" s="32" t="e">
        <x:f>IF(A14=1,Dashboard!$F$14,F13)</x:f>
      </x:c>
      <x:c r="C14" s="32" t="n">
        <x:f>0</x:f>
        <x:v>0</x:v>
      </x:c>
      <x:c r="D14" s="32" t="e">
        <x:f>IF(A14&lt;=Dashboard!$F$15,B14*Dashboard!$F$6,0)</x:f>
      </x:c>
      <x:c r="E14" s="32" t="e">
        <x:f>IF(A14&lt;=Dashboard!$F$15,MIN(Dashboard!$F$10,B14+D14),0)</x:f>
      </x:c>
      <x:c r="F14" s="32" t="e">
        <x:f>IF(A14&lt;=Dashboard!$F$15,MAX(0,B14-MAX(0,E14-D14)),0)</x:f>
      </x:c>
      <x:c r="G14" s="32" t="e">
        <x:f>IF(A14=1,D14,G13+D14)</x:f>
      </x:c>
      <x:c r="H14" s="32"/>
      <x:c r="I14" s="32" t="e">
        <x:f>IF(A14=1,Dashboard!$F$14,M13)</x:f>
      </x:c>
      <x:c r="J14" s="32" t="e">
        <x:f>IF(A14&lt;=Dashboard!$F$17,MIN(I14,$B$5),0)</x:f>
      </x:c>
      <x:c r="K14" s="32" t="e">
        <x:f>IF(A14&lt;=Dashboard!$F$17,MAX(0,I14-J14)*Dashboard!$F$6,0)</x:f>
      </x:c>
      <x:c r="L14" s="32" t="e">
        <x:f>IF(A14&lt;=Dashboard!$F$17,MIN(Dashboard!$F$10,MAX(0,I14-J14)+K14),0)</x:f>
      </x:c>
      <x:c r="M14" s="32" t="e">
        <x:f>IF(A14&lt;=Dashboard!$F$17,MAX(0,I14-J14-MAX(0,L14-K14)),0)</x:f>
      </x:c>
      <x:c r="N14" s="32" t="e">
        <x:f>IF(A14=1,K14,N13+K14)</x:f>
      </x:c>
      <x:c r="O14" s="32"/>
      <x:c r="P14" s="32" t="e">
        <x:f>IF(A14=1,Dashboard!$F$14,T13)</x:f>
      </x:c>
      <x:c r="Q14" s="32" t="e">
        <x:f>IF(A14&lt;=Dashboard!$F$17,MIN(P14,$B$6*52/12),0)</x:f>
      </x:c>
      <x:c r="R14" s="32" t="e">
        <x:f>IF(A14&lt;=Dashboard!$F$17,MAX(0,P14-Q14)*Dashboard!$F$6,0)</x:f>
      </x:c>
      <x:c r="S14" s="32" t="e">
        <x:f>IF(A14&lt;=Dashboard!$F$17,MIN(Dashboard!$F$10,MAX(0,P14-Q14)+R14),0)</x:f>
      </x:c>
      <x:c r="T14" s="32" t="e">
        <x:f>IF(A14&lt;=Dashboard!$F$17,MAX(0,P14-Q14-MAX(0,S14-R14)),0)</x:f>
      </x:c>
      <x:c r="U14" s="32" t="e">
        <x:f>IF(A14=1,R14,U13+R14)</x:f>
      </x:c>
      <x:c r="V14" s="32"/>
      <x:c r="W14" s="32" t="e">
        <x:f>IF(A14=1,Dashboard!$F$14,AA13)</x:f>
      </x:c>
      <x:c r="X14" s="32" t="e">
        <x:f>IF(AND(A14&lt;=Dashboard!$F$17,MOD(A14-1,12)=0),MIN(W14,$B$7),0)</x:f>
      </x:c>
      <x:c r="Y14" s="32" t="e">
        <x:f>IF(A14&lt;=Dashboard!$F$17,MAX(0,W14-X14)*Dashboard!$F$6,0)</x:f>
      </x:c>
      <x:c r="Z14" s="32" t="e">
        <x:f>IF(A14&lt;=Dashboard!$F$17,MIN(Dashboard!$F$10,MAX(0,W14-X14)+Y14),0)</x:f>
      </x:c>
      <x:c r="AA14" s="32" t="e">
        <x:f>IF(A14&lt;=Dashboard!$F$17,MAX(0,W14-X14-MAX(0,Z14-Y14)),0)</x:f>
      </x:c>
      <x:c r="AB14" s="32" t="e">
        <x:f>IF(A14=1,Y14,AB13+Y14)</x:f>
      </x:c>
      <x:c r="AC14" s="32"/>
      <x:c r="AD14" s="32" t="e">
        <x:f>IF(A14=1,MAX(0,Dashboard!$F$14-$B$8),AG13)</x:f>
      </x:c>
      <x:c r="AE14" s="32" t="n">
        <x:f>0</x:f>
        <x:v>0</x:v>
      </x:c>
      <x:c r="AF14" s="32" t="e">
        <x:f>IF(A14&lt;=Dashboard!$F$17,AD14*Dashboard!$F$6,0)</x:f>
      </x:c>
      <x:c r="AG14" s="32" t="e">
        <x:f>IF(A14&lt;=Dashboard!$F$17,MIN(Dashboard!$F$10,AD14+AF14),0)</x:f>
      </x:c>
      <x:c r="AH14" s="32" t="e">
        <x:f>IF(A14&lt;=Dashboard!$F$17,MAX(0,AD14-MAX(0,AG14-AF14)),0)</x:f>
      </x:c>
      <x:c r="AI14" s="32" t="e">
        <x:f>IF(A14=1,AF14,AI13+AF14)</x:f>
      </x:c>
      <x:c r="AJ14" s="33"/>
      <x:c r="AK14" s="33"/>
      <x:c r="AL14" s="33"/>
      <x:c r="AM14" s="33"/>
    </x:row>
    <x:row r="15">
      <x:c r="A15" s="33" t="n">
        <x:v>3</x:v>
      </x:c>
      <x:c r="B15" s="32" t="e">
        <x:f>IF(A15=1,Dashboard!$F$14,F14)</x:f>
      </x:c>
      <x:c r="C15" s="32" t="n">
        <x:f>0</x:f>
        <x:v>0</x:v>
      </x:c>
      <x:c r="D15" s="32" t="e">
        <x:f>IF(A15&lt;=Dashboard!$F$15,B15*Dashboard!$F$6,0)</x:f>
      </x:c>
      <x:c r="E15" s="32" t="e">
        <x:f>IF(A15&lt;=Dashboard!$F$15,MIN(Dashboard!$F$10,B15+D15),0)</x:f>
      </x:c>
      <x:c r="F15" s="32" t="e">
        <x:f>IF(A15&lt;=Dashboard!$F$15,MAX(0,B15-MAX(0,E15-D15)),0)</x:f>
      </x:c>
      <x:c r="G15" s="32" t="e">
        <x:f>IF(A15=1,D15,G14+D15)</x:f>
      </x:c>
      <x:c r="H15" s="32"/>
      <x:c r="I15" s="32" t="e">
        <x:f>IF(A15=1,Dashboard!$F$14,M14)</x:f>
      </x:c>
      <x:c r="J15" s="32" t="e">
        <x:f>IF(A15&lt;=Dashboard!$F$17,MIN(I15,$B$5),0)</x:f>
      </x:c>
      <x:c r="K15" s="32" t="e">
        <x:f>IF(A15&lt;=Dashboard!$F$17,MAX(0,I15-J15)*Dashboard!$F$6,0)</x:f>
      </x:c>
      <x:c r="L15" s="32" t="e">
        <x:f>IF(A15&lt;=Dashboard!$F$17,MIN(Dashboard!$F$10,MAX(0,I15-J15)+K15),0)</x:f>
      </x:c>
      <x:c r="M15" s="32" t="e">
        <x:f>IF(A15&lt;=Dashboard!$F$17,MAX(0,I15-J15-MAX(0,L15-K15)),0)</x:f>
      </x:c>
      <x:c r="N15" s="32" t="e">
        <x:f>IF(A15=1,K15,N14+K15)</x:f>
      </x:c>
      <x:c r="O15" s="32"/>
      <x:c r="P15" s="32" t="e">
        <x:f>IF(A15=1,Dashboard!$F$14,T14)</x:f>
      </x:c>
      <x:c r="Q15" s="32" t="e">
        <x:f>IF(A15&lt;=Dashboard!$F$17,MIN(P15,$B$6*52/12),0)</x:f>
      </x:c>
      <x:c r="R15" s="32" t="e">
        <x:f>IF(A15&lt;=Dashboard!$F$17,MAX(0,P15-Q15)*Dashboard!$F$6,0)</x:f>
      </x:c>
      <x:c r="S15" s="32" t="e">
        <x:f>IF(A15&lt;=Dashboard!$F$17,MIN(Dashboard!$F$10,MAX(0,P15-Q15)+R15),0)</x:f>
      </x:c>
      <x:c r="T15" s="32" t="e">
        <x:f>IF(A15&lt;=Dashboard!$F$17,MAX(0,P15-Q15-MAX(0,S15-R15)),0)</x:f>
      </x:c>
      <x:c r="U15" s="32" t="e">
        <x:f>IF(A15=1,R15,U14+R15)</x:f>
      </x:c>
      <x:c r="V15" s="32"/>
      <x:c r="W15" s="32" t="e">
        <x:f>IF(A15=1,Dashboard!$F$14,AA14)</x:f>
      </x:c>
      <x:c r="X15" s="32" t="e">
        <x:f>IF(AND(A15&lt;=Dashboard!$F$17,MOD(A15-1,12)=0),MIN(W15,$B$7),0)</x:f>
      </x:c>
      <x:c r="Y15" s="32" t="e">
        <x:f>IF(A15&lt;=Dashboard!$F$17,MAX(0,W15-X15)*Dashboard!$F$6,0)</x:f>
      </x:c>
      <x:c r="Z15" s="32" t="e">
        <x:f>IF(A15&lt;=Dashboard!$F$17,MIN(Dashboard!$F$10,MAX(0,W15-X15)+Y15),0)</x:f>
      </x:c>
      <x:c r="AA15" s="32" t="e">
        <x:f>IF(A15&lt;=Dashboard!$F$17,MAX(0,W15-X15-MAX(0,Z15-Y15)),0)</x:f>
      </x:c>
      <x:c r="AB15" s="32" t="e">
        <x:f>IF(A15=1,Y15,AB14+Y15)</x:f>
      </x:c>
      <x:c r="AC15" s="32"/>
      <x:c r="AD15" s="32" t="e">
        <x:f>IF(A15=1,MAX(0,Dashboard!$F$14-$B$8),AG14)</x:f>
      </x:c>
      <x:c r="AE15" s="32" t="n">
        <x:f>0</x:f>
        <x:v>0</x:v>
      </x:c>
      <x:c r="AF15" s="32" t="e">
        <x:f>IF(A15&lt;=Dashboard!$F$17,AD15*Dashboard!$F$6,0)</x:f>
      </x:c>
      <x:c r="AG15" s="32" t="e">
        <x:f>IF(A15&lt;=Dashboard!$F$17,MIN(Dashboard!$F$10,AD15+AF15),0)</x:f>
      </x:c>
      <x:c r="AH15" s="32" t="e">
        <x:f>IF(A15&lt;=Dashboard!$F$17,MAX(0,AD15-MAX(0,AG15-AF15)),0)</x:f>
      </x:c>
      <x:c r="AI15" s="32" t="e">
        <x:f>IF(A15=1,AF15,AI14+AF15)</x:f>
      </x:c>
      <x:c r="AJ15" s="33"/>
      <x:c r="AK15" s="33"/>
      <x:c r="AL15" s="33"/>
      <x:c r="AM15" s="33"/>
    </x:row>
    <x:row r="16">
      <x:c r="A16" s="33" t="n">
        <x:v>4</x:v>
      </x:c>
      <x:c r="B16" s="32" t="e">
        <x:f>IF(A16=1,Dashboard!$F$14,F15)</x:f>
      </x:c>
      <x:c r="C16" s="32" t="n">
        <x:f>0</x:f>
        <x:v>0</x:v>
      </x:c>
      <x:c r="D16" s="32" t="e">
        <x:f>IF(A16&lt;=Dashboard!$F$15,B16*Dashboard!$F$6,0)</x:f>
      </x:c>
      <x:c r="E16" s="32" t="e">
        <x:f>IF(A16&lt;=Dashboard!$F$15,MIN(Dashboard!$F$10,B16+D16),0)</x:f>
      </x:c>
      <x:c r="F16" s="32" t="e">
        <x:f>IF(A16&lt;=Dashboard!$F$15,MAX(0,B16-MAX(0,E16-D16)),0)</x:f>
      </x:c>
      <x:c r="G16" s="32" t="e">
        <x:f>IF(A16=1,D16,G15+D16)</x:f>
      </x:c>
      <x:c r="H16" s="32"/>
      <x:c r="I16" s="32" t="e">
        <x:f>IF(A16=1,Dashboard!$F$14,M15)</x:f>
      </x:c>
      <x:c r="J16" s="32" t="e">
        <x:f>IF(A16&lt;=Dashboard!$F$17,MIN(I16,$B$5),0)</x:f>
      </x:c>
      <x:c r="K16" s="32" t="e">
        <x:f>IF(A16&lt;=Dashboard!$F$17,MAX(0,I16-J16)*Dashboard!$F$6,0)</x:f>
      </x:c>
      <x:c r="L16" s="32" t="e">
        <x:f>IF(A16&lt;=Dashboard!$F$17,MIN(Dashboard!$F$10,MAX(0,I16-J16)+K16),0)</x:f>
      </x:c>
      <x:c r="M16" s="32" t="e">
        <x:f>IF(A16&lt;=Dashboard!$F$17,MAX(0,I16-J16-MAX(0,L16-K16)),0)</x:f>
      </x:c>
      <x:c r="N16" s="32" t="e">
        <x:f>IF(A16=1,K16,N15+K16)</x:f>
      </x:c>
      <x:c r="O16" s="32"/>
      <x:c r="P16" s="32" t="e">
        <x:f>IF(A16=1,Dashboard!$F$14,T15)</x:f>
      </x:c>
      <x:c r="Q16" s="32" t="e">
        <x:f>IF(A16&lt;=Dashboard!$F$17,MIN(P16,$B$6*52/12),0)</x:f>
      </x:c>
      <x:c r="R16" s="32" t="e">
        <x:f>IF(A16&lt;=Dashboard!$F$17,MAX(0,P16-Q16)*Dashboard!$F$6,0)</x:f>
      </x:c>
      <x:c r="S16" s="32" t="e">
        <x:f>IF(A16&lt;=Dashboard!$F$17,MIN(Dashboard!$F$10,MAX(0,P16-Q16)+R16),0)</x:f>
      </x:c>
      <x:c r="T16" s="32" t="e">
        <x:f>IF(A16&lt;=Dashboard!$F$17,MAX(0,P16-Q16-MAX(0,S16-R16)),0)</x:f>
      </x:c>
      <x:c r="U16" s="32" t="e">
        <x:f>IF(A16=1,R16,U15+R16)</x:f>
      </x:c>
      <x:c r="V16" s="32"/>
      <x:c r="W16" s="32" t="e">
        <x:f>IF(A16=1,Dashboard!$F$14,AA15)</x:f>
      </x:c>
      <x:c r="X16" s="32" t="e">
        <x:f>IF(AND(A16&lt;=Dashboard!$F$17,MOD(A16-1,12)=0),MIN(W16,$B$7),0)</x:f>
      </x:c>
      <x:c r="Y16" s="32" t="e">
        <x:f>IF(A16&lt;=Dashboard!$F$17,MAX(0,W16-X16)*Dashboard!$F$6,0)</x:f>
      </x:c>
      <x:c r="Z16" s="32" t="e">
        <x:f>IF(A16&lt;=Dashboard!$F$17,MIN(Dashboard!$F$10,MAX(0,W16-X16)+Y16),0)</x:f>
      </x:c>
      <x:c r="AA16" s="32" t="e">
        <x:f>IF(A16&lt;=Dashboard!$F$17,MAX(0,W16-X16-MAX(0,Z16-Y16)),0)</x:f>
      </x:c>
      <x:c r="AB16" s="32" t="e">
        <x:f>IF(A16=1,Y16,AB15+Y16)</x:f>
      </x:c>
      <x:c r="AC16" s="32"/>
      <x:c r="AD16" s="32" t="e">
        <x:f>IF(A16=1,MAX(0,Dashboard!$F$14-$B$8),AG15)</x:f>
      </x:c>
      <x:c r="AE16" s="32" t="n">
        <x:f>0</x:f>
        <x:v>0</x:v>
      </x:c>
      <x:c r="AF16" s="32" t="e">
        <x:f>IF(A16&lt;=Dashboard!$F$17,AD16*Dashboard!$F$6,0)</x:f>
      </x:c>
      <x:c r="AG16" s="32" t="e">
        <x:f>IF(A16&lt;=Dashboard!$F$17,MIN(Dashboard!$F$10,AD16+AF16),0)</x:f>
      </x:c>
      <x:c r="AH16" s="32" t="e">
        <x:f>IF(A16&lt;=Dashboard!$F$17,MAX(0,AD16-MAX(0,AG16-AF16)),0)</x:f>
      </x:c>
      <x:c r="AI16" s="32" t="e">
        <x:f>IF(A16=1,AF16,AI15+AF16)</x:f>
      </x:c>
      <x:c r="AJ16" s="33"/>
      <x:c r="AK16" s="33"/>
      <x:c r="AL16" s="33"/>
      <x:c r="AM16" s="33"/>
    </x:row>
    <x:row r="17">
      <x:c r="A17" s="33" t="n">
        <x:v>5</x:v>
      </x:c>
      <x:c r="B17" s="32" t="e">
        <x:f>IF(A17=1,Dashboard!$F$14,F16)</x:f>
      </x:c>
      <x:c r="C17" s="32" t="n">
        <x:f>0</x:f>
        <x:v>0</x:v>
      </x:c>
      <x:c r="D17" s="32" t="e">
        <x:f>IF(A17&lt;=Dashboard!$F$15,B17*Dashboard!$F$6,0)</x:f>
      </x:c>
      <x:c r="E17" s="32" t="e">
        <x:f>IF(A17&lt;=Dashboard!$F$15,MIN(Dashboard!$F$10,B17+D17),0)</x:f>
      </x:c>
      <x:c r="F17" s="32" t="e">
        <x:f>IF(A17&lt;=Dashboard!$F$15,MAX(0,B17-MAX(0,E17-D17)),0)</x:f>
      </x:c>
      <x:c r="G17" s="32" t="e">
        <x:f>IF(A17=1,D17,G16+D17)</x:f>
      </x:c>
      <x:c r="H17" s="32"/>
      <x:c r="I17" s="32" t="e">
        <x:f>IF(A17=1,Dashboard!$F$14,M16)</x:f>
      </x:c>
      <x:c r="J17" s="32" t="e">
        <x:f>IF(A17&lt;=Dashboard!$F$17,MIN(I17,$B$5),0)</x:f>
      </x:c>
      <x:c r="K17" s="32" t="e">
        <x:f>IF(A17&lt;=Dashboard!$F$17,MAX(0,I17-J17)*Dashboard!$F$6,0)</x:f>
      </x:c>
      <x:c r="L17" s="32" t="e">
        <x:f>IF(A17&lt;=Dashboard!$F$17,MIN(Dashboard!$F$10,MAX(0,I17-J17)+K17),0)</x:f>
      </x:c>
      <x:c r="M17" s="32" t="e">
        <x:f>IF(A17&lt;=Dashboard!$F$17,MAX(0,I17-J17-MAX(0,L17-K17)),0)</x:f>
      </x:c>
      <x:c r="N17" s="32" t="e">
        <x:f>IF(A17=1,K17,N16+K17)</x:f>
      </x:c>
      <x:c r="O17" s="32"/>
      <x:c r="P17" s="32" t="e">
        <x:f>IF(A17=1,Dashboard!$F$14,T16)</x:f>
      </x:c>
      <x:c r="Q17" s="32" t="e">
        <x:f>IF(A17&lt;=Dashboard!$F$17,MIN(P17,$B$6*52/12),0)</x:f>
      </x:c>
      <x:c r="R17" s="32" t="e">
        <x:f>IF(A17&lt;=Dashboard!$F$17,MAX(0,P17-Q17)*Dashboard!$F$6,0)</x:f>
      </x:c>
      <x:c r="S17" s="32" t="e">
        <x:f>IF(A17&lt;=Dashboard!$F$17,MIN(Dashboard!$F$10,MAX(0,P17-Q17)+R17),0)</x:f>
      </x:c>
      <x:c r="T17" s="32" t="e">
        <x:f>IF(A17&lt;=Dashboard!$F$17,MAX(0,P17-Q17-MAX(0,S17-R17)),0)</x:f>
      </x:c>
      <x:c r="U17" s="32" t="e">
        <x:f>IF(A17=1,R17,U16+R17)</x:f>
      </x:c>
      <x:c r="V17" s="32"/>
      <x:c r="W17" s="32" t="e">
        <x:f>IF(A17=1,Dashboard!$F$14,AA16)</x:f>
      </x:c>
      <x:c r="X17" s="32" t="e">
        <x:f>IF(AND(A17&lt;=Dashboard!$F$17,MOD(A17-1,12)=0),MIN(W17,$B$7),0)</x:f>
      </x:c>
      <x:c r="Y17" s="32" t="e">
        <x:f>IF(A17&lt;=Dashboard!$F$17,MAX(0,W17-X17)*Dashboard!$F$6,0)</x:f>
      </x:c>
      <x:c r="Z17" s="32" t="e">
        <x:f>IF(A17&lt;=Dashboard!$F$17,MIN(Dashboard!$F$10,MAX(0,W17-X17)+Y17),0)</x:f>
      </x:c>
      <x:c r="AA17" s="32" t="e">
        <x:f>IF(A17&lt;=Dashboard!$F$17,MAX(0,W17-X17-MAX(0,Z17-Y17)),0)</x:f>
      </x:c>
      <x:c r="AB17" s="32" t="e">
        <x:f>IF(A17=1,Y17,AB16+Y17)</x:f>
      </x:c>
      <x:c r="AC17" s="32"/>
      <x:c r="AD17" s="32" t="e">
        <x:f>IF(A17=1,MAX(0,Dashboard!$F$14-$B$8),AG16)</x:f>
      </x:c>
      <x:c r="AE17" s="32" t="n">
        <x:f>0</x:f>
        <x:v>0</x:v>
      </x:c>
      <x:c r="AF17" s="32" t="e">
        <x:f>IF(A17&lt;=Dashboard!$F$17,AD17*Dashboard!$F$6,0)</x:f>
      </x:c>
      <x:c r="AG17" s="32" t="e">
        <x:f>IF(A17&lt;=Dashboard!$F$17,MIN(Dashboard!$F$10,AD17+AF17),0)</x:f>
      </x:c>
      <x:c r="AH17" s="32" t="e">
        <x:f>IF(A17&lt;=Dashboard!$F$17,MAX(0,AD17-MAX(0,AG17-AF17)),0)</x:f>
      </x:c>
      <x:c r="AI17" s="32" t="e">
        <x:f>IF(A17=1,AF17,AI16+AF17)</x:f>
      </x:c>
      <x:c r="AJ17" s="33"/>
      <x:c r="AK17" s="33"/>
      <x:c r="AL17" s="33"/>
      <x:c r="AM17" s="33"/>
    </x:row>
    <x:row r="18">
      <x:c r="A18" s="33" t="n">
        <x:v>6</x:v>
      </x:c>
      <x:c r="B18" s="32" t="e">
        <x:f>IF(A18=1,Dashboard!$F$14,F17)</x:f>
      </x:c>
      <x:c r="C18" s="32" t="n">
        <x:f>0</x:f>
        <x:v>0</x:v>
      </x:c>
      <x:c r="D18" s="32" t="e">
        <x:f>IF(A18&lt;=Dashboard!$F$15,B18*Dashboard!$F$6,0)</x:f>
      </x:c>
      <x:c r="E18" s="32" t="e">
        <x:f>IF(A18&lt;=Dashboard!$F$15,MIN(Dashboard!$F$10,B18+D18),0)</x:f>
      </x:c>
      <x:c r="F18" s="32" t="e">
        <x:f>IF(A18&lt;=Dashboard!$F$15,MAX(0,B18-MAX(0,E18-D18)),0)</x:f>
      </x:c>
      <x:c r="G18" s="32" t="e">
        <x:f>IF(A18=1,D18,G17+D18)</x:f>
      </x:c>
      <x:c r="H18" s="32"/>
      <x:c r="I18" s="32" t="e">
        <x:f>IF(A18=1,Dashboard!$F$14,M17)</x:f>
      </x:c>
      <x:c r="J18" s="32" t="e">
        <x:f>IF(A18&lt;=Dashboard!$F$17,MIN(I18,$B$5),0)</x:f>
      </x:c>
      <x:c r="K18" s="32" t="e">
        <x:f>IF(A18&lt;=Dashboard!$F$17,MAX(0,I18-J18)*Dashboard!$F$6,0)</x:f>
      </x:c>
      <x:c r="L18" s="32" t="e">
        <x:f>IF(A18&lt;=Dashboard!$F$17,MIN(Dashboard!$F$10,MAX(0,I18-J18)+K18),0)</x:f>
      </x:c>
      <x:c r="M18" s="32" t="e">
        <x:f>IF(A18&lt;=Dashboard!$F$17,MAX(0,I18-J18-MAX(0,L18-K18)),0)</x:f>
      </x:c>
      <x:c r="N18" s="32" t="e">
        <x:f>IF(A18=1,K18,N17+K18)</x:f>
      </x:c>
      <x:c r="O18" s="32"/>
      <x:c r="P18" s="32" t="e">
        <x:f>IF(A18=1,Dashboard!$F$14,T17)</x:f>
      </x:c>
      <x:c r="Q18" s="32" t="e">
        <x:f>IF(A18&lt;=Dashboard!$F$17,MIN(P18,$B$6*52/12),0)</x:f>
      </x:c>
      <x:c r="R18" s="32" t="e">
        <x:f>IF(A18&lt;=Dashboard!$F$17,MAX(0,P18-Q18)*Dashboard!$F$6,0)</x:f>
      </x:c>
      <x:c r="S18" s="32" t="e">
        <x:f>IF(A18&lt;=Dashboard!$F$17,MIN(Dashboard!$F$10,MAX(0,P18-Q18)+R18),0)</x:f>
      </x:c>
      <x:c r="T18" s="32" t="e">
        <x:f>IF(A18&lt;=Dashboard!$F$17,MAX(0,P18-Q18-MAX(0,S18-R18)),0)</x:f>
      </x:c>
      <x:c r="U18" s="32" t="e">
        <x:f>IF(A18=1,R18,U17+R18)</x:f>
      </x:c>
      <x:c r="V18" s="32"/>
      <x:c r="W18" s="32" t="e">
        <x:f>IF(A18=1,Dashboard!$F$14,AA17)</x:f>
      </x:c>
      <x:c r="X18" s="32" t="e">
        <x:f>IF(AND(A18&lt;=Dashboard!$F$17,MOD(A18-1,12)=0),MIN(W18,$B$7),0)</x:f>
      </x:c>
      <x:c r="Y18" s="32" t="e">
        <x:f>IF(A18&lt;=Dashboard!$F$17,MAX(0,W18-X18)*Dashboard!$F$6,0)</x:f>
      </x:c>
      <x:c r="Z18" s="32" t="e">
        <x:f>IF(A18&lt;=Dashboard!$F$17,MIN(Dashboard!$F$10,MAX(0,W18-X18)+Y18),0)</x:f>
      </x:c>
      <x:c r="AA18" s="32" t="e">
        <x:f>IF(A18&lt;=Dashboard!$F$17,MAX(0,W18-X18-MAX(0,Z18-Y18)),0)</x:f>
      </x:c>
      <x:c r="AB18" s="32" t="e">
        <x:f>IF(A18=1,Y18,AB17+Y18)</x:f>
      </x:c>
      <x:c r="AC18" s="32"/>
      <x:c r="AD18" s="32" t="e">
        <x:f>IF(A18=1,MAX(0,Dashboard!$F$14-$B$8),AG17)</x:f>
      </x:c>
      <x:c r="AE18" s="32" t="n">
        <x:f>0</x:f>
        <x:v>0</x:v>
      </x:c>
      <x:c r="AF18" s="32" t="e">
        <x:f>IF(A18&lt;=Dashboard!$F$17,AD18*Dashboard!$F$6,0)</x:f>
      </x:c>
      <x:c r="AG18" s="32" t="e">
        <x:f>IF(A18&lt;=Dashboard!$F$17,MIN(Dashboard!$F$10,AD18+AF18),0)</x:f>
      </x:c>
      <x:c r="AH18" s="32" t="e">
        <x:f>IF(A18&lt;=Dashboard!$F$17,MAX(0,AD18-MAX(0,AG18-AF18)),0)</x:f>
      </x:c>
      <x:c r="AI18" s="32" t="e">
        <x:f>IF(A18=1,AF18,AI17+AF18)</x:f>
      </x:c>
      <x:c r="AJ18" s="33"/>
      <x:c r="AK18" s="33"/>
      <x:c r="AL18" s="33"/>
      <x:c r="AM18" s="33"/>
    </x:row>
    <x:row r="19">
      <x:c r="A19" s="33" t="n">
        <x:v>7</x:v>
      </x:c>
      <x:c r="B19" s="32" t="e">
        <x:f>IF(A19=1,Dashboard!$F$14,F18)</x:f>
      </x:c>
      <x:c r="C19" s="32" t="n">
        <x:f>0</x:f>
        <x:v>0</x:v>
      </x:c>
      <x:c r="D19" s="32" t="e">
        <x:f>IF(A19&lt;=Dashboard!$F$15,B19*Dashboard!$F$6,0)</x:f>
      </x:c>
      <x:c r="E19" s="32" t="e">
        <x:f>IF(A19&lt;=Dashboard!$F$15,MIN(Dashboard!$F$10,B19+D19),0)</x:f>
      </x:c>
      <x:c r="F19" s="32" t="e">
        <x:f>IF(A19&lt;=Dashboard!$F$15,MAX(0,B19-MAX(0,E19-D19)),0)</x:f>
      </x:c>
      <x:c r="G19" s="32" t="e">
        <x:f>IF(A19=1,D19,G18+D19)</x:f>
      </x:c>
      <x:c r="H19" s="32"/>
      <x:c r="I19" s="32" t="e">
        <x:f>IF(A19=1,Dashboard!$F$14,M18)</x:f>
      </x:c>
      <x:c r="J19" s="32" t="e">
        <x:f>IF(A19&lt;=Dashboard!$F$17,MIN(I19,$B$5),0)</x:f>
      </x:c>
      <x:c r="K19" s="32" t="e">
        <x:f>IF(A19&lt;=Dashboard!$F$17,MAX(0,I19-J19)*Dashboard!$F$6,0)</x:f>
      </x:c>
      <x:c r="L19" s="32" t="e">
        <x:f>IF(A19&lt;=Dashboard!$F$17,MIN(Dashboard!$F$10,MAX(0,I19-J19)+K19),0)</x:f>
      </x:c>
      <x:c r="M19" s="32" t="e">
        <x:f>IF(A19&lt;=Dashboard!$F$17,MAX(0,I19-J19-MAX(0,L19-K19)),0)</x:f>
      </x:c>
      <x:c r="N19" s="32" t="e">
        <x:f>IF(A19=1,K19,N18+K19)</x:f>
      </x:c>
      <x:c r="O19" s="32"/>
      <x:c r="P19" s="32" t="e">
        <x:f>IF(A19=1,Dashboard!$F$14,T18)</x:f>
      </x:c>
      <x:c r="Q19" s="32" t="e">
        <x:f>IF(A19&lt;=Dashboard!$F$17,MIN(P19,$B$6*52/12),0)</x:f>
      </x:c>
      <x:c r="R19" s="32" t="e">
        <x:f>IF(A19&lt;=Dashboard!$F$17,MAX(0,P19-Q19)*Dashboard!$F$6,0)</x:f>
      </x:c>
      <x:c r="S19" s="32" t="e">
        <x:f>IF(A19&lt;=Dashboard!$F$17,MIN(Dashboard!$F$10,MAX(0,P19-Q19)+R19),0)</x:f>
      </x:c>
      <x:c r="T19" s="32" t="e">
        <x:f>IF(A19&lt;=Dashboard!$F$17,MAX(0,P19-Q19-MAX(0,S19-R19)),0)</x:f>
      </x:c>
      <x:c r="U19" s="32" t="e">
        <x:f>IF(A19=1,R19,U18+R19)</x:f>
      </x:c>
      <x:c r="V19" s="32"/>
      <x:c r="W19" s="32" t="e">
        <x:f>IF(A19=1,Dashboard!$F$14,AA18)</x:f>
      </x:c>
      <x:c r="X19" s="32" t="e">
        <x:f>IF(AND(A19&lt;=Dashboard!$F$17,MOD(A19-1,12)=0),MIN(W19,$B$7),0)</x:f>
      </x:c>
      <x:c r="Y19" s="32" t="e">
        <x:f>IF(A19&lt;=Dashboard!$F$17,MAX(0,W19-X19)*Dashboard!$F$6,0)</x:f>
      </x:c>
      <x:c r="Z19" s="32" t="e">
        <x:f>IF(A19&lt;=Dashboard!$F$17,MIN(Dashboard!$F$10,MAX(0,W19-X19)+Y19),0)</x:f>
      </x:c>
      <x:c r="AA19" s="32" t="e">
        <x:f>IF(A19&lt;=Dashboard!$F$17,MAX(0,W19-X19-MAX(0,Z19-Y19)),0)</x:f>
      </x:c>
      <x:c r="AB19" s="32" t="e">
        <x:f>IF(A19=1,Y19,AB18+Y19)</x:f>
      </x:c>
      <x:c r="AC19" s="32"/>
      <x:c r="AD19" s="32" t="e">
        <x:f>IF(A19=1,MAX(0,Dashboard!$F$14-$B$8),AG18)</x:f>
      </x:c>
      <x:c r="AE19" s="32" t="n">
        <x:f>0</x:f>
        <x:v>0</x:v>
      </x:c>
      <x:c r="AF19" s="32" t="e">
        <x:f>IF(A19&lt;=Dashboard!$F$17,AD19*Dashboard!$F$6,0)</x:f>
      </x:c>
      <x:c r="AG19" s="32" t="e">
        <x:f>IF(A19&lt;=Dashboard!$F$17,MIN(Dashboard!$F$10,AD19+AF19),0)</x:f>
      </x:c>
      <x:c r="AH19" s="32" t="e">
        <x:f>IF(A19&lt;=Dashboard!$F$17,MAX(0,AD19-MAX(0,AG19-AF19)),0)</x:f>
      </x:c>
      <x:c r="AI19" s="32" t="e">
        <x:f>IF(A19=1,AF19,AI18+AF19)</x:f>
      </x:c>
      <x:c r="AJ19" s="33"/>
      <x:c r="AK19" s="33"/>
      <x:c r="AL19" s="33"/>
      <x:c r="AM19" s="33"/>
    </x:row>
    <x:row r="20">
      <x:c r="A20" s="33" t="n">
        <x:v>8</x:v>
      </x:c>
      <x:c r="B20" s="32" t="e">
        <x:f>IF(A20=1,Dashboard!$F$14,F19)</x:f>
      </x:c>
      <x:c r="C20" s="32" t="n">
        <x:f>0</x:f>
        <x:v>0</x:v>
      </x:c>
      <x:c r="D20" s="32" t="e">
        <x:f>IF(A20&lt;=Dashboard!$F$15,B20*Dashboard!$F$6,0)</x:f>
      </x:c>
      <x:c r="E20" s="32" t="e">
        <x:f>IF(A20&lt;=Dashboard!$F$15,MIN(Dashboard!$F$10,B20+D20),0)</x:f>
      </x:c>
      <x:c r="F20" s="32" t="e">
        <x:f>IF(A20&lt;=Dashboard!$F$15,MAX(0,B20-MAX(0,E20-D20)),0)</x:f>
      </x:c>
      <x:c r="G20" s="32" t="e">
        <x:f>IF(A20=1,D20,G19+D20)</x:f>
      </x:c>
      <x:c r="H20" s="32"/>
      <x:c r="I20" s="32" t="e">
        <x:f>IF(A20=1,Dashboard!$F$14,M19)</x:f>
      </x:c>
      <x:c r="J20" s="32" t="e">
        <x:f>IF(A20&lt;=Dashboard!$F$17,MIN(I20,$B$5),0)</x:f>
      </x:c>
      <x:c r="K20" s="32" t="e">
        <x:f>IF(A20&lt;=Dashboard!$F$17,MAX(0,I20-J20)*Dashboard!$F$6,0)</x:f>
      </x:c>
      <x:c r="L20" s="32" t="e">
        <x:f>IF(A20&lt;=Dashboard!$F$17,MIN(Dashboard!$F$10,MAX(0,I20-J20)+K20),0)</x:f>
      </x:c>
      <x:c r="M20" s="32" t="e">
        <x:f>IF(A20&lt;=Dashboard!$F$17,MAX(0,I20-J20-MAX(0,L20-K20)),0)</x:f>
      </x:c>
      <x:c r="N20" s="32" t="e">
        <x:f>IF(A20=1,K20,N19+K20)</x:f>
      </x:c>
      <x:c r="O20" s="32"/>
      <x:c r="P20" s="32" t="e">
        <x:f>IF(A20=1,Dashboard!$F$14,T19)</x:f>
      </x:c>
      <x:c r="Q20" s="32" t="e">
        <x:f>IF(A20&lt;=Dashboard!$F$17,MIN(P20,$B$6*52/12),0)</x:f>
      </x:c>
      <x:c r="R20" s="32" t="e">
        <x:f>IF(A20&lt;=Dashboard!$F$17,MAX(0,P20-Q20)*Dashboard!$F$6,0)</x:f>
      </x:c>
      <x:c r="S20" s="32" t="e">
        <x:f>IF(A20&lt;=Dashboard!$F$17,MIN(Dashboard!$F$10,MAX(0,P20-Q20)+R20),0)</x:f>
      </x:c>
      <x:c r="T20" s="32" t="e">
        <x:f>IF(A20&lt;=Dashboard!$F$17,MAX(0,P20-Q20-MAX(0,S20-R20)),0)</x:f>
      </x:c>
      <x:c r="U20" s="32" t="e">
        <x:f>IF(A20=1,R20,U19+R20)</x:f>
      </x:c>
      <x:c r="V20" s="32"/>
      <x:c r="W20" s="32" t="e">
        <x:f>IF(A20=1,Dashboard!$F$14,AA19)</x:f>
      </x:c>
      <x:c r="X20" s="32" t="e">
        <x:f>IF(AND(A20&lt;=Dashboard!$F$17,MOD(A20-1,12)=0),MIN(W20,$B$7),0)</x:f>
      </x:c>
      <x:c r="Y20" s="32" t="e">
        <x:f>IF(A20&lt;=Dashboard!$F$17,MAX(0,W20-X20)*Dashboard!$F$6,0)</x:f>
      </x:c>
      <x:c r="Z20" s="32" t="e">
        <x:f>IF(A20&lt;=Dashboard!$F$17,MIN(Dashboard!$F$10,MAX(0,W20-X20)+Y20),0)</x:f>
      </x:c>
      <x:c r="AA20" s="32" t="e">
        <x:f>IF(A20&lt;=Dashboard!$F$17,MAX(0,W20-X20-MAX(0,Z20-Y20)),0)</x:f>
      </x:c>
      <x:c r="AB20" s="32" t="e">
        <x:f>IF(A20=1,Y20,AB19+Y20)</x:f>
      </x:c>
      <x:c r="AC20" s="32"/>
      <x:c r="AD20" s="32" t="e">
        <x:f>IF(A20=1,MAX(0,Dashboard!$F$14-$B$8),AG19)</x:f>
      </x:c>
      <x:c r="AE20" s="32" t="n">
        <x:f>0</x:f>
        <x:v>0</x:v>
      </x:c>
      <x:c r="AF20" s="32" t="e">
        <x:f>IF(A20&lt;=Dashboard!$F$17,AD20*Dashboard!$F$6,0)</x:f>
      </x:c>
      <x:c r="AG20" s="32" t="e">
        <x:f>IF(A20&lt;=Dashboard!$F$17,MIN(Dashboard!$F$10,AD20+AF20),0)</x:f>
      </x:c>
      <x:c r="AH20" s="32" t="e">
        <x:f>IF(A20&lt;=Dashboard!$F$17,MAX(0,AD20-MAX(0,AG20-AF20)),0)</x:f>
      </x:c>
      <x:c r="AI20" s="32" t="e">
        <x:f>IF(A20=1,AF20,AI19+AF20)</x:f>
      </x:c>
      <x:c r="AJ20" s="33"/>
      <x:c r="AK20" s="33"/>
      <x:c r="AL20" s="33"/>
      <x:c r="AM20" s="33"/>
    </x:row>
    <x:row r="21">
      <x:c r="A21" s="33" t="n">
        <x:v>9</x:v>
      </x:c>
      <x:c r="B21" s="32" t="e">
        <x:f>IF(A21=1,Dashboard!$F$14,F20)</x:f>
      </x:c>
      <x:c r="C21" s="32" t="n">
        <x:f>0</x:f>
        <x:v>0</x:v>
      </x:c>
      <x:c r="D21" s="32" t="e">
        <x:f>IF(A21&lt;=Dashboard!$F$15,B21*Dashboard!$F$6,0)</x:f>
      </x:c>
      <x:c r="E21" s="32" t="e">
        <x:f>IF(A21&lt;=Dashboard!$F$15,MIN(Dashboard!$F$10,B21+D21),0)</x:f>
      </x:c>
      <x:c r="F21" s="32" t="e">
        <x:f>IF(A21&lt;=Dashboard!$F$15,MAX(0,B21-MAX(0,E21-D21)),0)</x:f>
      </x:c>
      <x:c r="G21" s="32" t="e">
        <x:f>IF(A21=1,D21,G20+D21)</x:f>
      </x:c>
      <x:c r="H21" s="32"/>
      <x:c r="I21" s="32" t="e">
        <x:f>IF(A21=1,Dashboard!$F$14,M20)</x:f>
      </x:c>
      <x:c r="J21" s="32" t="e">
        <x:f>IF(A21&lt;=Dashboard!$F$17,MIN(I21,$B$5),0)</x:f>
      </x:c>
      <x:c r="K21" s="32" t="e">
        <x:f>IF(A21&lt;=Dashboard!$F$17,MAX(0,I21-J21)*Dashboard!$F$6,0)</x:f>
      </x:c>
      <x:c r="L21" s="32" t="e">
        <x:f>IF(A21&lt;=Dashboard!$F$17,MIN(Dashboard!$F$10,MAX(0,I21-J21)+K21),0)</x:f>
      </x:c>
      <x:c r="M21" s="32" t="e">
        <x:f>IF(A21&lt;=Dashboard!$F$17,MAX(0,I21-J21-MAX(0,L21-K21)),0)</x:f>
      </x:c>
      <x:c r="N21" s="32" t="e">
        <x:f>IF(A21=1,K21,N20+K21)</x:f>
      </x:c>
      <x:c r="O21" s="32"/>
      <x:c r="P21" s="32" t="e">
        <x:f>IF(A21=1,Dashboard!$F$14,T20)</x:f>
      </x:c>
      <x:c r="Q21" s="32" t="e">
        <x:f>IF(A21&lt;=Dashboard!$F$17,MIN(P21,$B$6*52/12),0)</x:f>
      </x:c>
      <x:c r="R21" s="32" t="e">
        <x:f>IF(A21&lt;=Dashboard!$F$17,MAX(0,P21-Q21)*Dashboard!$F$6,0)</x:f>
      </x:c>
      <x:c r="S21" s="32" t="e">
        <x:f>IF(A21&lt;=Dashboard!$F$17,MIN(Dashboard!$F$10,MAX(0,P21-Q21)+R21),0)</x:f>
      </x:c>
      <x:c r="T21" s="32" t="e">
        <x:f>IF(A21&lt;=Dashboard!$F$17,MAX(0,P21-Q21-MAX(0,S21-R21)),0)</x:f>
      </x:c>
      <x:c r="U21" s="32" t="e">
        <x:f>IF(A21=1,R21,U20+R21)</x:f>
      </x:c>
      <x:c r="V21" s="32"/>
      <x:c r="W21" s="32" t="e">
        <x:f>IF(A21=1,Dashboard!$F$14,AA20)</x:f>
      </x:c>
      <x:c r="X21" s="32" t="e">
        <x:f>IF(AND(A21&lt;=Dashboard!$F$17,MOD(A21-1,12)=0),MIN(W21,$B$7),0)</x:f>
      </x:c>
      <x:c r="Y21" s="32" t="e">
        <x:f>IF(A21&lt;=Dashboard!$F$17,MAX(0,W21-X21)*Dashboard!$F$6,0)</x:f>
      </x:c>
      <x:c r="Z21" s="32" t="e">
        <x:f>IF(A21&lt;=Dashboard!$F$17,MIN(Dashboard!$F$10,MAX(0,W21-X21)+Y21),0)</x:f>
      </x:c>
      <x:c r="AA21" s="32" t="e">
        <x:f>IF(A21&lt;=Dashboard!$F$17,MAX(0,W21-X21-MAX(0,Z21-Y21)),0)</x:f>
      </x:c>
      <x:c r="AB21" s="32" t="e">
        <x:f>IF(A21=1,Y21,AB20+Y21)</x:f>
      </x:c>
      <x:c r="AC21" s="32"/>
      <x:c r="AD21" s="32" t="e">
        <x:f>IF(A21=1,MAX(0,Dashboard!$F$14-$B$8),AG20)</x:f>
      </x:c>
      <x:c r="AE21" s="32" t="n">
        <x:f>0</x:f>
        <x:v>0</x:v>
      </x:c>
      <x:c r="AF21" s="32" t="e">
        <x:f>IF(A21&lt;=Dashboard!$F$17,AD21*Dashboard!$F$6,0)</x:f>
      </x:c>
      <x:c r="AG21" s="32" t="e">
        <x:f>IF(A21&lt;=Dashboard!$F$17,MIN(Dashboard!$F$10,AD21+AF21),0)</x:f>
      </x:c>
      <x:c r="AH21" s="32" t="e">
        <x:f>IF(A21&lt;=Dashboard!$F$17,MAX(0,AD21-MAX(0,AG21-AF21)),0)</x:f>
      </x:c>
      <x:c r="AI21" s="32" t="e">
        <x:f>IF(A21=1,AF21,AI20+AF21)</x:f>
      </x:c>
      <x:c r="AJ21" s="33"/>
      <x:c r="AK21" s="33"/>
      <x:c r="AL21" s="33"/>
      <x:c r="AM21" s="33"/>
    </x:row>
    <x:row r="22">
      <x:c r="A22" s="33" t="n">
        <x:v>10</x:v>
      </x:c>
      <x:c r="B22" s="32" t="e">
        <x:f>IF(A22=1,Dashboard!$F$14,F21)</x:f>
      </x:c>
      <x:c r="C22" s="32" t="n">
        <x:f>0</x:f>
        <x:v>0</x:v>
      </x:c>
      <x:c r="D22" s="32" t="e">
        <x:f>IF(A22&lt;=Dashboard!$F$15,B22*Dashboard!$F$6,0)</x:f>
      </x:c>
      <x:c r="E22" s="32" t="e">
        <x:f>IF(A22&lt;=Dashboard!$F$15,MIN(Dashboard!$F$10,B22+D22),0)</x:f>
      </x:c>
      <x:c r="F22" s="32" t="e">
        <x:f>IF(A22&lt;=Dashboard!$F$15,MAX(0,B22-MAX(0,E22-D22)),0)</x:f>
      </x:c>
      <x:c r="G22" s="32" t="e">
        <x:f>IF(A22=1,D22,G21+D22)</x:f>
      </x:c>
      <x:c r="H22" s="32"/>
      <x:c r="I22" s="32" t="e">
        <x:f>IF(A22=1,Dashboard!$F$14,M21)</x:f>
      </x:c>
      <x:c r="J22" s="32" t="e">
        <x:f>IF(A22&lt;=Dashboard!$F$17,MIN(I22,$B$5),0)</x:f>
      </x:c>
      <x:c r="K22" s="32" t="e">
        <x:f>IF(A22&lt;=Dashboard!$F$17,MAX(0,I22-J22)*Dashboard!$F$6,0)</x:f>
      </x:c>
      <x:c r="L22" s="32" t="e">
        <x:f>IF(A22&lt;=Dashboard!$F$17,MIN(Dashboard!$F$10,MAX(0,I22-J22)+K22),0)</x:f>
      </x:c>
      <x:c r="M22" s="32" t="e">
        <x:f>IF(A22&lt;=Dashboard!$F$17,MAX(0,I22-J22-MAX(0,L22-K22)),0)</x:f>
      </x:c>
      <x:c r="N22" s="32" t="e">
        <x:f>IF(A22=1,K22,N21+K22)</x:f>
      </x:c>
      <x:c r="O22" s="32"/>
      <x:c r="P22" s="32" t="e">
        <x:f>IF(A22=1,Dashboard!$F$14,T21)</x:f>
      </x:c>
      <x:c r="Q22" s="32" t="e">
        <x:f>IF(A22&lt;=Dashboard!$F$17,MIN(P22,$B$6*52/12),0)</x:f>
      </x:c>
      <x:c r="R22" s="32" t="e">
        <x:f>IF(A22&lt;=Dashboard!$F$17,MAX(0,P22-Q22)*Dashboard!$F$6,0)</x:f>
      </x:c>
      <x:c r="S22" s="32" t="e">
        <x:f>IF(A22&lt;=Dashboard!$F$17,MIN(Dashboard!$F$10,MAX(0,P22-Q22)+R22),0)</x:f>
      </x:c>
      <x:c r="T22" s="32" t="e">
        <x:f>IF(A22&lt;=Dashboard!$F$17,MAX(0,P22-Q22-MAX(0,S22-R22)),0)</x:f>
      </x:c>
      <x:c r="U22" s="32" t="e">
        <x:f>IF(A22=1,R22,U21+R22)</x:f>
      </x:c>
      <x:c r="V22" s="32"/>
      <x:c r="W22" s="32" t="e">
        <x:f>IF(A22=1,Dashboard!$F$14,AA21)</x:f>
      </x:c>
      <x:c r="X22" s="32" t="e">
        <x:f>IF(AND(A22&lt;=Dashboard!$F$17,MOD(A22-1,12)=0),MIN(W22,$B$7),0)</x:f>
      </x:c>
      <x:c r="Y22" s="32" t="e">
        <x:f>IF(A22&lt;=Dashboard!$F$17,MAX(0,W22-X22)*Dashboard!$F$6,0)</x:f>
      </x:c>
      <x:c r="Z22" s="32" t="e">
        <x:f>IF(A22&lt;=Dashboard!$F$17,MIN(Dashboard!$F$10,MAX(0,W22-X22)+Y22),0)</x:f>
      </x:c>
      <x:c r="AA22" s="32" t="e">
        <x:f>IF(A22&lt;=Dashboard!$F$17,MAX(0,W22-X22-MAX(0,Z22-Y22)),0)</x:f>
      </x:c>
      <x:c r="AB22" s="32" t="e">
        <x:f>IF(A22=1,Y22,AB21+Y22)</x:f>
      </x:c>
      <x:c r="AC22" s="32"/>
      <x:c r="AD22" s="32" t="e">
        <x:f>IF(A22=1,MAX(0,Dashboard!$F$14-$B$8),AG21)</x:f>
      </x:c>
      <x:c r="AE22" s="32" t="n">
        <x:f>0</x:f>
        <x:v>0</x:v>
      </x:c>
      <x:c r="AF22" s="32" t="e">
        <x:f>IF(A22&lt;=Dashboard!$F$17,AD22*Dashboard!$F$6,0)</x:f>
      </x:c>
      <x:c r="AG22" s="32" t="e">
        <x:f>IF(A22&lt;=Dashboard!$F$17,MIN(Dashboard!$F$10,AD22+AF22),0)</x:f>
      </x:c>
      <x:c r="AH22" s="32" t="e">
        <x:f>IF(A22&lt;=Dashboard!$F$17,MAX(0,AD22-MAX(0,AG22-AF22)),0)</x:f>
      </x:c>
      <x:c r="AI22" s="32" t="e">
        <x:f>IF(A22=1,AF22,AI21+AF22)</x:f>
      </x:c>
      <x:c r="AJ22" s="33"/>
      <x:c r="AK22" s="33"/>
      <x:c r="AL22" s="33"/>
      <x:c r="AM22" s="33"/>
    </x:row>
    <x:row r="23">
      <x:c r="A23" s="33" t="n">
        <x:v>11</x:v>
      </x:c>
      <x:c r="B23" s="32" t="e">
        <x:f>IF(A23=1,Dashboard!$F$14,F22)</x:f>
      </x:c>
      <x:c r="C23" s="32" t="n">
        <x:f>0</x:f>
        <x:v>0</x:v>
      </x:c>
      <x:c r="D23" s="32" t="e">
        <x:f>IF(A23&lt;=Dashboard!$F$15,B23*Dashboard!$F$6,0)</x:f>
      </x:c>
      <x:c r="E23" s="32" t="e">
        <x:f>IF(A23&lt;=Dashboard!$F$15,MIN(Dashboard!$F$10,B23+D23),0)</x:f>
      </x:c>
      <x:c r="F23" s="32" t="e">
        <x:f>IF(A23&lt;=Dashboard!$F$15,MAX(0,B23-MAX(0,E23-D23)),0)</x:f>
      </x:c>
      <x:c r="G23" s="32" t="e">
        <x:f>IF(A23=1,D23,G22+D23)</x:f>
      </x:c>
      <x:c r="H23" s="32"/>
      <x:c r="I23" s="32" t="e">
        <x:f>IF(A23=1,Dashboard!$F$14,M22)</x:f>
      </x:c>
      <x:c r="J23" s="32" t="e">
        <x:f>IF(A23&lt;=Dashboard!$F$17,MIN(I23,$B$5),0)</x:f>
      </x:c>
      <x:c r="K23" s="32" t="e">
        <x:f>IF(A23&lt;=Dashboard!$F$17,MAX(0,I23-J23)*Dashboard!$F$6,0)</x:f>
      </x:c>
      <x:c r="L23" s="32" t="e">
        <x:f>IF(A23&lt;=Dashboard!$F$17,MIN(Dashboard!$F$10,MAX(0,I23-J23)+K23),0)</x:f>
      </x:c>
      <x:c r="M23" s="32" t="e">
        <x:f>IF(A23&lt;=Dashboard!$F$17,MAX(0,I23-J23-MAX(0,L23-K23)),0)</x:f>
      </x:c>
      <x:c r="N23" s="32" t="e">
        <x:f>IF(A23=1,K23,N22+K23)</x:f>
      </x:c>
      <x:c r="O23" s="32"/>
      <x:c r="P23" s="32" t="e">
        <x:f>IF(A23=1,Dashboard!$F$14,T22)</x:f>
      </x:c>
      <x:c r="Q23" s="32" t="e">
        <x:f>IF(A23&lt;=Dashboard!$F$17,MIN(P23,$B$6*52/12),0)</x:f>
      </x:c>
      <x:c r="R23" s="32" t="e">
        <x:f>IF(A23&lt;=Dashboard!$F$17,MAX(0,P23-Q23)*Dashboard!$F$6,0)</x:f>
      </x:c>
      <x:c r="S23" s="32" t="e">
        <x:f>IF(A23&lt;=Dashboard!$F$17,MIN(Dashboard!$F$10,MAX(0,P23-Q23)+R23),0)</x:f>
      </x:c>
      <x:c r="T23" s="32" t="e">
        <x:f>IF(A23&lt;=Dashboard!$F$17,MAX(0,P23-Q23-MAX(0,S23-R23)),0)</x:f>
      </x:c>
      <x:c r="U23" s="32" t="e">
        <x:f>IF(A23=1,R23,U22+R23)</x:f>
      </x:c>
      <x:c r="V23" s="32"/>
      <x:c r="W23" s="32" t="e">
        <x:f>IF(A23=1,Dashboard!$F$14,AA22)</x:f>
      </x:c>
      <x:c r="X23" s="32" t="e">
        <x:f>IF(AND(A23&lt;=Dashboard!$F$17,MOD(A23-1,12)=0),MIN(W23,$B$7),0)</x:f>
      </x:c>
      <x:c r="Y23" s="32" t="e">
        <x:f>IF(A23&lt;=Dashboard!$F$17,MAX(0,W23-X23)*Dashboard!$F$6,0)</x:f>
      </x:c>
      <x:c r="Z23" s="32" t="e">
        <x:f>IF(A23&lt;=Dashboard!$F$17,MIN(Dashboard!$F$10,MAX(0,W23-X23)+Y23),0)</x:f>
      </x:c>
      <x:c r="AA23" s="32" t="e">
        <x:f>IF(A23&lt;=Dashboard!$F$17,MAX(0,W23-X23-MAX(0,Z23-Y23)),0)</x:f>
      </x:c>
      <x:c r="AB23" s="32" t="e">
        <x:f>IF(A23=1,Y23,AB22+Y23)</x:f>
      </x:c>
      <x:c r="AC23" s="32"/>
      <x:c r="AD23" s="32" t="e">
        <x:f>IF(A23=1,MAX(0,Dashboard!$F$14-$B$8),AG22)</x:f>
      </x:c>
      <x:c r="AE23" s="32" t="n">
        <x:f>0</x:f>
        <x:v>0</x:v>
      </x:c>
      <x:c r="AF23" s="32" t="e">
        <x:f>IF(A23&lt;=Dashboard!$F$17,AD23*Dashboard!$F$6,0)</x:f>
      </x:c>
      <x:c r="AG23" s="32" t="e">
        <x:f>IF(A23&lt;=Dashboard!$F$17,MIN(Dashboard!$F$10,AD23+AF23),0)</x:f>
      </x:c>
      <x:c r="AH23" s="32" t="e">
        <x:f>IF(A23&lt;=Dashboard!$F$17,MAX(0,AD23-MAX(0,AG23-AF23)),0)</x:f>
      </x:c>
      <x:c r="AI23" s="32" t="e">
        <x:f>IF(A23=1,AF23,AI22+AF23)</x:f>
      </x:c>
      <x:c r="AJ23" s="33"/>
      <x:c r="AK23" s="33"/>
      <x:c r="AL23" s="33"/>
      <x:c r="AM23" s="33"/>
    </x:row>
    <x:row r="24">
      <x:c r="A24" s="33" t="n">
        <x:v>12</x:v>
      </x:c>
      <x:c r="B24" s="32" t="e">
        <x:f>IF(A24=1,Dashboard!$F$14,F23)</x:f>
      </x:c>
      <x:c r="C24" s="32" t="n">
        <x:f>0</x:f>
        <x:v>0</x:v>
      </x:c>
      <x:c r="D24" s="32" t="e">
        <x:f>IF(A24&lt;=Dashboard!$F$15,B24*Dashboard!$F$6,0)</x:f>
      </x:c>
      <x:c r="E24" s="32" t="e">
        <x:f>IF(A24&lt;=Dashboard!$F$15,MIN(Dashboard!$F$10,B24+D24),0)</x:f>
      </x:c>
      <x:c r="F24" s="32" t="e">
        <x:f>IF(A24&lt;=Dashboard!$F$15,MAX(0,B24-MAX(0,E24-D24)),0)</x:f>
      </x:c>
      <x:c r="G24" s="32" t="e">
        <x:f>IF(A24=1,D24,G23+D24)</x:f>
      </x:c>
      <x:c r="H24" s="32"/>
      <x:c r="I24" s="32" t="e">
        <x:f>IF(A24=1,Dashboard!$F$14,M23)</x:f>
      </x:c>
      <x:c r="J24" s="32" t="e">
        <x:f>IF(A24&lt;=Dashboard!$F$17,MIN(I24,$B$5),0)</x:f>
      </x:c>
      <x:c r="K24" s="32" t="e">
        <x:f>IF(A24&lt;=Dashboard!$F$17,MAX(0,I24-J24)*Dashboard!$F$6,0)</x:f>
      </x:c>
      <x:c r="L24" s="32" t="e">
        <x:f>IF(A24&lt;=Dashboard!$F$17,MIN(Dashboard!$F$10,MAX(0,I24-J24)+K24),0)</x:f>
      </x:c>
      <x:c r="M24" s="32" t="e">
        <x:f>IF(A24&lt;=Dashboard!$F$17,MAX(0,I24-J24-MAX(0,L24-K24)),0)</x:f>
      </x:c>
      <x:c r="N24" s="32" t="e">
        <x:f>IF(A24=1,K24,N23+K24)</x:f>
      </x:c>
      <x:c r="O24" s="32"/>
      <x:c r="P24" s="32" t="e">
        <x:f>IF(A24=1,Dashboard!$F$14,T23)</x:f>
      </x:c>
      <x:c r="Q24" s="32" t="e">
        <x:f>IF(A24&lt;=Dashboard!$F$17,MIN(P24,$B$6*52/12),0)</x:f>
      </x:c>
      <x:c r="R24" s="32" t="e">
        <x:f>IF(A24&lt;=Dashboard!$F$17,MAX(0,P24-Q24)*Dashboard!$F$6,0)</x:f>
      </x:c>
      <x:c r="S24" s="32" t="e">
        <x:f>IF(A24&lt;=Dashboard!$F$17,MIN(Dashboard!$F$10,MAX(0,P24-Q24)+R24),0)</x:f>
      </x:c>
      <x:c r="T24" s="32" t="e">
        <x:f>IF(A24&lt;=Dashboard!$F$17,MAX(0,P24-Q24-MAX(0,S24-R24)),0)</x:f>
      </x:c>
      <x:c r="U24" s="32" t="e">
        <x:f>IF(A24=1,R24,U23+R24)</x:f>
      </x:c>
      <x:c r="V24" s="32"/>
      <x:c r="W24" s="32" t="e">
        <x:f>IF(A24=1,Dashboard!$F$14,AA23)</x:f>
      </x:c>
      <x:c r="X24" s="32" t="e">
        <x:f>IF(AND(A24&lt;=Dashboard!$F$17,MOD(A24-1,12)=0),MIN(W24,$B$7),0)</x:f>
      </x:c>
      <x:c r="Y24" s="32" t="e">
        <x:f>IF(A24&lt;=Dashboard!$F$17,MAX(0,W24-X24)*Dashboard!$F$6,0)</x:f>
      </x:c>
      <x:c r="Z24" s="32" t="e">
        <x:f>IF(A24&lt;=Dashboard!$F$17,MIN(Dashboard!$F$10,MAX(0,W24-X24)+Y24),0)</x:f>
      </x:c>
      <x:c r="AA24" s="32" t="e">
        <x:f>IF(A24&lt;=Dashboard!$F$17,MAX(0,W24-X24-MAX(0,Z24-Y24)),0)</x:f>
      </x:c>
      <x:c r="AB24" s="32" t="e">
        <x:f>IF(A24=1,Y24,AB23+Y24)</x:f>
      </x:c>
      <x:c r="AC24" s="32"/>
      <x:c r="AD24" s="32" t="e">
        <x:f>IF(A24=1,MAX(0,Dashboard!$F$14-$B$8),AG23)</x:f>
      </x:c>
      <x:c r="AE24" s="32" t="n">
        <x:f>0</x:f>
        <x:v>0</x:v>
      </x:c>
      <x:c r="AF24" s="32" t="e">
        <x:f>IF(A24&lt;=Dashboard!$F$17,AD24*Dashboard!$F$6,0)</x:f>
      </x:c>
      <x:c r="AG24" s="32" t="e">
        <x:f>IF(A24&lt;=Dashboard!$F$17,MIN(Dashboard!$F$10,AD24+AF24),0)</x:f>
      </x:c>
      <x:c r="AH24" s="32" t="e">
        <x:f>IF(A24&lt;=Dashboard!$F$17,MAX(0,AD24-MAX(0,AG24-AF24)),0)</x:f>
      </x:c>
      <x:c r="AI24" s="32" t="e">
        <x:f>IF(A24=1,AF24,AI23+AF24)</x:f>
      </x:c>
      <x:c r="AJ24" s="33"/>
      <x:c r="AK24" s="33"/>
      <x:c r="AL24" s="33"/>
      <x:c r="AM24" s="33"/>
    </x:row>
    <x:row r="25">
      <x:c r="A25" s="33" t="n">
        <x:v>13</x:v>
      </x:c>
      <x:c r="B25" s="32" t="e">
        <x:f>IF(A25=1,Dashboard!$F$14,F24)</x:f>
      </x:c>
      <x:c r="C25" s="32" t="n">
        <x:f>0</x:f>
        <x:v>0</x:v>
      </x:c>
      <x:c r="D25" s="32" t="e">
        <x:f>IF(A25&lt;=Dashboard!$F$15,B25*Dashboard!$F$6,0)</x:f>
      </x:c>
      <x:c r="E25" s="32" t="e">
        <x:f>IF(A25&lt;=Dashboard!$F$15,MIN(Dashboard!$F$10,B25+D25),0)</x:f>
      </x:c>
      <x:c r="F25" s="32" t="e">
        <x:f>IF(A25&lt;=Dashboard!$F$15,MAX(0,B25-MAX(0,E25-D25)),0)</x:f>
      </x:c>
      <x:c r="G25" s="32" t="e">
        <x:f>IF(A25=1,D25,G24+D25)</x:f>
      </x:c>
      <x:c r="H25" s="32"/>
      <x:c r="I25" s="32" t="e">
        <x:f>IF(A25=1,Dashboard!$F$14,M24)</x:f>
      </x:c>
      <x:c r="J25" s="32" t="e">
        <x:f>IF(A25&lt;=Dashboard!$F$17,MIN(I25,$B$5),0)</x:f>
      </x:c>
      <x:c r="K25" s="32" t="e">
        <x:f>IF(A25&lt;=Dashboard!$F$17,MAX(0,I25-J25)*Dashboard!$F$6,0)</x:f>
      </x:c>
      <x:c r="L25" s="32" t="e">
        <x:f>IF(A25&lt;=Dashboard!$F$17,MIN(Dashboard!$F$10,MAX(0,I25-J25)+K25),0)</x:f>
      </x:c>
      <x:c r="M25" s="32" t="e">
        <x:f>IF(A25&lt;=Dashboard!$F$17,MAX(0,I25-J25-MAX(0,L25-K25)),0)</x:f>
      </x:c>
      <x:c r="N25" s="32" t="e">
        <x:f>IF(A25=1,K25,N24+K25)</x:f>
      </x:c>
      <x:c r="O25" s="32"/>
      <x:c r="P25" s="32" t="e">
        <x:f>IF(A25=1,Dashboard!$F$14,T24)</x:f>
      </x:c>
      <x:c r="Q25" s="32" t="e">
        <x:f>IF(A25&lt;=Dashboard!$F$17,MIN(P25,$B$6*52/12),0)</x:f>
      </x:c>
      <x:c r="R25" s="32" t="e">
        <x:f>IF(A25&lt;=Dashboard!$F$17,MAX(0,P25-Q25)*Dashboard!$F$6,0)</x:f>
      </x:c>
      <x:c r="S25" s="32" t="e">
        <x:f>IF(A25&lt;=Dashboard!$F$17,MIN(Dashboard!$F$10,MAX(0,P25-Q25)+R25),0)</x:f>
      </x:c>
      <x:c r="T25" s="32" t="e">
        <x:f>IF(A25&lt;=Dashboard!$F$17,MAX(0,P25-Q25-MAX(0,S25-R25)),0)</x:f>
      </x:c>
      <x:c r="U25" s="32" t="e">
        <x:f>IF(A25=1,R25,U24+R25)</x:f>
      </x:c>
      <x:c r="V25" s="32"/>
      <x:c r="W25" s="32" t="e">
        <x:f>IF(A25=1,Dashboard!$F$14,AA24)</x:f>
      </x:c>
      <x:c r="X25" s="32" t="e">
        <x:f>IF(AND(A25&lt;=Dashboard!$F$17,MOD(A25-1,12)=0),MIN(W25,$B$7),0)</x:f>
      </x:c>
      <x:c r="Y25" s="32" t="e">
        <x:f>IF(A25&lt;=Dashboard!$F$17,MAX(0,W25-X25)*Dashboard!$F$6,0)</x:f>
      </x:c>
      <x:c r="Z25" s="32" t="e">
        <x:f>IF(A25&lt;=Dashboard!$F$17,MIN(Dashboard!$F$10,MAX(0,W25-X25)+Y25),0)</x:f>
      </x:c>
      <x:c r="AA25" s="32" t="e">
        <x:f>IF(A25&lt;=Dashboard!$F$17,MAX(0,W25-X25-MAX(0,Z25-Y25)),0)</x:f>
      </x:c>
      <x:c r="AB25" s="32" t="e">
        <x:f>IF(A25=1,Y25,AB24+Y25)</x:f>
      </x:c>
      <x:c r="AC25" s="32"/>
      <x:c r="AD25" s="32" t="e">
        <x:f>IF(A25=1,MAX(0,Dashboard!$F$14-$B$8),AG24)</x:f>
      </x:c>
      <x:c r="AE25" s="32" t="n">
        <x:f>0</x:f>
        <x:v>0</x:v>
      </x:c>
      <x:c r="AF25" s="32" t="e">
        <x:f>IF(A25&lt;=Dashboard!$F$17,AD25*Dashboard!$F$6,0)</x:f>
      </x:c>
      <x:c r="AG25" s="32" t="e">
        <x:f>IF(A25&lt;=Dashboard!$F$17,MIN(Dashboard!$F$10,AD25+AF25),0)</x:f>
      </x:c>
      <x:c r="AH25" s="32" t="e">
        <x:f>IF(A25&lt;=Dashboard!$F$17,MAX(0,AD25-MAX(0,AG25-AF25)),0)</x:f>
      </x:c>
      <x:c r="AI25" s="32" t="e">
        <x:f>IF(A25=1,AF25,AI24+AF25)</x:f>
      </x:c>
      <x:c r="AJ25" s="33"/>
      <x:c r="AK25" s="33"/>
      <x:c r="AL25" s="33"/>
      <x:c r="AM25" s="33"/>
    </x:row>
    <x:row r="26">
      <x:c r="A26" s="33" t="n">
        <x:v>14</x:v>
      </x:c>
      <x:c r="B26" s="32" t="e">
        <x:f>IF(A26=1,Dashboard!$F$14,F25)</x:f>
      </x:c>
      <x:c r="C26" s="32" t="n">
        <x:f>0</x:f>
        <x:v>0</x:v>
      </x:c>
      <x:c r="D26" s="32" t="e">
        <x:f>IF(A26&lt;=Dashboard!$F$15,B26*Dashboard!$F$6,0)</x:f>
      </x:c>
      <x:c r="E26" s="32" t="e">
        <x:f>IF(A26&lt;=Dashboard!$F$15,MIN(Dashboard!$F$10,B26+D26),0)</x:f>
      </x:c>
      <x:c r="F26" s="32" t="e">
        <x:f>IF(A26&lt;=Dashboard!$F$15,MAX(0,B26-MAX(0,E26-D26)),0)</x:f>
      </x:c>
      <x:c r="G26" s="32" t="e">
        <x:f>IF(A26=1,D26,G25+D26)</x:f>
      </x:c>
      <x:c r="H26" s="32"/>
      <x:c r="I26" s="32" t="e">
        <x:f>IF(A26=1,Dashboard!$F$14,M25)</x:f>
      </x:c>
      <x:c r="J26" s="32" t="e">
        <x:f>IF(A26&lt;=Dashboard!$F$17,MIN(I26,$B$5),0)</x:f>
      </x:c>
      <x:c r="K26" s="32" t="e">
        <x:f>IF(A26&lt;=Dashboard!$F$17,MAX(0,I26-J26)*Dashboard!$F$6,0)</x:f>
      </x:c>
      <x:c r="L26" s="32" t="e">
        <x:f>IF(A26&lt;=Dashboard!$F$17,MIN(Dashboard!$F$10,MAX(0,I26-J26)+K26),0)</x:f>
      </x:c>
      <x:c r="M26" s="32" t="e">
        <x:f>IF(A26&lt;=Dashboard!$F$17,MAX(0,I26-J26-MAX(0,L26-K26)),0)</x:f>
      </x:c>
      <x:c r="N26" s="32" t="e">
        <x:f>IF(A26=1,K26,N25+K26)</x:f>
      </x:c>
      <x:c r="O26" s="32"/>
      <x:c r="P26" s="32" t="e">
        <x:f>IF(A26=1,Dashboard!$F$14,T25)</x:f>
      </x:c>
      <x:c r="Q26" s="32" t="e">
        <x:f>IF(A26&lt;=Dashboard!$F$17,MIN(P26,$B$6*52/12),0)</x:f>
      </x:c>
      <x:c r="R26" s="32" t="e">
        <x:f>IF(A26&lt;=Dashboard!$F$17,MAX(0,P26-Q26)*Dashboard!$F$6,0)</x:f>
      </x:c>
      <x:c r="S26" s="32" t="e">
        <x:f>IF(A26&lt;=Dashboard!$F$17,MIN(Dashboard!$F$10,MAX(0,P26-Q26)+R26),0)</x:f>
      </x:c>
      <x:c r="T26" s="32" t="e">
        <x:f>IF(A26&lt;=Dashboard!$F$17,MAX(0,P26-Q26-MAX(0,S26-R26)),0)</x:f>
      </x:c>
      <x:c r="U26" s="32" t="e">
        <x:f>IF(A26=1,R26,U25+R26)</x:f>
      </x:c>
      <x:c r="V26" s="32"/>
      <x:c r="W26" s="32" t="e">
        <x:f>IF(A26=1,Dashboard!$F$14,AA25)</x:f>
      </x:c>
      <x:c r="X26" s="32" t="e">
        <x:f>IF(AND(A26&lt;=Dashboard!$F$17,MOD(A26-1,12)=0),MIN(W26,$B$7),0)</x:f>
      </x:c>
      <x:c r="Y26" s="32" t="e">
        <x:f>IF(A26&lt;=Dashboard!$F$17,MAX(0,W26-X26)*Dashboard!$F$6,0)</x:f>
      </x:c>
      <x:c r="Z26" s="32" t="e">
        <x:f>IF(A26&lt;=Dashboard!$F$17,MIN(Dashboard!$F$10,MAX(0,W26-X26)+Y26),0)</x:f>
      </x:c>
      <x:c r="AA26" s="32" t="e">
        <x:f>IF(A26&lt;=Dashboard!$F$17,MAX(0,W26-X26-MAX(0,Z26-Y26)),0)</x:f>
      </x:c>
      <x:c r="AB26" s="32" t="e">
        <x:f>IF(A26=1,Y26,AB25+Y26)</x:f>
      </x:c>
      <x:c r="AC26" s="32"/>
      <x:c r="AD26" s="32" t="e">
        <x:f>IF(A26=1,MAX(0,Dashboard!$F$14-$B$8),AG25)</x:f>
      </x:c>
      <x:c r="AE26" s="32" t="n">
        <x:f>0</x:f>
        <x:v>0</x:v>
      </x:c>
      <x:c r="AF26" s="32" t="e">
        <x:f>IF(A26&lt;=Dashboard!$F$17,AD26*Dashboard!$F$6,0)</x:f>
      </x:c>
      <x:c r="AG26" s="32" t="e">
        <x:f>IF(A26&lt;=Dashboard!$F$17,MIN(Dashboard!$F$10,AD26+AF26),0)</x:f>
      </x:c>
      <x:c r="AH26" s="32" t="e">
        <x:f>IF(A26&lt;=Dashboard!$F$17,MAX(0,AD26-MAX(0,AG26-AF26)),0)</x:f>
      </x:c>
      <x:c r="AI26" s="32" t="e">
        <x:f>IF(A26=1,AF26,AI25+AF26)</x:f>
      </x:c>
      <x:c r="AJ26" s="33"/>
      <x:c r="AK26" s="33"/>
      <x:c r="AL26" s="33"/>
      <x:c r="AM26" s="33"/>
    </x:row>
    <x:row r="27">
      <x:c r="A27" s="33" t="n">
        <x:v>15</x:v>
      </x:c>
      <x:c r="B27" s="32" t="e">
        <x:f>IF(A27=1,Dashboard!$F$14,F26)</x:f>
      </x:c>
      <x:c r="C27" s="32" t="n">
        <x:f>0</x:f>
        <x:v>0</x:v>
      </x:c>
      <x:c r="D27" s="32" t="e">
        <x:f>IF(A27&lt;=Dashboard!$F$15,B27*Dashboard!$F$6,0)</x:f>
      </x:c>
      <x:c r="E27" s="32" t="e">
        <x:f>IF(A27&lt;=Dashboard!$F$15,MIN(Dashboard!$F$10,B27+D27),0)</x:f>
      </x:c>
      <x:c r="F27" s="32" t="e">
        <x:f>IF(A27&lt;=Dashboard!$F$15,MAX(0,B27-MAX(0,E27-D27)),0)</x:f>
      </x:c>
      <x:c r="G27" s="32" t="e">
        <x:f>IF(A27=1,D27,G26+D27)</x:f>
      </x:c>
      <x:c r="H27" s="32"/>
      <x:c r="I27" s="32" t="e">
        <x:f>IF(A27=1,Dashboard!$F$14,M26)</x:f>
      </x:c>
      <x:c r="J27" s="32" t="e">
        <x:f>IF(A27&lt;=Dashboard!$F$17,MIN(I27,$B$5),0)</x:f>
      </x:c>
      <x:c r="K27" s="32" t="e">
        <x:f>IF(A27&lt;=Dashboard!$F$17,MAX(0,I27-J27)*Dashboard!$F$6,0)</x:f>
      </x:c>
      <x:c r="L27" s="32" t="e">
        <x:f>IF(A27&lt;=Dashboard!$F$17,MIN(Dashboard!$F$10,MAX(0,I27-J27)+K27),0)</x:f>
      </x:c>
      <x:c r="M27" s="32" t="e">
        <x:f>IF(A27&lt;=Dashboard!$F$17,MAX(0,I27-J27-MAX(0,L27-K27)),0)</x:f>
      </x:c>
      <x:c r="N27" s="32" t="e">
        <x:f>IF(A27=1,K27,N26+K27)</x:f>
      </x:c>
      <x:c r="O27" s="32"/>
      <x:c r="P27" s="32" t="e">
        <x:f>IF(A27=1,Dashboard!$F$14,T26)</x:f>
      </x:c>
      <x:c r="Q27" s="32" t="e">
        <x:f>IF(A27&lt;=Dashboard!$F$17,MIN(P27,$B$6*52/12),0)</x:f>
      </x:c>
      <x:c r="R27" s="32" t="e">
        <x:f>IF(A27&lt;=Dashboard!$F$17,MAX(0,P27-Q27)*Dashboard!$F$6,0)</x:f>
      </x:c>
      <x:c r="S27" s="32" t="e">
        <x:f>IF(A27&lt;=Dashboard!$F$17,MIN(Dashboard!$F$10,MAX(0,P27-Q27)+R27),0)</x:f>
      </x:c>
      <x:c r="T27" s="32" t="e">
        <x:f>IF(A27&lt;=Dashboard!$F$17,MAX(0,P27-Q27-MAX(0,S27-R27)),0)</x:f>
      </x:c>
      <x:c r="U27" s="32" t="e">
        <x:f>IF(A27=1,R27,U26+R27)</x:f>
      </x:c>
      <x:c r="V27" s="32"/>
      <x:c r="W27" s="32" t="e">
        <x:f>IF(A27=1,Dashboard!$F$14,AA26)</x:f>
      </x:c>
      <x:c r="X27" s="32" t="e">
        <x:f>IF(AND(A27&lt;=Dashboard!$F$17,MOD(A27-1,12)=0),MIN(W27,$B$7),0)</x:f>
      </x:c>
      <x:c r="Y27" s="32" t="e">
        <x:f>IF(A27&lt;=Dashboard!$F$17,MAX(0,W27-X27)*Dashboard!$F$6,0)</x:f>
      </x:c>
      <x:c r="Z27" s="32" t="e">
        <x:f>IF(A27&lt;=Dashboard!$F$17,MIN(Dashboard!$F$10,MAX(0,W27-X27)+Y27),0)</x:f>
      </x:c>
      <x:c r="AA27" s="32" t="e">
        <x:f>IF(A27&lt;=Dashboard!$F$17,MAX(0,W27-X27-MAX(0,Z27-Y27)),0)</x:f>
      </x:c>
      <x:c r="AB27" s="32" t="e">
        <x:f>IF(A27=1,Y27,AB26+Y27)</x:f>
      </x:c>
      <x:c r="AC27" s="32"/>
      <x:c r="AD27" s="32" t="e">
        <x:f>IF(A27=1,MAX(0,Dashboard!$F$14-$B$8),AG26)</x:f>
      </x:c>
      <x:c r="AE27" s="32" t="n">
        <x:f>0</x:f>
        <x:v>0</x:v>
      </x:c>
      <x:c r="AF27" s="32" t="e">
        <x:f>IF(A27&lt;=Dashboard!$F$17,AD27*Dashboard!$F$6,0)</x:f>
      </x:c>
      <x:c r="AG27" s="32" t="e">
        <x:f>IF(A27&lt;=Dashboard!$F$17,MIN(Dashboard!$F$10,AD27+AF27),0)</x:f>
      </x:c>
      <x:c r="AH27" s="32" t="e">
        <x:f>IF(A27&lt;=Dashboard!$F$17,MAX(0,AD27-MAX(0,AG27-AF27)),0)</x:f>
      </x:c>
      <x:c r="AI27" s="32" t="e">
        <x:f>IF(A27=1,AF27,AI26+AF27)</x:f>
      </x:c>
      <x:c r="AJ27" s="33"/>
      <x:c r="AK27" s="33"/>
      <x:c r="AL27" s="33"/>
      <x:c r="AM27" s="33"/>
    </x:row>
    <x:row r="28">
      <x:c r="A28" s="33" t="n">
        <x:v>16</x:v>
      </x:c>
      <x:c r="B28" s="32" t="e">
        <x:f>IF(A28=1,Dashboard!$F$14,F27)</x:f>
      </x:c>
      <x:c r="C28" s="32" t="n">
        <x:f>0</x:f>
        <x:v>0</x:v>
      </x:c>
      <x:c r="D28" s="32" t="e">
        <x:f>IF(A28&lt;=Dashboard!$F$15,B28*Dashboard!$F$6,0)</x:f>
      </x:c>
      <x:c r="E28" s="32" t="e">
        <x:f>IF(A28&lt;=Dashboard!$F$15,MIN(Dashboard!$F$10,B28+D28),0)</x:f>
      </x:c>
      <x:c r="F28" s="32" t="e">
        <x:f>IF(A28&lt;=Dashboard!$F$15,MAX(0,B28-MAX(0,E28-D28)),0)</x:f>
      </x:c>
      <x:c r="G28" s="32" t="e">
        <x:f>IF(A28=1,D28,G27+D28)</x:f>
      </x:c>
      <x:c r="H28" s="32"/>
      <x:c r="I28" s="32" t="e">
        <x:f>IF(A28=1,Dashboard!$F$14,M27)</x:f>
      </x:c>
      <x:c r="J28" s="32" t="e">
        <x:f>IF(A28&lt;=Dashboard!$F$17,MIN(I28,$B$5),0)</x:f>
      </x:c>
      <x:c r="K28" s="32" t="e">
        <x:f>IF(A28&lt;=Dashboard!$F$17,MAX(0,I28-J28)*Dashboard!$F$6,0)</x:f>
      </x:c>
      <x:c r="L28" s="32" t="e">
        <x:f>IF(A28&lt;=Dashboard!$F$17,MIN(Dashboard!$F$10,MAX(0,I28-J28)+K28),0)</x:f>
      </x:c>
      <x:c r="M28" s="32" t="e">
        <x:f>IF(A28&lt;=Dashboard!$F$17,MAX(0,I28-J28-MAX(0,L28-K28)),0)</x:f>
      </x:c>
      <x:c r="N28" s="32" t="e">
        <x:f>IF(A28=1,K28,N27+K28)</x:f>
      </x:c>
      <x:c r="O28" s="32"/>
      <x:c r="P28" s="32" t="e">
        <x:f>IF(A28=1,Dashboard!$F$14,T27)</x:f>
      </x:c>
      <x:c r="Q28" s="32" t="e">
        <x:f>IF(A28&lt;=Dashboard!$F$17,MIN(P28,$B$6*52/12),0)</x:f>
      </x:c>
      <x:c r="R28" s="32" t="e">
        <x:f>IF(A28&lt;=Dashboard!$F$17,MAX(0,P28-Q28)*Dashboard!$F$6,0)</x:f>
      </x:c>
      <x:c r="S28" s="32" t="e">
        <x:f>IF(A28&lt;=Dashboard!$F$17,MIN(Dashboard!$F$10,MAX(0,P28-Q28)+R28),0)</x:f>
      </x:c>
      <x:c r="T28" s="32" t="e">
        <x:f>IF(A28&lt;=Dashboard!$F$17,MAX(0,P28-Q28-MAX(0,S28-R28)),0)</x:f>
      </x:c>
      <x:c r="U28" s="32" t="e">
        <x:f>IF(A28=1,R28,U27+R28)</x:f>
      </x:c>
      <x:c r="V28" s="32"/>
      <x:c r="W28" s="32" t="e">
        <x:f>IF(A28=1,Dashboard!$F$14,AA27)</x:f>
      </x:c>
      <x:c r="X28" s="32" t="e">
        <x:f>IF(AND(A28&lt;=Dashboard!$F$17,MOD(A28-1,12)=0),MIN(W28,$B$7),0)</x:f>
      </x:c>
      <x:c r="Y28" s="32" t="e">
        <x:f>IF(A28&lt;=Dashboard!$F$17,MAX(0,W28-X28)*Dashboard!$F$6,0)</x:f>
      </x:c>
      <x:c r="Z28" s="32" t="e">
        <x:f>IF(A28&lt;=Dashboard!$F$17,MIN(Dashboard!$F$10,MAX(0,W28-X28)+Y28),0)</x:f>
      </x:c>
      <x:c r="AA28" s="32" t="e">
        <x:f>IF(A28&lt;=Dashboard!$F$17,MAX(0,W28-X28-MAX(0,Z28-Y28)),0)</x:f>
      </x:c>
      <x:c r="AB28" s="32" t="e">
        <x:f>IF(A28=1,Y28,AB27+Y28)</x:f>
      </x:c>
      <x:c r="AC28" s="32"/>
      <x:c r="AD28" s="32" t="e">
        <x:f>IF(A28=1,MAX(0,Dashboard!$F$14-$B$8),AG27)</x:f>
      </x:c>
      <x:c r="AE28" s="32" t="n">
        <x:f>0</x:f>
        <x:v>0</x:v>
      </x:c>
      <x:c r="AF28" s="32" t="e">
        <x:f>IF(A28&lt;=Dashboard!$F$17,AD28*Dashboard!$F$6,0)</x:f>
      </x:c>
      <x:c r="AG28" s="32" t="e">
        <x:f>IF(A28&lt;=Dashboard!$F$17,MIN(Dashboard!$F$10,AD28+AF28),0)</x:f>
      </x:c>
      <x:c r="AH28" s="32" t="e">
        <x:f>IF(A28&lt;=Dashboard!$F$17,MAX(0,AD28-MAX(0,AG28-AF28)),0)</x:f>
      </x:c>
      <x:c r="AI28" s="32" t="e">
        <x:f>IF(A28=1,AF28,AI27+AF28)</x:f>
      </x:c>
      <x:c r="AJ28" s="33"/>
      <x:c r="AK28" s="33"/>
      <x:c r="AL28" s="33"/>
      <x:c r="AM28" s="33"/>
    </x:row>
    <x:row r="29">
      <x:c r="A29" s="33" t="n">
        <x:v>17</x:v>
      </x:c>
      <x:c r="B29" s="32" t="e">
        <x:f>IF(A29=1,Dashboard!$F$14,F28)</x:f>
      </x:c>
      <x:c r="C29" s="32" t="n">
        <x:f>0</x:f>
        <x:v>0</x:v>
      </x:c>
      <x:c r="D29" s="32" t="e">
        <x:f>IF(A29&lt;=Dashboard!$F$15,B29*Dashboard!$F$6,0)</x:f>
      </x:c>
      <x:c r="E29" s="32" t="e">
        <x:f>IF(A29&lt;=Dashboard!$F$15,MIN(Dashboard!$F$10,B29+D29),0)</x:f>
      </x:c>
      <x:c r="F29" s="32" t="e">
        <x:f>IF(A29&lt;=Dashboard!$F$15,MAX(0,B29-MAX(0,E29-D29)),0)</x:f>
      </x:c>
      <x:c r="G29" s="32" t="e">
        <x:f>IF(A29=1,D29,G28+D29)</x:f>
      </x:c>
      <x:c r="H29" s="32"/>
      <x:c r="I29" s="32" t="e">
        <x:f>IF(A29=1,Dashboard!$F$14,M28)</x:f>
      </x:c>
      <x:c r="J29" s="32" t="e">
        <x:f>IF(A29&lt;=Dashboard!$F$17,MIN(I29,$B$5),0)</x:f>
      </x:c>
      <x:c r="K29" s="32" t="e">
        <x:f>IF(A29&lt;=Dashboard!$F$17,MAX(0,I29-J29)*Dashboard!$F$6,0)</x:f>
      </x:c>
      <x:c r="L29" s="32" t="e">
        <x:f>IF(A29&lt;=Dashboard!$F$17,MIN(Dashboard!$F$10,MAX(0,I29-J29)+K29),0)</x:f>
      </x:c>
      <x:c r="M29" s="32" t="e">
        <x:f>IF(A29&lt;=Dashboard!$F$17,MAX(0,I29-J29-MAX(0,L29-K29)),0)</x:f>
      </x:c>
      <x:c r="N29" s="32" t="e">
        <x:f>IF(A29=1,K29,N28+K29)</x:f>
      </x:c>
      <x:c r="O29" s="32"/>
      <x:c r="P29" s="32" t="e">
        <x:f>IF(A29=1,Dashboard!$F$14,T28)</x:f>
      </x:c>
      <x:c r="Q29" s="32" t="e">
        <x:f>IF(A29&lt;=Dashboard!$F$17,MIN(P29,$B$6*52/12),0)</x:f>
      </x:c>
      <x:c r="R29" s="32" t="e">
        <x:f>IF(A29&lt;=Dashboard!$F$17,MAX(0,P29-Q29)*Dashboard!$F$6,0)</x:f>
      </x:c>
      <x:c r="S29" s="32" t="e">
        <x:f>IF(A29&lt;=Dashboard!$F$17,MIN(Dashboard!$F$10,MAX(0,P29-Q29)+R29),0)</x:f>
      </x:c>
      <x:c r="T29" s="32" t="e">
        <x:f>IF(A29&lt;=Dashboard!$F$17,MAX(0,P29-Q29-MAX(0,S29-R29)),0)</x:f>
      </x:c>
      <x:c r="U29" s="32" t="e">
        <x:f>IF(A29=1,R29,U28+R29)</x:f>
      </x:c>
      <x:c r="V29" s="32"/>
      <x:c r="W29" s="32" t="e">
        <x:f>IF(A29=1,Dashboard!$F$14,AA28)</x:f>
      </x:c>
      <x:c r="X29" s="32" t="e">
        <x:f>IF(AND(A29&lt;=Dashboard!$F$17,MOD(A29-1,12)=0),MIN(W29,$B$7),0)</x:f>
      </x:c>
      <x:c r="Y29" s="32" t="e">
        <x:f>IF(A29&lt;=Dashboard!$F$17,MAX(0,W29-X29)*Dashboard!$F$6,0)</x:f>
      </x:c>
      <x:c r="Z29" s="32" t="e">
        <x:f>IF(A29&lt;=Dashboard!$F$17,MIN(Dashboard!$F$10,MAX(0,W29-X29)+Y29),0)</x:f>
      </x:c>
      <x:c r="AA29" s="32" t="e">
        <x:f>IF(A29&lt;=Dashboard!$F$17,MAX(0,W29-X29-MAX(0,Z29-Y29)),0)</x:f>
      </x:c>
      <x:c r="AB29" s="32" t="e">
        <x:f>IF(A29=1,Y29,AB28+Y29)</x:f>
      </x:c>
      <x:c r="AC29" s="32"/>
      <x:c r="AD29" s="32" t="e">
        <x:f>IF(A29=1,MAX(0,Dashboard!$F$14-$B$8),AG28)</x:f>
      </x:c>
      <x:c r="AE29" s="32" t="n">
        <x:f>0</x:f>
        <x:v>0</x:v>
      </x:c>
      <x:c r="AF29" s="32" t="e">
        <x:f>IF(A29&lt;=Dashboard!$F$17,AD29*Dashboard!$F$6,0)</x:f>
      </x:c>
      <x:c r="AG29" s="32" t="e">
        <x:f>IF(A29&lt;=Dashboard!$F$17,MIN(Dashboard!$F$10,AD29+AF29),0)</x:f>
      </x:c>
      <x:c r="AH29" s="32" t="e">
        <x:f>IF(A29&lt;=Dashboard!$F$17,MAX(0,AD29-MAX(0,AG29-AF29)),0)</x:f>
      </x:c>
      <x:c r="AI29" s="32" t="e">
        <x:f>IF(A29=1,AF29,AI28+AF29)</x:f>
      </x:c>
      <x:c r="AJ29" s="33"/>
      <x:c r="AK29" s="33"/>
      <x:c r="AL29" s="33"/>
      <x:c r="AM29" s="33"/>
    </x:row>
    <x:row r="30">
      <x:c r="A30" s="33" t="n">
        <x:v>18</x:v>
      </x:c>
      <x:c r="B30" s="32" t="e">
        <x:f>IF(A30=1,Dashboard!$F$14,F29)</x:f>
      </x:c>
      <x:c r="C30" s="32" t="n">
        <x:f>0</x:f>
        <x:v>0</x:v>
      </x:c>
      <x:c r="D30" s="32" t="e">
        <x:f>IF(A30&lt;=Dashboard!$F$15,B30*Dashboard!$F$6,0)</x:f>
      </x:c>
      <x:c r="E30" s="32" t="e">
        <x:f>IF(A30&lt;=Dashboard!$F$15,MIN(Dashboard!$F$10,B30+D30),0)</x:f>
      </x:c>
      <x:c r="F30" s="32" t="e">
        <x:f>IF(A30&lt;=Dashboard!$F$15,MAX(0,B30-MAX(0,E30-D30)),0)</x:f>
      </x:c>
      <x:c r="G30" s="32" t="e">
        <x:f>IF(A30=1,D30,G29+D30)</x:f>
      </x:c>
      <x:c r="H30" s="32"/>
      <x:c r="I30" s="32" t="e">
        <x:f>IF(A30=1,Dashboard!$F$14,M29)</x:f>
      </x:c>
      <x:c r="J30" s="32" t="e">
        <x:f>IF(A30&lt;=Dashboard!$F$17,MIN(I30,$B$5),0)</x:f>
      </x:c>
      <x:c r="K30" s="32" t="e">
        <x:f>IF(A30&lt;=Dashboard!$F$17,MAX(0,I30-J30)*Dashboard!$F$6,0)</x:f>
      </x:c>
      <x:c r="L30" s="32" t="e">
        <x:f>IF(A30&lt;=Dashboard!$F$17,MIN(Dashboard!$F$10,MAX(0,I30-J30)+K30),0)</x:f>
      </x:c>
      <x:c r="M30" s="32" t="e">
        <x:f>IF(A30&lt;=Dashboard!$F$17,MAX(0,I30-J30-MAX(0,L30-K30)),0)</x:f>
      </x:c>
      <x:c r="N30" s="32" t="e">
        <x:f>IF(A30=1,K30,N29+K30)</x:f>
      </x:c>
      <x:c r="O30" s="32"/>
      <x:c r="P30" s="32" t="e">
        <x:f>IF(A30=1,Dashboard!$F$14,T29)</x:f>
      </x:c>
      <x:c r="Q30" s="32" t="e">
        <x:f>IF(A30&lt;=Dashboard!$F$17,MIN(P30,$B$6*52/12),0)</x:f>
      </x:c>
      <x:c r="R30" s="32" t="e">
        <x:f>IF(A30&lt;=Dashboard!$F$17,MAX(0,P30-Q30)*Dashboard!$F$6,0)</x:f>
      </x:c>
      <x:c r="S30" s="32" t="e">
        <x:f>IF(A30&lt;=Dashboard!$F$17,MIN(Dashboard!$F$10,MAX(0,P30-Q30)+R30),0)</x:f>
      </x:c>
      <x:c r="T30" s="32" t="e">
        <x:f>IF(A30&lt;=Dashboard!$F$17,MAX(0,P30-Q30-MAX(0,S30-R30)),0)</x:f>
      </x:c>
      <x:c r="U30" s="32" t="e">
        <x:f>IF(A30=1,R30,U29+R30)</x:f>
      </x:c>
      <x:c r="V30" s="32"/>
      <x:c r="W30" s="32" t="e">
        <x:f>IF(A30=1,Dashboard!$F$14,AA29)</x:f>
      </x:c>
      <x:c r="X30" s="32" t="e">
        <x:f>IF(AND(A30&lt;=Dashboard!$F$17,MOD(A30-1,12)=0),MIN(W30,$B$7),0)</x:f>
      </x:c>
      <x:c r="Y30" s="32" t="e">
        <x:f>IF(A30&lt;=Dashboard!$F$17,MAX(0,W30-X30)*Dashboard!$F$6,0)</x:f>
      </x:c>
      <x:c r="Z30" s="32" t="e">
        <x:f>IF(A30&lt;=Dashboard!$F$17,MIN(Dashboard!$F$10,MAX(0,W30-X30)+Y30),0)</x:f>
      </x:c>
      <x:c r="AA30" s="32" t="e">
        <x:f>IF(A30&lt;=Dashboard!$F$17,MAX(0,W30-X30-MAX(0,Z30-Y30)),0)</x:f>
      </x:c>
      <x:c r="AB30" s="32" t="e">
        <x:f>IF(A30=1,Y30,AB29+Y30)</x:f>
      </x:c>
      <x:c r="AC30" s="32"/>
      <x:c r="AD30" s="32" t="e">
        <x:f>IF(A30=1,MAX(0,Dashboard!$F$14-$B$8),AG29)</x:f>
      </x:c>
      <x:c r="AE30" s="32" t="n">
        <x:f>0</x:f>
        <x:v>0</x:v>
      </x:c>
      <x:c r="AF30" s="32" t="e">
        <x:f>IF(A30&lt;=Dashboard!$F$17,AD30*Dashboard!$F$6,0)</x:f>
      </x:c>
      <x:c r="AG30" s="32" t="e">
        <x:f>IF(A30&lt;=Dashboard!$F$17,MIN(Dashboard!$F$10,AD30+AF30),0)</x:f>
      </x:c>
      <x:c r="AH30" s="32" t="e">
        <x:f>IF(A30&lt;=Dashboard!$F$17,MAX(0,AD30-MAX(0,AG30-AF30)),0)</x:f>
      </x:c>
      <x:c r="AI30" s="32" t="e">
        <x:f>IF(A30=1,AF30,AI29+AF30)</x:f>
      </x:c>
      <x:c r="AJ30" s="33"/>
      <x:c r="AK30" s="33"/>
      <x:c r="AL30" s="33"/>
      <x:c r="AM30" s="33"/>
    </x:row>
    <x:row r="31">
      <x:c r="A31" s="33" t="n">
        <x:v>19</x:v>
      </x:c>
      <x:c r="B31" s="32" t="e">
        <x:f>IF(A31=1,Dashboard!$F$14,F30)</x:f>
      </x:c>
      <x:c r="C31" s="32" t="n">
        <x:f>0</x:f>
        <x:v>0</x:v>
      </x:c>
      <x:c r="D31" s="32" t="e">
        <x:f>IF(A31&lt;=Dashboard!$F$15,B31*Dashboard!$F$6,0)</x:f>
      </x:c>
      <x:c r="E31" s="32" t="e">
        <x:f>IF(A31&lt;=Dashboard!$F$15,MIN(Dashboard!$F$10,B31+D31),0)</x:f>
      </x:c>
      <x:c r="F31" s="32" t="e">
        <x:f>IF(A31&lt;=Dashboard!$F$15,MAX(0,B31-MAX(0,E31-D31)),0)</x:f>
      </x:c>
      <x:c r="G31" s="32" t="e">
        <x:f>IF(A31=1,D31,G30+D31)</x:f>
      </x:c>
      <x:c r="H31" s="32"/>
      <x:c r="I31" s="32" t="e">
        <x:f>IF(A31=1,Dashboard!$F$14,M30)</x:f>
      </x:c>
      <x:c r="J31" s="32" t="e">
        <x:f>IF(A31&lt;=Dashboard!$F$17,MIN(I31,$B$5),0)</x:f>
      </x:c>
      <x:c r="K31" s="32" t="e">
        <x:f>IF(A31&lt;=Dashboard!$F$17,MAX(0,I31-J31)*Dashboard!$F$6,0)</x:f>
      </x:c>
      <x:c r="L31" s="32" t="e">
        <x:f>IF(A31&lt;=Dashboard!$F$17,MIN(Dashboard!$F$10,MAX(0,I31-J31)+K31),0)</x:f>
      </x:c>
      <x:c r="M31" s="32" t="e">
        <x:f>IF(A31&lt;=Dashboard!$F$17,MAX(0,I31-J31-MAX(0,L31-K31)),0)</x:f>
      </x:c>
      <x:c r="N31" s="32" t="e">
        <x:f>IF(A31=1,K31,N30+K31)</x:f>
      </x:c>
      <x:c r="O31" s="32"/>
      <x:c r="P31" s="32" t="e">
        <x:f>IF(A31=1,Dashboard!$F$14,T30)</x:f>
      </x:c>
      <x:c r="Q31" s="32" t="e">
        <x:f>IF(A31&lt;=Dashboard!$F$17,MIN(P31,$B$6*52/12),0)</x:f>
      </x:c>
      <x:c r="R31" s="32" t="e">
        <x:f>IF(A31&lt;=Dashboard!$F$17,MAX(0,P31-Q31)*Dashboard!$F$6,0)</x:f>
      </x:c>
      <x:c r="S31" s="32" t="e">
        <x:f>IF(A31&lt;=Dashboard!$F$17,MIN(Dashboard!$F$10,MAX(0,P31-Q31)+R31),0)</x:f>
      </x:c>
      <x:c r="T31" s="32" t="e">
        <x:f>IF(A31&lt;=Dashboard!$F$17,MAX(0,P31-Q31-MAX(0,S31-R31)),0)</x:f>
      </x:c>
      <x:c r="U31" s="32" t="e">
        <x:f>IF(A31=1,R31,U30+R31)</x:f>
      </x:c>
      <x:c r="V31" s="32"/>
      <x:c r="W31" s="32" t="e">
        <x:f>IF(A31=1,Dashboard!$F$14,AA30)</x:f>
      </x:c>
      <x:c r="X31" s="32" t="e">
        <x:f>IF(AND(A31&lt;=Dashboard!$F$17,MOD(A31-1,12)=0),MIN(W31,$B$7),0)</x:f>
      </x:c>
      <x:c r="Y31" s="32" t="e">
        <x:f>IF(A31&lt;=Dashboard!$F$17,MAX(0,W31-X31)*Dashboard!$F$6,0)</x:f>
      </x:c>
      <x:c r="Z31" s="32" t="e">
        <x:f>IF(A31&lt;=Dashboard!$F$17,MIN(Dashboard!$F$10,MAX(0,W31-X31)+Y31),0)</x:f>
      </x:c>
      <x:c r="AA31" s="32" t="e">
        <x:f>IF(A31&lt;=Dashboard!$F$17,MAX(0,W31-X31-MAX(0,Z31-Y31)),0)</x:f>
      </x:c>
      <x:c r="AB31" s="32" t="e">
        <x:f>IF(A31=1,Y31,AB30+Y31)</x:f>
      </x:c>
      <x:c r="AC31" s="32"/>
      <x:c r="AD31" s="32" t="e">
        <x:f>IF(A31=1,MAX(0,Dashboard!$F$14-$B$8),AG30)</x:f>
      </x:c>
      <x:c r="AE31" s="32" t="n">
        <x:f>0</x:f>
        <x:v>0</x:v>
      </x:c>
      <x:c r="AF31" s="32" t="e">
        <x:f>IF(A31&lt;=Dashboard!$F$17,AD31*Dashboard!$F$6,0)</x:f>
      </x:c>
      <x:c r="AG31" s="32" t="e">
        <x:f>IF(A31&lt;=Dashboard!$F$17,MIN(Dashboard!$F$10,AD31+AF31),0)</x:f>
      </x:c>
      <x:c r="AH31" s="32" t="e">
        <x:f>IF(A31&lt;=Dashboard!$F$17,MAX(0,AD31-MAX(0,AG31-AF31)),0)</x:f>
      </x:c>
      <x:c r="AI31" s="32" t="e">
        <x:f>IF(A31=1,AF31,AI30+AF31)</x:f>
      </x:c>
      <x:c r="AJ31" s="33"/>
      <x:c r="AK31" s="33"/>
      <x:c r="AL31" s="33"/>
      <x:c r="AM31" s="33"/>
    </x:row>
    <x:row r="32">
      <x:c r="A32" s="33" t="n">
        <x:v>20</x:v>
      </x:c>
      <x:c r="B32" s="32" t="e">
        <x:f>IF(A32=1,Dashboard!$F$14,F31)</x:f>
      </x:c>
      <x:c r="C32" s="32" t="n">
        <x:f>0</x:f>
        <x:v>0</x:v>
      </x:c>
      <x:c r="D32" s="32" t="e">
        <x:f>IF(A32&lt;=Dashboard!$F$15,B32*Dashboard!$F$6,0)</x:f>
      </x:c>
      <x:c r="E32" s="32" t="e">
        <x:f>IF(A32&lt;=Dashboard!$F$15,MIN(Dashboard!$F$10,B32+D32),0)</x:f>
      </x:c>
      <x:c r="F32" s="32" t="e">
        <x:f>IF(A32&lt;=Dashboard!$F$15,MAX(0,B32-MAX(0,E32-D32)),0)</x:f>
      </x:c>
      <x:c r="G32" s="32" t="e">
        <x:f>IF(A32=1,D32,G31+D32)</x:f>
      </x:c>
      <x:c r="H32" s="32"/>
      <x:c r="I32" s="32" t="e">
        <x:f>IF(A32=1,Dashboard!$F$14,M31)</x:f>
      </x:c>
      <x:c r="J32" s="32" t="e">
        <x:f>IF(A32&lt;=Dashboard!$F$17,MIN(I32,$B$5),0)</x:f>
      </x:c>
      <x:c r="K32" s="32" t="e">
        <x:f>IF(A32&lt;=Dashboard!$F$17,MAX(0,I32-J32)*Dashboard!$F$6,0)</x:f>
      </x:c>
      <x:c r="L32" s="32" t="e">
        <x:f>IF(A32&lt;=Dashboard!$F$17,MIN(Dashboard!$F$10,MAX(0,I32-J32)+K32),0)</x:f>
      </x:c>
      <x:c r="M32" s="32" t="e">
        <x:f>IF(A32&lt;=Dashboard!$F$17,MAX(0,I32-J32-MAX(0,L32-K32)),0)</x:f>
      </x:c>
      <x:c r="N32" s="32" t="e">
        <x:f>IF(A32=1,K32,N31+K32)</x:f>
      </x:c>
      <x:c r="O32" s="32"/>
      <x:c r="P32" s="32" t="e">
        <x:f>IF(A32=1,Dashboard!$F$14,T31)</x:f>
      </x:c>
      <x:c r="Q32" s="32" t="e">
        <x:f>IF(A32&lt;=Dashboard!$F$17,MIN(P32,$B$6*52/12),0)</x:f>
      </x:c>
      <x:c r="R32" s="32" t="e">
        <x:f>IF(A32&lt;=Dashboard!$F$17,MAX(0,P32-Q32)*Dashboard!$F$6,0)</x:f>
      </x:c>
      <x:c r="S32" s="32" t="e">
        <x:f>IF(A32&lt;=Dashboard!$F$17,MIN(Dashboard!$F$10,MAX(0,P32-Q32)+R32),0)</x:f>
      </x:c>
      <x:c r="T32" s="32" t="e">
        <x:f>IF(A32&lt;=Dashboard!$F$17,MAX(0,P32-Q32-MAX(0,S32-R32)),0)</x:f>
      </x:c>
      <x:c r="U32" s="32" t="e">
        <x:f>IF(A32=1,R32,U31+R32)</x:f>
      </x:c>
      <x:c r="V32" s="32"/>
      <x:c r="W32" s="32" t="e">
        <x:f>IF(A32=1,Dashboard!$F$14,AA31)</x:f>
      </x:c>
      <x:c r="X32" s="32" t="e">
        <x:f>IF(AND(A32&lt;=Dashboard!$F$17,MOD(A32-1,12)=0),MIN(W32,$B$7),0)</x:f>
      </x:c>
      <x:c r="Y32" s="32" t="e">
        <x:f>IF(A32&lt;=Dashboard!$F$17,MAX(0,W32-X32)*Dashboard!$F$6,0)</x:f>
      </x:c>
      <x:c r="Z32" s="32" t="e">
        <x:f>IF(A32&lt;=Dashboard!$F$17,MIN(Dashboard!$F$10,MAX(0,W32-X32)+Y32),0)</x:f>
      </x:c>
      <x:c r="AA32" s="32" t="e">
        <x:f>IF(A32&lt;=Dashboard!$F$17,MAX(0,W32-X32-MAX(0,Z32-Y32)),0)</x:f>
      </x:c>
      <x:c r="AB32" s="32" t="e">
        <x:f>IF(A32=1,Y32,AB31+Y32)</x:f>
      </x:c>
      <x:c r="AC32" s="32"/>
      <x:c r="AD32" s="32" t="e">
        <x:f>IF(A32=1,MAX(0,Dashboard!$F$14-$B$8),AG31)</x:f>
      </x:c>
      <x:c r="AE32" s="32" t="n">
        <x:f>0</x:f>
        <x:v>0</x:v>
      </x:c>
      <x:c r="AF32" s="32" t="e">
        <x:f>IF(A32&lt;=Dashboard!$F$17,AD32*Dashboard!$F$6,0)</x:f>
      </x:c>
      <x:c r="AG32" s="32" t="e">
        <x:f>IF(A32&lt;=Dashboard!$F$17,MIN(Dashboard!$F$10,AD32+AF32),0)</x:f>
      </x:c>
      <x:c r="AH32" s="32" t="e">
        <x:f>IF(A32&lt;=Dashboard!$F$17,MAX(0,AD32-MAX(0,AG32-AF32)),0)</x:f>
      </x:c>
      <x:c r="AI32" s="32" t="e">
        <x:f>IF(A32=1,AF32,AI31+AF32)</x:f>
      </x:c>
      <x:c r="AJ32" s="33"/>
      <x:c r="AK32" s="33"/>
      <x:c r="AL32" s="33"/>
      <x:c r="AM32" s="33"/>
    </x:row>
    <x:row r="33">
      <x:c r="A33" s="33" t="n">
        <x:v>21</x:v>
      </x:c>
      <x:c r="B33" s="32" t="e">
        <x:f>IF(A33=1,Dashboard!$F$14,F32)</x:f>
      </x:c>
      <x:c r="C33" s="32" t="n">
        <x:f>0</x:f>
        <x:v>0</x:v>
      </x:c>
      <x:c r="D33" s="32" t="e">
        <x:f>IF(A33&lt;=Dashboard!$F$15,B33*Dashboard!$F$6,0)</x:f>
      </x:c>
      <x:c r="E33" s="32" t="e">
        <x:f>IF(A33&lt;=Dashboard!$F$15,MIN(Dashboard!$F$10,B33+D33),0)</x:f>
      </x:c>
      <x:c r="F33" s="32" t="e">
        <x:f>IF(A33&lt;=Dashboard!$F$15,MAX(0,B33-MAX(0,E33-D33)),0)</x:f>
      </x:c>
      <x:c r="G33" s="32" t="e">
        <x:f>IF(A33=1,D33,G32+D33)</x:f>
      </x:c>
      <x:c r="H33" s="32"/>
      <x:c r="I33" s="32" t="e">
        <x:f>IF(A33=1,Dashboard!$F$14,M32)</x:f>
      </x:c>
      <x:c r="J33" s="32" t="e">
        <x:f>IF(A33&lt;=Dashboard!$F$17,MIN(I33,$B$5),0)</x:f>
      </x:c>
      <x:c r="K33" s="32" t="e">
        <x:f>IF(A33&lt;=Dashboard!$F$17,MAX(0,I33-J33)*Dashboard!$F$6,0)</x:f>
      </x:c>
      <x:c r="L33" s="32" t="e">
        <x:f>IF(A33&lt;=Dashboard!$F$17,MIN(Dashboard!$F$10,MAX(0,I33-J33)+K33),0)</x:f>
      </x:c>
      <x:c r="M33" s="32" t="e">
        <x:f>IF(A33&lt;=Dashboard!$F$17,MAX(0,I33-J33-MAX(0,L33-K33)),0)</x:f>
      </x:c>
      <x:c r="N33" s="32" t="e">
        <x:f>IF(A33=1,K33,N32+K33)</x:f>
      </x:c>
      <x:c r="O33" s="32"/>
      <x:c r="P33" s="32" t="e">
        <x:f>IF(A33=1,Dashboard!$F$14,T32)</x:f>
      </x:c>
      <x:c r="Q33" s="32" t="e">
        <x:f>IF(A33&lt;=Dashboard!$F$17,MIN(P33,$B$6*52/12),0)</x:f>
      </x:c>
      <x:c r="R33" s="32" t="e">
        <x:f>IF(A33&lt;=Dashboard!$F$17,MAX(0,P33-Q33)*Dashboard!$F$6,0)</x:f>
      </x:c>
      <x:c r="S33" s="32" t="e">
        <x:f>IF(A33&lt;=Dashboard!$F$17,MIN(Dashboard!$F$10,MAX(0,P33-Q33)+R33),0)</x:f>
      </x:c>
      <x:c r="T33" s="32" t="e">
        <x:f>IF(A33&lt;=Dashboard!$F$17,MAX(0,P33-Q33-MAX(0,S33-R33)),0)</x:f>
      </x:c>
      <x:c r="U33" s="32" t="e">
        <x:f>IF(A33=1,R33,U32+R33)</x:f>
      </x:c>
      <x:c r="V33" s="32"/>
      <x:c r="W33" s="32" t="e">
        <x:f>IF(A33=1,Dashboard!$F$14,AA32)</x:f>
      </x:c>
      <x:c r="X33" s="32" t="e">
        <x:f>IF(AND(A33&lt;=Dashboard!$F$17,MOD(A33-1,12)=0),MIN(W33,$B$7),0)</x:f>
      </x:c>
      <x:c r="Y33" s="32" t="e">
        <x:f>IF(A33&lt;=Dashboard!$F$17,MAX(0,W33-X33)*Dashboard!$F$6,0)</x:f>
      </x:c>
      <x:c r="Z33" s="32" t="e">
        <x:f>IF(A33&lt;=Dashboard!$F$17,MIN(Dashboard!$F$10,MAX(0,W33-X33)+Y33),0)</x:f>
      </x:c>
      <x:c r="AA33" s="32" t="e">
        <x:f>IF(A33&lt;=Dashboard!$F$17,MAX(0,W33-X33-MAX(0,Z33-Y33)),0)</x:f>
      </x:c>
      <x:c r="AB33" s="32" t="e">
        <x:f>IF(A33=1,Y33,AB32+Y33)</x:f>
      </x:c>
      <x:c r="AC33" s="32"/>
      <x:c r="AD33" s="32" t="e">
        <x:f>IF(A33=1,MAX(0,Dashboard!$F$14-$B$8),AG32)</x:f>
      </x:c>
      <x:c r="AE33" s="32" t="n">
        <x:f>0</x:f>
        <x:v>0</x:v>
      </x:c>
      <x:c r="AF33" s="32" t="e">
        <x:f>IF(A33&lt;=Dashboard!$F$17,AD33*Dashboard!$F$6,0)</x:f>
      </x:c>
      <x:c r="AG33" s="32" t="e">
        <x:f>IF(A33&lt;=Dashboard!$F$17,MIN(Dashboard!$F$10,AD33+AF33),0)</x:f>
      </x:c>
      <x:c r="AH33" s="32" t="e">
        <x:f>IF(A33&lt;=Dashboard!$F$17,MAX(0,AD33-MAX(0,AG33-AF33)),0)</x:f>
      </x:c>
      <x:c r="AI33" s="32" t="e">
        <x:f>IF(A33=1,AF33,AI32+AF33)</x:f>
      </x:c>
      <x:c r="AJ33" s="33"/>
      <x:c r="AK33" s="33"/>
      <x:c r="AL33" s="33"/>
      <x:c r="AM33" s="33"/>
    </x:row>
    <x:row r="34">
      <x:c r="A34" s="33" t="n">
        <x:v>22</x:v>
      </x:c>
      <x:c r="B34" s="32" t="e">
        <x:f>IF(A34=1,Dashboard!$F$14,F33)</x:f>
      </x:c>
      <x:c r="C34" s="32" t="n">
        <x:f>0</x:f>
        <x:v>0</x:v>
      </x:c>
      <x:c r="D34" s="32" t="e">
        <x:f>IF(A34&lt;=Dashboard!$F$15,B34*Dashboard!$F$6,0)</x:f>
      </x:c>
      <x:c r="E34" s="32" t="e">
        <x:f>IF(A34&lt;=Dashboard!$F$15,MIN(Dashboard!$F$10,B34+D34),0)</x:f>
      </x:c>
      <x:c r="F34" s="32" t="e">
        <x:f>IF(A34&lt;=Dashboard!$F$15,MAX(0,B34-MAX(0,E34-D34)),0)</x:f>
      </x:c>
      <x:c r="G34" s="32" t="e">
        <x:f>IF(A34=1,D34,G33+D34)</x:f>
      </x:c>
      <x:c r="H34" s="32"/>
      <x:c r="I34" s="32" t="e">
        <x:f>IF(A34=1,Dashboard!$F$14,M33)</x:f>
      </x:c>
      <x:c r="J34" s="32" t="e">
        <x:f>IF(A34&lt;=Dashboard!$F$17,MIN(I34,$B$5),0)</x:f>
      </x:c>
      <x:c r="K34" s="32" t="e">
        <x:f>IF(A34&lt;=Dashboard!$F$17,MAX(0,I34-J34)*Dashboard!$F$6,0)</x:f>
      </x:c>
      <x:c r="L34" s="32" t="e">
        <x:f>IF(A34&lt;=Dashboard!$F$17,MIN(Dashboard!$F$10,MAX(0,I34-J34)+K34),0)</x:f>
      </x:c>
      <x:c r="M34" s="32" t="e">
        <x:f>IF(A34&lt;=Dashboard!$F$17,MAX(0,I34-J34-MAX(0,L34-K34)),0)</x:f>
      </x:c>
      <x:c r="N34" s="32" t="e">
        <x:f>IF(A34=1,K34,N33+K34)</x:f>
      </x:c>
      <x:c r="O34" s="32"/>
      <x:c r="P34" s="32" t="e">
        <x:f>IF(A34=1,Dashboard!$F$14,T33)</x:f>
      </x:c>
      <x:c r="Q34" s="32" t="e">
        <x:f>IF(A34&lt;=Dashboard!$F$17,MIN(P34,$B$6*52/12),0)</x:f>
      </x:c>
      <x:c r="R34" s="32" t="e">
        <x:f>IF(A34&lt;=Dashboard!$F$17,MAX(0,P34-Q34)*Dashboard!$F$6,0)</x:f>
      </x:c>
      <x:c r="S34" s="32" t="e">
        <x:f>IF(A34&lt;=Dashboard!$F$17,MIN(Dashboard!$F$10,MAX(0,P34-Q34)+R34),0)</x:f>
      </x:c>
      <x:c r="T34" s="32" t="e">
        <x:f>IF(A34&lt;=Dashboard!$F$17,MAX(0,P34-Q34-MAX(0,S34-R34)),0)</x:f>
      </x:c>
      <x:c r="U34" s="32" t="e">
        <x:f>IF(A34=1,R34,U33+R34)</x:f>
      </x:c>
      <x:c r="V34" s="32"/>
      <x:c r="W34" s="32" t="e">
        <x:f>IF(A34=1,Dashboard!$F$14,AA33)</x:f>
      </x:c>
      <x:c r="X34" s="32" t="e">
        <x:f>IF(AND(A34&lt;=Dashboard!$F$17,MOD(A34-1,12)=0),MIN(W34,$B$7),0)</x:f>
      </x:c>
      <x:c r="Y34" s="32" t="e">
        <x:f>IF(A34&lt;=Dashboard!$F$17,MAX(0,W34-X34)*Dashboard!$F$6,0)</x:f>
      </x:c>
      <x:c r="Z34" s="32" t="e">
        <x:f>IF(A34&lt;=Dashboard!$F$17,MIN(Dashboard!$F$10,MAX(0,W34-X34)+Y34),0)</x:f>
      </x:c>
      <x:c r="AA34" s="32" t="e">
        <x:f>IF(A34&lt;=Dashboard!$F$17,MAX(0,W34-X34-MAX(0,Z34-Y34)),0)</x:f>
      </x:c>
      <x:c r="AB34" s="32" t="e">
        <x:f>IF(A34=1,Y34,AB33+Y34)</x:f>
      </x:c>
      <x:c r="AC34" s="32"/>
      <x:c r="AD34" s="32" t="e">
        <x:f>IF(A34=1,MAX(0,Dashboard!$F$14-$B$8),AG33)</x:f>
      </x:c>
      <x:c r="AE34" s="32" t="n">
        <x:f>0</x:f>
        <x:v>0</x:v>
      </x:c>
      <x:c r="AF34" s="32" t="e">
        <x:f>IF(A34&lt;=Dashboard!$F$17,AD34*Dashboard!$F$6,0)</x:f>
      </x:c>
      <x:c r="AG34" s="32" t="e">
        <x:f>IF(A34&lt;=Dashboard!$F$17,MIN(Dashboard!$F$10,AD34+AF34),0)</x:f>
      </x:c>
      <x:c r="AH34" s="32" t="e">
        <x:f>IF(A34&lt;=Dashboard!$F$17,MAX(0,AD34-MAX(0,AG34-AF34)),0)</x:f>
      </x:c>
      <x:c r="AI34" s="32" t="e">
        <x:f>IF(A34=1,AF34,AI33+AF34)</x:f>
      </x:c>
      <x:c r="AJ34" s="33"/>
      <x:c r="AK34" s="33"/>
      <x:c r="AL34" s="33"/>
      <x:c r="AM34" s="33"/>
    </x:row>
    <x:row r="35">
      <x:c r="A35" s="33" t="n">
        <x:v>23</x:v>
      </x:c>
      <x:c r="B35" s="32" t="e">
        <x:f>IF(A35=1,Dashboard!$F$14,F34)</x:f>
      </x:c>
      <x:c r="C35" s="32" t="n">
        <x:f>0</x:f>
        <x:v>0</x:v>
      </x:c>
      <x:c r="D35" s="32" t="e">
        <x:f>IF(A35&lt;=Dashboard!$F$15,B35*Dashboard!$F$6,0)</x:f>
      </x:c>
      <x:c r="E35" s="32" t="e">
        <x:f>IF(A35&lt;=Dashboard!$F$15,MIN(Dashboard!$F$10,B35+D35),0)</x:f>
      </x:c>
      <x:c r="F35" s="32" t="e">
        <x:f>IF(A35&lt;=Dashboard!$F$15,MAX(0,B35-MAX(0,E35-D35)),0)</x:f>
      </x:c>
      <x:c r="G35" s="32" t="e">
        <x:f>IF(A35=1,D35,G34+D35)</x:f>
      </x:c>
      <x:c r="H35" s="32"/>
      <x:c r="I35" s="32" t="e">
        <x:f>IF(A35=1,Dashboard!$F$14,M34)</x:f>
      </x:c>
      <x:c r="J35" s="32" t="e">
        <x:f>IF(A35&lt;=Dashboard!$F$17,MIN(I35,$B$5),0)</x:f>
      </x:c>
      <x:c r="K35" s="32" t="e">
        <x:f>IF(A35&lt;=Dashboard!$F$17,MAX(0,I35-J35)*Dashboard!$F$6,0)</x:f>
      </x:c>
      <x:c r="L35" s="32" t="e">
        <x:f>IF(A35&lt;=Dashboard!$F$17,MIN(Dashboard!$F$10,MAX(0,I35-J35)+K35),0)</x:f>
      </x:c>
      <x:c r="M35" s="32" t="e">
        <x:f>IF(A35&lt;=Dashboard!$F$17,MAX(0,I35-J35-MAX(0,L35-K35)),0)</x:f>
      </x:c>
      <x:c r="N35" s="32" t="e">
        <x:f>IF(A35=1,K35,N34+K35)</x:f>
      </x:c>
      <x:c r="O35" s="32"/>
      <x:c r="P35" s="32" t="e">
        <x:f>IF(A35=1,Dashboard!$F$14,T34)</x:f>
      </x:c>
      <x:c r="Q35" s="32" t="e">
        <x:f>IF(A35&lt;=Dashboard!$F$17,MIN(P35,$B$6*52/12),0)</x:f>
      </x:c>
      <x:c r="R35" s="32" t="e">
        <x:f>IF(A35&lt;=Dashboard!$F$17,MAX(0,P35-Q35)*Dashboard!$F$6,0)</x:f>
      </x:c>
      <x:c r="S35" s="32" t="e">
        <x:f>IF(A35&lt;=Dashboard!$F$17,MIN(Dashboard!$F$10,MAX(0,P35-Q35)+R35),0)</x:f>
      </x:c>
      <x:c r="T35" s="32" t="e">
        <x:f>IF(A35&lt;=Dashboard!$F$17,MAX(0,P35-Q35-MAX(0,S35-R35)),0)</x:f>
      </x:c>
      <x:c r="U35" s="32" t="e">
        <x:f>IF(A35=1,R35,U34+R35)</x:f>
      </x:c>
      <x:c r="V35" s="32"/>
      <x:c r="W35" s="32" t="e">
        <x:f>IF(A35=1,Dashboard!$F$14,AA34)</x:f>
      </x:c>
      <x:c r="X35" s="32" t="e">
        <x:f>IF(AND(A35&lt;=Dashboard!$F$17,MOD(A35-1,12)=0),MIN(W35,$B$7),0)</x:f>
      </x:c>
      <x:c r="Y35" s="32" t="e">
        <x:f>IF(A35&lt;=Dashboard!$F$17,MAX(0,W35-X35)*Dashboard!$F$6,0)</x:f>
      </x:c>
      <x:c r="Z35" s="32" t="e">
        <x:f>IF(A35&lt;=Dashboard!$F$17,MIN(Dashboard!$F$10,MAX(0,W35-X35)+Y35),0)</x:f>
      </x:c>
      <x:c r="AA35" s="32" t="e">
        <x:f>IF(A35&lt;=Dashboard!$F$17,MAX(0,W35-X35-MAX(0,Z35-Y35)),0)</x:f>
      </x:c>
      <x:c r="AB35" s="32" t="e">
        <x:f>IF(A35=1,Y35,AB34+Y35)</x:f>
      </x:c>
      <x:c r="AC35" s="32"/>
      <x:c r="AD35" s="32" t="e">
        <x:f>IF(A35=1,MAX(0,Dashboard!$F$14-$B$8),AG34)</x:f>
      </x:c>
      <x:c r="AE35" s="32" t="n">
        <x:f>0</x:f>
        <x:v>0</x:v>
      </x:c>
      <x:c r="AF35" s="32" t="e">
        <x:f>IF(A35&lt;=Dashboard!$F$17,AD35*Dashboard!$F$6,0)</x:f>
      </x:c>
      <x:c r="AG35" s="32" t="e">
        <x:f>IF(A35&lt;=Dashboard!$F$17,MIN(Dashboard!$F$10,AD35+AF35),0)</x:f>
      </x:c>
      <x:c r="AH35" s="32" t="e">
        <x:f>IF(A35&lt;=Dashboard!$F$17,MAX(0,AD35-MAX(0,AG35-AF35)),0)</x:f>
      </x:c>
      <x:c r="AI35" s="32" t="e">
        <x:f>IF(A35=1,AF35,AI34+AF35)</x:f>
      </x:c>
      <x:c r="AJ35" s="33"/>
      <x:c r="AK35" s="33"/>
      <x:c r="AL35" s="33"/>
      <x:c r="AM35" s="33"/>
    </x:row>
    <x:row r="36">
      <x:c r="A36" s="33" t="n">
        <x:v>24</x:v>
      </x:c>
      <x:c r="B36" s="32" t="e">
        <x:f>IF(A36=1,Dashboard!$F$14,F35)</x:f>
      </x:c>
      <x:c r="C36" s="32" t="n">
        <x:f>0</x:f>
        <x:v>0</x:v>
      </x:c>
      <x:c r="D36" s="32" t="e">
        <x:f>IF(A36&lt;=Dashboard!$F$15,B36*Dashboard!$F$6,0)</x:f>
      </x:c>
      <x:c r="E36" s="32" t="e">
        <x:f>IF(A36&lt;=Dashboard!$F$15,MIN(Dashboard!$F$10,B36+D36),0)</x:f>
      </x:c>
      <x:c r="F36" s="32" t="e">
        <x:f>IF(A36&lt;=Dashboard!$F$15,MAX(0,B36-MAX(0,E36-D36)),0)</x:f>
      </x:c>
      <x:c r="G36" s="32" t="e">
        <x:f>IF(A36=1,D36,G35+D36)</x:f>
      </x:c>
      <x:c r="H36" s="32"/>
      <x:c r="I36" s="32" t="e">
        <x:f>IF(A36=1,Dashboard!$F$14,M35)</x:f>
      </x:c>
      <x:c r="J36" s="32" t="e">
        <x:f>IF(A36&lt;=Dashboard!$F$17,MIN(I36,$B$5),0)</x:f>
      </x:c>
      <x:c r="K36" s="32" t="e">
        <x:f>IF(A36&lt;=Dashboard!$F$17,MAX(0,I36-J36)*Dashboard!$F$6,0)</x:f>
      </x:c>
      <x:c r="L36" s="32" t="e">
        <x:f>IF(A36&lt;=Dashboard!$F$17,MIN(Dashboard!$F$10,MAX(0,I36-J36)+K36),0)</x:f>
      </x:c>
      <x:c r="M36" s="32" t="e">
        <x:f>IF(A36&lt;=Dashboard!$F$17,MAX(0,I36-J36-MAX(0,L36-K36)),0)</x:f>
      </x:c>
      <x:c r="N36" s="32" t="e">
        <x:f>IF(A36=1,K36,N35+K36)</x:f>
      </x:c>
      <x:c r="O36" s="32"/>
      <x:c r="P36" s="32" t="e">
        <x:f>IF(A36=1,Dashboard!$F$14,T35)</x:f>
      </x:c>
      <x:c r="Q36" s="32" t="e">
        <x:f>IF(A36&lt;=Dashboard!$F$17,MIN(P36,$B$6*52/12),0)</x:f>
      </x:c>
      <x:c r="R36" s="32" t="e">
        <x:f>IF(A36&lt;=Dashboard!$F$17,MAX(0,P36-Q36)*Dashboard!$F$6,0)</x:f>
      </x:c>
      <x:c r="S36" s="32" t="e">
        <x:f>IF(A36&lt;=Dashboard!$F$17,MIN(Dashboard!$F$10,MAX(0,P36-Q36)+R36),0)</x:f>
      </x:c>
      <x:c r="T36" s="32" t="e">
        <x:f>IF(A36&lt;=Dashboard!$F$17,MAX(0,P36-Q36-MAX(0,S36-R36)),0)</x:f>
      </x:c>
      <x:c r="U36" s="32" t="e">
        <x:f>IF(A36=1,R36,U35+R36)</x:f>
      </x:c>
      <x:c r="V36" s="32"/>
      <x:c r="W36" s="32" t="e">
        <x:f>IF(A36=1,Dashboard!$F$14,AA35)</x:f>
      </x:c>
      <x:c r="X36" s="32" t="e">
        <x:f>IF(AND(A36&lt;=Dashboard!$F$17,MOD(A36-1,12)=0),MIN(W36,$B$7),0)</x:f>
      </x:c>
      <x:c r="Y36" s="32" t="e">
        <x:f>IF(A36&lt;=Dashboard!$F$17,MAX(0,W36-X36)*Dashboard!$F$6,0)</x:f>
      </x:c>
      <x:c r="Z36" s="32" t="e">
        <x:f>IF(A36&lt;=Dashboard!$F$17,MIN(Dashboard!$F$10,MAX(0,W36-X36)+Y36),0)</x:f>
      </x:c>
      <x:c r="AA36" s="32" t="e">
        <x:f>IF(A36&lt;=Dashboard!$F$17,MAX(0,W36-X36-MAX(0,Z36-Y36)),0)</x:f>
      </x:c>
      <x:c r="AB36" s="32" t="e">
        <x:f>IF(A36=1,Y36,AB35+Y36)</x:f>
      </x:c>
      <x:c r="AC36" s="32"/>
      <x:c r="AD36" s="32" t="e">
        <x:f>IF(A36=1,MAX(0,Dashboard!$F$14-$B$8),AG35)</x:f>
      </x:c>
      <x:c r="AE36" s="32" t="n">
        <x:f>0</x:f>
        <x:v>0</x:v>
      </x:c>
      <x:c r="AF36" s="32" t="e">
        <x:f>IF(A36&lt;=Dashboard!$F$17,AD36*Dashboard!$F$6,0)</x:f>
      </x:c>
      <x:c r="AG36" s="32" t="e">
        <x:f>IF(A36&lt;=Dashboard!$F$17,MIN(Dashboard!$F$10,AD36+AF36),0)</x:f>
      </x:c>
      <x:c r="AH36" s="32" t="e">
        <x:f>IF(A36&lt;=Dashboard!$F$17,MAX(0,AD36-MAX(0,AG36-AF36)),0)</x:f>
      </x:c>
      <x:c r="AI36" s="32" t="e">
        <x:f>IF(A36=1,AF36,AI35+AF36)</x:f>
      </x:c>
      <x:c r="AJ36" s="33"/>
      <x:c r="AK36" s="33"/>
      <x:c r="AL36" s="33"/>
      <x:c r="AM36" s="33"/>
    </x:row>
    <x:row r="37">
      <x:c r="A37" s="33" t="n">
        <x:v>25</x:v>
      </x:c>
      <x:c r="B37" s="32" t="e">
        <x:f>IF(A37=1,Dashboard!$F$14,F36)</x:f>
      </x:c>
      <x:c r="C37" s="32" t="n">
        <x:f>0</x:f>
        <x:v>0</x:v>
      </x:c>
      <x:c r="D37" s="32" t="e">
        <x:f>IF(A37&lt;=Dashboard!$F$15,B37*Dashboard!$F$6,0)</x:f>
      </x:c>
      <x:c r="E37" s="32" t="e">
        <x:f>IF(A37&lt;=Dashboard!$F$15,MIN(Dashboard!$F$10,B37+D37),0)</x:f>
      </x:c>
      <x:c r="F37" s="32" t="e">
        <x:f>IF(A37&lt;=Dashboard!$F$15,MAX(0,B37-MAX(0,E37-D37)),0)</x:f>
      </x:c>
      <x:c r="G37" s="32" t="e">
        <x:f>IF(A37=1,D37,G36+D37)</x:f>
      </x:c>
      <x:c r="H37" s="32"/>
      <x:c r="I37" s="32" t="e">
        <x:f>IF(A37=1,Dashboard!$F$14,M36)</x:f>
      </x:c>
      <x:c r="J37" s="32" t="e">
        <x:f>IF(A37&lt;=Dashboard!$F$17,MIN(I37,$B$5),0)</x:f>
      </x:c>
      <x:c r="K37" s="32" t="e">
        <x:f>IF(A37&lt;=Dashboard!$F$17,MAX(0,I37-J37)*Dashboard!$F$6,0)</x:f>
      </x:c>
      <x:c r="L37" s="32" t="e">
        <x:f>IF(A37&lt;=Dashboard!$F$17,MIN(Dashboard!$F$10,MAX(0,I37-J37)+K37),0)</x:f>
      </x:c>
      <x:c r="M37" s="32" t="e">
        <x:f>IF(A37&lt;=Dashboard!$F$17,MAX(0,I37-J37-MAX(0,L37-K37)),0)</x:f>
      </x:c>
      <x:c r="N37" s="32" t="e">
        <x:f>IF(A37=1,K37,N36+K37)</x:f>
      </x:c>
      <x:c r="O37" s="32"/>
      <x:c r="P37" s="32" t="e">
        <x:f>IF(A37=1,Dashboard!$F$14,T36)</x:f>
      </x:c>
      <x:c r="Q37" s="32" t="e">
        <x:f>IF(A37&lt;=Dashboard!$F$17,MIN(P37,$B$6*52/12),0)</x:f>
      </x:c>
      <x:c r="R37" s="32" t="e">
        <x:f>IF(A37&lt;=Dashboard!$F$17,MAX(0,P37-Q37)*Dashboard!$F$6,0)</x:f>
      </x:c>
      <x:c r="S37" s="32" t="e">
        <x:f>IF(A37&lt;=Dashboard!$F$17,MIN(Dashboard!$F$10,MAX(0,P37-Q37)+R37),0)</x:f>
      </x:c>
      <x:c r="T37" s="32" t="e">
        <x:f>IF(A37&lt;=Dashboard!$F$17,MAX(0,P37-Q37-MAX(0,S37-R37)),0)</x:f>
      </x:c>
      <x:c r="U37" s="32" t="e">
        <x:f>IF(A37=1,R37,U36+R37)</x:f>
      </x:c>
      <x:c r="V37" s="32"/>
      <x:c r="W37" s="32" t="e">
        <x:f>IF(A37=1,Dashboard!$F$14,AA36)</x:f>
      </x:c>
      <x:c r="X37" s="32" t="e">
        <x:f>IF(AND(A37&lt;=Dashboard!$F$17,MOD(A37-1,12)=0),MIN(W37,$B$7),0)</x:f>
      </x:c>
      <x:c r="Y37" s="32" t="e">
        <x:f>IF(A37&lt;=Dashboard!$F$17,MAX(0,W37-X37)*Dashboard!$F$6,0)</x:f>
      </x:c>
      <x:c r="Z37" s="32" t="e">
        <x:f>IF(A37&lt;=Dashboard!$F$17,MIN(Dashboard!$F$10,MAX(0,W37-X37)+Y37),0)</x:f>
      </x:c>
      <x:c r="AA37" s="32" t="e">
        <x:f>IF(A37&lt;=Dashboard!$F$17,MAX(0,W37-X37-MAX(0,Z37-Y37)),0)</x:f>
      </x:c>
      <x:c r="AB37" s="32" t="e">
        <x:f>IF(A37=1,Y37,AB36+Y37)</x:f>
      </x:c>
      <x:c r="AC37" s="32"/>
      <x:c r="AD37" s="32" t="e">
        <x:f>IF(A37=1,MAX(0,Dashboard!$F$14-$B$8),AG36)</x:f>
      </x:c>
      <x:c r="AE37" s="32" t="n">
        <x:f>0</x:f>
        <x:v>0</x:v>
      </x:c>
      <x:c r="AF37" s="32" t="e">
        <x:f>IF(A37&lt;=Dashboard!$F$17,AD37*Dashboard!$F$6,0)</x:f>
      </x:c>
      <x:c r="AG37" s="32" t="e">
        <x:f>IF(A37&lt;=Dashboard!$F$17,MIN(Dashboard!$F$10,AD37+AF37),0)</x:f>
      </x:c>
      <x:c r="AH37" s="32" t="e">
        <x:f>IF(A37&lt;=Dashboard!$F$17,MAX(0,AD37-MAX(0,AG37-AF37)),0)</x:f>
      </x:c>
      <x:c r="AI37" s="32" t="e">
        <x:f>IF(A37=1,AF37,AI36+AF37)</x:f>
      </x:c>
      <x:c r="AJ37" s="33"/>
      <x:c r="AK37" s="33"/>
      <x:c r="AL37" s="33"/>
      <x:c r="AM37" s="33"/>
    </x:row>
    <x:row r="38">
      <x:c r="A38" s="33" t="n">
        <x:v>26</x:v>
      </x:c>
      <x:c r="B38" s="32" t="e">
        <x:f>IF(A38=1,Dashboard!$F$14,F37)</x:f>
      </x:c>
      <x:c r="C38" s="32" t="n">
        <x:f>0</x:f>
        <x:v>0</x:v>
      </x:c>
      <x:c r="D38" s="32" t="e">
        <x:f>IF(A38&lt;=Dashboard!$F$15,B38*Dashboard!$F$6,0)</x:f>
      </x:c>
      <x:c r="E38" s="32" t="e">
        <x:f>IF(A38&lt;=Dashboard!$F$15,MIN(Dashboard!$F$10,B38+D38),0)</x:f>
      </x:c>
      <x:c r="F38" s="32" t="e">
        <x:f>IF(A38&lt;=Dashboard!$F$15,MAX(0,B38-MAX(0,E38-D38)),0)</x:f>
      </x:c>
      <x:c r="G38" s="32" t="e">
        <x:f>IF(A38=1,D38,G37+D38)</x:f>
      </x:c>
      <x:c r="H38" s="32"/>
      <x:c r="I38" s="32" t="e">
        <x:f>IF(A38=1,Dashboard!$F$14,M37)</x:f>
      </x:c>
      <x:c r="J38" s="32" t="e">
        <x:f>IF(A38&lt;=Dashboard!$F$17,MIN(I38,$B$5),0)</x:f>
      </x:c>
      <x:c r="K38" s="32" t="e">
        <x:f>IF(A38&lt;=Dashboard!$F$17,MAX(0,I38-J38)*Dashboard!$F$6,0)</x:f>
      </x:c>
      <x:c r="L38" s="32" t="e">
        <x:f>IF(A38&lt;=Dashboard!$F$17,MIN(Dashboard!$F$10,MAX(0,I38-J38)+K38),0)</x:f>
      </x:c>
      <x:c r="M38" s="32" t="e">
        <x:f>IF(A38&lt;=Dashboard!$F$17,MAX(0,I38-J38-MAX(0,L38-K38)),0)</x:f>
      </x:c>
      <x:c r="N38" s="32" t="e">
        <x:f>IF(A38=1,K38,N37+K38)</x:f>
      </x:c>
      <x:c r="O38" s="32"/>
      <x:c r="P38" s="32" t="e">
        <x:f>IF(A38=1,Dashboard!$F$14,T37)</x:f>
      </x:c>
      <x:c r="Q38" s="32" t="e">
        <x:f>IF(A38&lt;=Dashboard!$F$17,MIN(P38,$B$6*52/12),0)</x:f>
      </x:c>
      <x:c r="R38" s="32" t="e">
        <x:f>IF(A38&lt;=Dashboard!$F$17,MAX(0,P38-Q38)*Dashboard!$F$6,0)</x:f>
      </x:c>
      <x:c r="S38" s="32" t="e">
        <x:f>IF(A38&lt;=Dashboard!$F$17,MIN(Dashboard!$F$10,MAX(0,P38-Q38)+R38),0)</x:f>
      </x:c>
      <x:c r="T38" s="32" t="e">
        <x:f>IF(A38&lt;=Dashboard!$F$17,MAX(0,P38-Q38-MAX(0,S38-R38)),0)</x:f>
      </x:c>
      <x:c r="U38" s="32" t="e">
        <x:f>IF(A38=1,R38,U37+R38)</x:f>
      </x:c>
      <x:c r="V38" s="32"/>
      <x:c r="W38" s="32" t="e">
        <x:f>IF(A38=1,Dashboard!$F$14,AA37)</x:f>
      </x:c>
      <x:c r="X38" s="32" t="e">
        <x:f>IF(AND(A38&lt;=Dashboard!$F$17,MOD(A38-1,12)=0),MIN(W38,$B$7),0)</x:f>
      </x:c>
      <x:c r="Y38" s="32" t="e">
        <x:f>IF(A38&lt;=Dashboard!$F$17,MAX(0,W38-X38)*Dashboard!$F$6,0)</x:f>
      </x:c>
      <x:c r="Z38" s="32" t="e">
        <x:f>IF(A38&lt;=Dashboard!$F$17,MIN(Dashboard!$F$10,MAX(0,W38-X38)+Y38),0)</x:f>
      </x:c>
      <x:c r="AA38" s="32" t="e">
        <x:f>IF(A38&lt;=Dashboard!$F$17,MAX(0,W38-X38-MAX(0,Z38-Y38)),0)</x:f>
      </x:c>
      <x:c r="AB38" s="32" t="e">
        <x:f>IF(A38=1,Y38,AB37+Y38)</x:f>
      </x:c>
      <x:c r="AC38" s="32"/>
      <x:c r="AD38" s="32" t="e">
        <x:f>IF(A38=1,MAX(0,Dashboard!$F$14-$B$8),AG37)</x:f>
      </x:c>
      <x:c r="AE38" s="32" t="n">
        <x:f>0</x:f>
        <x:v>0</x:v>
      </x:c>
      <x:c r="AF38" s="32" t="e">
        <x:f>IF(A38&lt;=Dashboard!$F$17,AD38*Dashboard!$F$6,0)</x:f>
      </x:c>
      <x:c r="AG38" s="32" t="e">
        <x:f>IF(A38&lt;=Dashboard!$F$17,MIN(Dashboard!$F$10,AD38+AF38),0)</x:f>
      </x:c>
      <x:c r="AH38" s="32" t="e">
        <x:f>IF(A38&lt;=Dashboard!$F$17,MAX(0,AD38-MAX(0,AG38-AF38)),0)</x:f>
      </x:c>
      <x:c r="AI38" s="32" t="e">
        <x:f>IF(A38=1,AF38,AI37+AF38)</x:f>
      </x:c>
      <x:c r="AJ38" s="33"/>
      <x:c r="AK38" s="33"/>
      <x:c r="AL38" s="33"/>
      <x:c r="AM38" s="33"/>
    </x:row>
    <x:row r="39">
      <x:c r="A39" s="33" t="n">
        <x:v>27</x:v>
      </x:c>
      <x:c r="B39" s="32" t="e">
        <x:f>IF(A39=1,Dashboard!$F$14,F38)</x:f>
      </x:c>
      <x:c r="C39" s="32" t="n">
        <x:f>0</x:f>
        <x:v>0</x:v>
      </x:c>
      <x:c r="D39" s="32" t="e">
        <x:f>IF(A39&lt;=Dashboard!$F$15,B39*Dashboard!$F$6,0)</x:f>
      </x:c>
      <x:c r="E39" s="32" t="e">
        <x:f>IF(A39&lt;=Dashboard!$F$15,MIN(Dashboard!$F$10,B39+D39),0)</x:f>
      </x:c>
      <x:c r="F39" s="32" t="e">
        <x:f>IF(A39&lt;=Dashboard!$F$15,MAX(0,B39-MAX(0,E39-D39)),0)</x:f>
      </x:c>
      <x:c r="G39" s="32" t="e">
        <x:f>IF(A39=1,D39,G38+D39)</x:f>
      </x:c>
      <x:c r="H39" s="32"/>
      <x:c r="I39" s="32" t="e">
        <x:f>IF(A39=1,Dashboard!$F$14,M38)</x:f>
      </x:c>
      <x:c r="J39" s="32" t="e">
        <x:f>IF(A39&lt;=Dashboard!$F$17,MIN(I39,$B$5),0)</x:f>
      </x:c>
      <x:c r="K39" s="32" t="e">
        <x:f>IF(A39&lt;=Dashboard!$F$17,MAX(0,I39-J39)*Dashboard!$F$6,0)</x:f>
      </x:c>
      <x:c r="L39" s="32" t="e">
        <x:f>IF(A39&lt;=Dashboard!$F$17,MIN(Dashboard!$F$10,MAX(0,I39-J39)+K39),0)</x:f>
      </x:c>
      <x:c r="M39" s="32" t="e">
        <x:f>IF(A39&lt;=Dashboard!$F$17,MAX(0,I39-J39-MAX(0,L39-K39)),0)</x:f>
      </x:c>
      <x:c r="N39" s="32" t="e">
        <x:f>IF(A39=1,K39,N38+K39)</x:f>
      </x:c>
      <x:c r="O39" s="32"/>
      <x:c r="P39" s="32" t="e">
        <x:f>IF(A39=1,Dashboard!$F$14,T38)</x:f>
      </x:c>
      <x:c r="Q39" s="32" t="e">
        <x:f>IF(A39&lt;=Dashboard!$F$17,MIN(P39,$B$6*52/12),0)</x:f>
      </x:c>
      <x:c r="R39" s="32" t="e">
        <x:f>IF(A39&lt;=Dashboard!$F$17,MAX(0,P39-Q39)*Dashboard!$F$6,0)</x:f>
      </x:c>
      <x:c r="S39" s="32" t="e">
        <x:f>IF(A39&lt;=Dashboard!$F$17,MIN(Dashboard!$F$10,MAX(0,P39-Q39)+R39),0)</x:f>
      </x:c>
      <x:c r="T39" s="32" t="e">
        <x:f>IF(A39&lt;=Dashboard!$F$17,MAX(0,P39-Q39-MAX(0,S39-R39)),0)</x:f>
      </x:c>
      <x:c r="U39" s="32" t="e">
        <x:f>IF(A39=1,R39,U38+R39)</x:f>
      </x:c>
      <x:c r="V39" s="32"/>
      <x:c r="W39" s="32" t="e">
        <x:f>IF(A39=1,Dashboard!$F$14,AA38)</x:f>
      </x:c>
      <x:c r="X39" s="32" t="e">
        <x:f>IF(AND(A39&lt;=Dashboard!$F$17,MOD(A39-1,12)=0),MIN(W39,$B$7),0)</x:f>
      </x:c>
      <x:c r="Y39" s="32" t="e">
        <x:f>IF(A39&lt;=Dashboard!$F$17,MAX(0,W39-X39)*Dashboard!$F$6,0)</x:f>
      </x:c>
      <x:c r="Z39" s="32" t="e">
        <x:f>IF(A39&lt;=Dashboard!$F$17,MIN(Dashboard!$F$10,MAX(0,W39-X39)+Y39),0)</x:f>
      </x:c>
      <x:c r="AA39" s="32" t="e">
        <x:f>IF(A39&lt;=Dashboard!$F$17,MAX(0,W39-X39-MAX(0,Z39-Y39)),0)</x:f>
      </x:c>
      <x:c r="AB39" s="32" t="e">
        <x:f>IF(A39=1,Y39,AB38+Y39)</x:f>
      </x:c>
      <x:c r="AC39" s="32"/>
      <x:c r="AD39" s="32" t="e">
        <x:f>IF(A39=1,MAX(0,Dashboard!$F$14-$B$8),AG38)</x:f>
      </x:c>
      <x:c r="AE39" s="32" t="n">
        <x:f>0</x:f>
        <x:v>0</x:v>
      </x:c>
      <x:c r="AF39" s="32" t="e">
        <x:f>IF(A39&lt;=Dashboard!$F$17,AD39*Dashboard!$F$6,0)</x:f>
      </x:c>
      <x:c r="AG39" s="32" t="e">
        <x:f>IF(A39&lt;=Dashboard!$F$17,MIN(Dashboard!$F$10,AD39+AF39),0)</x:f>
      </x:c>
      <x:c r="AH39" s="32" t="e">
        <x:f>IF(A39&lt;=Dashboard!$F$17,MAX(0,AD39-MAX(0,AG39-AF39)),0)</x:f>
      </x:c>
      <x:c r="AI39" s="32" t="e">
        <x:f>IF(A39=1,AF39,AI38+AF39)</x:f>
      </x:c>
      <x:c r="AJ39" s="33"/>
      <x:c r="AK39" s="33"/>
      <x:c r="AL39" s="33"/>
      <x:c r="AM39" s="33"/>
    </x:row>
    <x:row r="40">
      <x:c r="A40" s="33" t="n">
        <x:v>28</x:v>
      </x:c>
      <x:c r="B40" s="32" t="e">
        <x:f>IF(A40=1,Dashboard!$F$14,F39)</x:f>
      </x:c>
      <x:c r="C40" s="32" t="n">
        <x:f>0</x:f>
        <x:v>0</x:v>
      </x:c>
      <x:c r="D40" s="32" t="e">
        <x:f>IF(A40&lt;=Dashboard!$F$15,B40*Dashboard!$F$6,0)</x:f>
      </x:c>
      <x:c r="E40" s="32" t="e">
        <x:f>IF(A40&lt;=Dashboard!$F$15,MIN(Dashboard!$F$10,B40+D40),0)</x:f>
      </x:c>
      <x:c r="F40" s="32" t="e">
        <x:f>IF(A40&lt;=Dashboard!$F$15,MAX(0,B40-MAX(0,E40-D40)),0)</x:f>
      </x:c>
      <x:c r="G40" s="32" t="e">
        <x:f>IF(A40=1,D40,G39+D40)</x:f>
      </x:c>
      <x:c r="H40" s="32"/>
      <x:c r="I40" s="32" t="e">
        <x:f>IF(A40=1,Dashboard!$F$14,M39)</x:f>
      </x:c>
      <x:c r="J40" s="32" t="e">
        <x:f>IF(A40&lt;=Dashboard!$F$17,MIN(I40,$B$5),0)</x:f>
      </x:c>
      <x:c r="K40" s="32" t="e">
        <x:f>IF(A40&lt;=Dashboard!$F$17,MAX(0,I40-J40)*Dashboard!$F$6,0)</x:f>
      </x:c>
      <x:c r="L40" s="32" t="e">
        <x:f>IF(A40&lt;=Dashboard!$F$17,MIN(Dashboard!$F$10,MAX(0,I40-J40)+K40),0)</x:f>
      </x:c>
      <x:c r="M40" s="32" t="e">
        <x:f>IF(A40&lt;=Dashboard!$F$17,MAX(0,I40-J40-MAX(0,L40-K40)),0)</x:f>
      </x:c>
      <x:c r="N40" s="32" t="e">
        <x:f>IF(A40=1,K40,N39+K40)</x:f>
      </x:c>
      <x:c r="O40" s="32"/>
      <x:c r="P40" s="32" t="e">
        <x:f>IF(A40=1,Dashboard!$F$14,T39)</x:f>
      </x:c>
      <x:c r="Q40" s="32" t="e">
        <x:f>IF(A40&lt;=Dashboard!$F$17,MIN(P40,$B$6*52/12),0)</x:f>
      </x:c>
      <x:c r="R40" s="32" t="e">
        <x:f>IF(A40&lt;=Dashboard!$F$17,MAX(0,P40-Q40)*Dashboard!$F$6,0)</x:f>
      </x:c>
      <x:c r="S40" s="32" t="e">
        <x:f>IF(A40&lt;=Dashboard!$F$17,MIN(Dashboard!$F$10,MAX(0,P40-Q40)+R40),0)</x:f>
      </x:c>
      <x:c r="T40" s="32" t="e">
        <x:f>IF(A40&lt;=Dashboard!$F$17,MAX(0,P40-Q40-MAX(0,S40-R40)),0)</x:f>
      </x:c>
      <x:c r="U40" s="32" t="e">
        <x:f>IF(A40=1,R40,U39+R40)</x:f>
      </x:c>
      <x:c r="V40" s="32"/>
      <x:c r="W40" s="32" t="e">
        <x:f>IF(A40=1,Dashboard!$F$14,AA39)</x:f>
      </x:c>
      <x:c r="X40" s="32" t="e">
        <x:f>IF(AND(A40&lt;=Dashboard!$F$17,MOD(A40-1,12)=0),MIN(W40,$B$7),0)</x:f>
      </x:c>
      <x:c r="Y40" s="32" t="e">
        <x:f>IF(A40&lt;=Dashboard!$F$17,MAX(0,W40-X40)*Dashboard!$F$6,0)</x:f>
      </x:c>
      <x:c r="Z40" s="32" t="e">
        <x:f>IF(A40&lt;=Dashboard!$F$17,MIN(Dashboard!$F$10,MAX(0,W40-X40)+Y40),0)</x:f>
      </x:c>
      <x:c r="AA40" s="32" t="e">
        <x:f>IF(A40&lt;=Dashboard!$F$17,MAX(0,W40-X40-MAX(0,Z40-Y40)),0)</x:f>
      </x:c>
      <x:c r="AB40" s="32" t="e">
        <x:f>IF(A40=1,Y40,AB39+Y40)</x:f>
      </x:c>
      <x:c r="AC40" s="32"/>
      <x:c r="AD40" s="32" t="e">
        <x:f>IF(A40=1,MAX(0,Dashboard!$F$14-$B$8),AG39)</x:f>
      </x:c>
      <x:c r="AE40" s="32" t="n">
        <x:f>0</x:f>
        <x:v>0</x:v>
      </x:c>
      <x:c r="AF40" s="32" t="e">
        <x:f>IF(A40&lt;=Dashboard!$F$17,AD40*Dashboard!$F$6,0)</x:f>
      </x:c>
      <x:c r="AG40" s="32" t="e">
        <x:f>IF(A40&lt;=Dashboard!$F$17,MIN(Dashboard!$F$10,AD40+AF40),0)</x:f>
      </x:c>
      <x:c r="AH40" s="32" t="e">
        <x:f>IF(A40&lt;=Dashboard!$F$17,MAX(0,AD40-MAX(0,AG40-AF40)),0)</x:f>
      </x:c>
      <x:c r="AI40" s="32" t="e">
        <x:f>IF(A40=1,AF40,AI39+AF40)</x:f>
      </x:c>
      <x:c r="AJ40" s="33"/>
      <x:c r="AK40" s="33"/>
      <x:c r="AL40" s="33"/>
      <x:c r="AM40" s="33"/>
    </x:row>
    <x:row r="41">
      <x:c r="A41" s="33" t="n">
        <x:v>29</x:v>
      </x:c>
      <x:c r="B41" s="32" t="e">
        <x:f>IF(A41=1,Dashboard!$F$14,F40)</x:f>
      </x:c>
      <x:c r="C41" s="32" t="n">
        <x:f>0</x:f>
        <x:v>0</x:v>
      </x:c>
      <x:c r="D41" s="32" t="e">
        <x:f>IF(A41&lt;=Dashboard!$F$15,B41*Dashboard!$F$6,0)</x:f>
      </x:c>
      <x:c r="E41" s="32" t="e">
        <x:f>IF(A41&lt;=Dashboard!$F$15,MIN(Dashboard!$F$10,B41+D41),0)</x:f>
      </x:c>
      <x:c r="F41" s="32" t="e">
        <x:f>IF(A41&lt;=Dashboard!$F$15,MAX(0,B41-MAX(0,E41-D41)),0)</x:f>
      </x:c>
      <x:c r="G41" s="32" t="e">
        <x:f>IF(A41=1,D41,G40+D41)</x:f>
      </x:c>
      <x:c r="H41" s="32"/>
      <x:c r="I41" s="32" t="e">
        <x:f>IF(A41=1,Dashboard!$F$14,M40)</x:f>
      </x:c>
      <x:c r="J41" s="32" t="e">
        <x:f>IF(A41&lt;=Dashboard!$F$17,MIN(I41,$B$5),0)</x:f>
      </x:c>
      <x:c r="K41" s="32" t="e">
        <x:f>IF(A41&lt;=Dashboard!$F$17,MAX(0,I41-J41)*Dashboard!$F$6,0)</x:f>
      </x:c>
      <x:c r="L41" s="32" t="e">
        <x:f>IF(A41&lt;=Dashboard!$F$17,MIN(Dashboard!$F$10,MAX(0,I41-J41)+K41),0)</x:f>
      </x:c>
      <x:c r="M41" s="32" t="e">
        <x:f>IF(A41&lt;=Dashboard!$F$17,MAX(0,I41-J41-MAX(0,L41-K41)),0)</x:f>
      </x:c>
      <x:c r="N41" s="32" t="e">
        <x:f>IF(A41=1,K41,N40+K41)</x:f>
      </x:c>
      <x:c r="O41" s="32"/>
      <x:c r="P41" s="32" t="e">
        <x:f>IF(A41=1,Dashboard!$F$14,T40)</x:f>
      </x:c>
      <x:c r="Q41" s="32" t="e">
        <x:f>IF(A41&lt;=Dashboard!$F$17,MIN(P41,$B$6*52/12),0)</x:f>
      </x:c>
      <x:c r="R41" s="32" t="e">
        <x:f>IF(A41&lt;=Dashboard!$F$17,MAX(0,P41-Q41)*Dashboard!$F$6,0)</x:f>
      </x:c>
      <x:c r="S41" s="32" t="e">
        <x:f>IF(A41&lt;=Dashboard!$F$17,MIN(Dashboard!$F$10,MAX(0,P41-Q41)+R41),0)</x:f>
      </x:c>
      <x:c r="T41" s="32" t="e">
        <x:f>IF(A41&lt;=Dashboard!$F$17,MAX(0,P41-Q41-MAX(0,S41-R41)),0)</x:f>
      </x:c>
      <x:c r="U41" s="32" t="e">
        <x:f>IF(A41=1,R41,U40+R41)</x:f>
      </x:c>
      <x:c r="V41" s="32"/>
      <x:c r="W41" s="32" t="e">
        <x:f>IF(A41=1,Dashboard!$F$14,AA40)</x:f>
      </x:c>
      <x:c r="X41" s="32" t="e">
        <x:f>IF(AND(A41&lt;=Dashboard!$F$17,MOD(A41-1,12)=0),MIN(W41,$B$7),0)</x:f>
      </x:c>
      <x:c r="Y41" s="32" t="e">
        <x:f>IF(A41&lt;=Dashboard!$F$17,MAX(0,W41-X41)*Dashboard!$F$6,0)</x:f>
      </x:c>
      <x:c r="Z41" s="32" t="e">
        <x:f>IF(A41&lt;=Dashboard!$F$17,MIN(Dashboard!$F$10,MAX(0,W41-X41)+Y41),0)</x:f>
      </x:c>
      <x:c r="AA41" s="32" t="e">
        <x:f>IF(A41&lt;=Dashboard!$F$17,MAX(0,W41-X41-MAX(0,Z41-Y41)),0)</x:f>
      </x:c>
      <x:c r="AB41" s="32" t="e">
        <x:f>IF(A41=1,Y41,AB40+Y41)</x:f>
      </x:c>
      <x:c r="AC41" s="32"/>
      <x:c r="AD41" s="32" t="e">
        <x:f>IF(A41=1,MAX(0,Dashboard!$F$14-$B$8),AG40)</x:f>
      </x:c>
      <x:c r="AE41" s="32" t="n">
        <x:f>0</x:f>
        <x:v>0</x:v>
      </x:c>
      <x:c r="AF41" s="32" t="e">
        <x:f>IF(A41&lt;=Dashboard!$F$17,AD41*Dashboard!$F$6,0)</x:f>
      </x:c>
      <x:c r="AG41" s="32" t="e">
        <x:f>IF(A41&lt;=Dashboard!$F$17,MIN(Dashboard!$F$10,AD41+AF41),0)</x:f>
      </x:c>
      <x:c r="AH41" s="32" t="e">
        <x:f>IF(A41&lt;=Dashboard!$F$17,MAX(0,AD41-MAX(0,AG41-AF41)),0)</x:f>
      </x:c>
      <x:c r="AI41" s="32" t="e">
        <x:f>IF(A41=1,AF41,AI40+AF41)</x:f>
      </x:c>
      <x:c r="AJ41" s="33"/>
      <x:c r="AK41" s="33"/>
      <x:c r="AL41" s="33"/>
      <x:c r="AM41" s="33"/>
    </x:row>
    <x:row r="42">
      <x:c r="A42" s="33" t="n">
        <x:v>30</x:v>
      </x:c>
      <x:c r="B42" s="32" t="e">
        <x:f>IF(A42=1,Dashboard!$F$14,F41)</x:f>
      </x:c>
      <x:c r="C42" s="32" t="n">
        <x:f>0</x:f>
        <x:v>0</x:v>
      </x:c>
      <x:c r="D42" s="32" t="e">
        <x:f>IF(A42&lt;=Dashboard!$F$15,B42*Dashboard!$F$6,0)</x:f>
      </x:c>
      <x:c r="E42" s="32" t="e">
        <x:f>IF(A42&lt;=Dashboard!$F$15,MIN(Dashboard!$F$10,B42+D42),0)</x:f>
      </x:c>
      <x:c r="F42" s="32" t="e">
        <x:f>IF(A42&lt;=Dashboard!$F$15,MAX(0,B42-MAX(0,E42-D42)),0)</x:f>
      </x:c>
      <x:c r="G42" s="32" t="e">
        <x:f>IF(A42=1,D42,G41+D42)</x:f>
      </x:c>
      <x:c r="H42" s="32"/>
      <x:c r="I42" s="32" t="e">
        <x:f>IF(A42=1,Dashboard!$F$14,M41)</x:f>
      </x:c>
      <x:c r="J42" s="32" t="e">
        <x:f>IF(A42&lt;=Dashboard!$F$17,MIN(I42,$B$5),0)</x:f>
      </x:c>
      <x:c r="K42" s="32" t="e">
        <x:f>IF(A42&lt;=Dashboard!$F$17,MAX(0,I42-J42)*Dashboard!$F$6,0)</x:f>
      </x:c>
      <x:c r="L42" s="32" t="e">
        <x:f>IF(A42&lt;=Dashboard!$F$17,MIN(Dashboard!$F$10,MAX(0,I42-J42)+K42),0)</x:f>
      </x:c>
      <x:c r="M42" s="32" t="e">
        <x:f>IF(A42&lt;=Dashboard!$F$17,MAX(0,I42-J42-MAX(0,L42-K42)),0)</x:f>
      </x:c>
      <x:c r="N42" s="32" t="e">
        <x:f>IF(A42=1,K42,N41+K42)</x:f>
      </x:c>
      <x:c r="O42" s="32"/>
      <x:c r="P42" s="32" t="e">
        <x:f>IF(A42=1,Dashboard!$F$14,T41)</x:f>
      </x:c>
      <x:c r="Q42" s="32" t="e">
        <x:f>IF(A42&lt;=Dashboard!$F$17,MIN(P42,$B$6*52/12),0)</x:f>
      </x:c>
      <x:c r="R42" s="32" t="e">
        <x:f>IF(A42&lt;=Dashboard!$F$17,MAX(0,P42-Q42)*Dashboard!$F$6,0)</x:f>
      </x:c>
      <x:c r="S42" s="32" t="e">
        <x:f>IF(A42&lt;=Dashboard!$F$17,MIN(Dashboard!$F$10,MAX(0,P42-Q42)+R42),0)</x:f>
      </x:c>
      <x:c r="T42" s="32" t="e">
        <x:f>IF(A42&lt;=Dashboard!$F$17,MAX(0,P42-Q42-MAX(0,S42-R42)),0)</x:f>
      </x:c>
      <x:c r="U42" s="32" t="e">
        <x:f>IF(A42=1,R42,U41+R42)</x:f>
      </x:c>
      <x:c r="V42" s="32"/>
      <x:c r="W42" s="32" t="e">
        <x:f>IF(A42=1,Dashboard!$F$14,AA41)</x:f>
      </x:c>
      <x:c r="X42" s="32" t="e">
        <x:f>IF(AND(A42&lt;=Dashboard!$F$17,MOD(A42-1,12)=0),MIN(W42,$B$7),0)</x:f>
      </x:c>
      <x:c r="Y42" s="32" t="e">
        <x:f>IF(A42&lt;=Dashboard!$F$17,MAX(0,W42-X42)*Dashboard!$F$6,0)</x:f>
      </x:c>
      <x:c r="Z42" s="32" t="e">
        <x:f>IF(A42&lt;=Dashboard!$F$17,MIN(Dashboard!$F$10,MAX(0,W42-X42)+Y42),0)</x:f>
      </x:c>
      <x:c r="AA42" s="32" t="e">
        <x:f>IF(A42&lt;=Dashboard!$F$17,MAX(0,W42-X42-MAX(0,Z42-Y42)),0)</x:f>
      </x:c>
      <x:c r="AB42" s="32" t="e">
        <x:f>IF(A42=1,Y42,AB41+Y42)</x:f>
      </x:c>
      <x:c r="AC42" s="32"/>
      <x:c r="AD42" s="32" t="e">
        <x:f>IF(A42=1,MAX(0,Dashboard!$F$14-$B$8),AG41)</x:f>
      </x:c>
      <x:c r="AE42" s="32" t="n">
        <x:f>0</x:f>
        <x:v>0</x:v>
      </x:c>
      <x:c r="AF42" s="32" t="e">
        <x:f>IF(A42&lt;=Dashboard!$F$17,AD42*Dashboard!$F$6,0)</x:f>
      </x:c>
      <x:c r="AG42" s="32" t="e">
        <x:f>IF(A42&lt;=Dashboard!$F$17,MIN(Dashboard!$F$10,AD42+AF42),0)</x:f>
      </x:c>
      <x:c r="AH42" s="32" t="e">
        <x:f>IF(A42&lt;=Dashboard!$F$17,MAX(0,AD42-MAX(0,AG42-AF42)),0)</x:f>
      </x:c>
      <x:c r="AI42" s="32" t="e">
        <x:f>IF(A42=1,AF42,AI41+AF42)</x:f>
      </x:c>
      <x:c r="AJ42" s="33"/>
      <x:c r="AK42" s="33"/>
      <x:c r="AL42" s="33"/>
      <x:c r="AM42" s="33"/>
    </x:row>
    <x:row r="43">
      <x:c r="A43" s="33" t="n">
        <x:v>31</x:v>
      </x:c>
      <x:c r="B43" s="32" t="e">
        <x:f>IF(A43=1,Dashboard!$F$14,F42)</x:f>
      </x:c>
      <x:c r="C43" s="32" t="n">
        <x:f>0</x:f>
        <x:v>0</x:v>
      </x:c>
      <x:c r="D43" s="32" t="e">
        <x:f>IF(A43&lt;=Dashboard!$F$15,B43*Dashboard!$F$6,0)</x:f>
      </x:c>
      <x:c r="E43" s="32" t="e">
        <x:f>IF(A43&lt;=Dashboard!$F$15,MIN(Dashboard!$F$10,B43+D43),0)</x:f>
      </x:c>
      <x:c r="F43" s="32" t="e">
        <x:f>IF(A43&lt;=Dashboard!$F$15,MAX(0,B43-MAX(0,E43-D43)),0)</x:f>
      </x:c>
      <x:c r="G43" s="32" t="e">
        <x:f>IF(A43=1,D43,G42+D43)</x:f>
      </x:c>
      <x:c r="H43" s="32"/>
      <x:c r="I43" s="32" t="e">
        <x:f>IF(A43=1,Dashboard!$F$14,M42)</x:f>
      </x:c>
      <x:c r="J43" s="32" t="e">
        <x:f>IF(A43&lt;=Dashboard!$F$17,MIN(I43,$B$5),0)</x:f>
      </x:c>
      <x:c r="K43" s="32" t="e">
        <x:f>IF(A43&lt;=Dashboard!$F$17,MAX(0,I43-J43)*Dashboard!$F$6,0)</x:f>
      </x:c>
      <x:c r="L43" s="32" t="e">
        <x:f>IF(A43&lt;=Dashboard!$F$17,MIN(Dashboard!$F$10,MAX(0,I43-J43)+K43),0)</x:f>
      </x:c>
      <x:c r="M43" s="32" t="e">
        <x:f>IF(A43&lt;=Dashboard!$F$17,MAX(0,I43-J43-MAX(0,L43-K43)),0)</x:f>
      </x:c>
      <x:c r="N43" s="32" t="e">
        <x:f>IF(A43=1,K43,N42+K43)</x:f>
      </x:c>
      <x:c r="O43" s="32"/>
      <x:c r="P43" s="32" t="e">
        <x:f>IF(A43=1,Dashboard!$F$14,T42)</x:f>
      </x:c>
      <x:c r="Q43" s="32" t="e">
        <x:f>IF(A43&lt;=Dashboard!$F$17,MIN(P43,$B$6*52/12),0)</x:f>
      </x:c>
      <x:c r="R43" s="32" t="e">
        <x:f>IF(A43&lt;=Dashboard!$F$17,MAX(0,P43-Q43)*Dashboard!$F$6,0)</x:f>
      </x:c>
      <x:c r="S43" s="32" t="e">
        <x:f>IF(A43&lt;=Dashboard!$F$17,MIN(Dashboard!$F$10,MAX(0,P43-Q43)+R43),0)</x:f>
      </x:c>
      <x:c r="T43" s="32" t="e">
        <x:f>IF(A43&lt;=Dashboard!$F$17,MAX(0,P43-Q43-MAX(0,S43-R43)),0)</x:f>
      </x:c>
      <x:c r="U43" s="32" t="e">
        <x:f>IF(A43=1,R43,U42+R43)</x:f>
      </x:c>
      <x:c r="V43" s="32"/>
      <x:c r="W43" s="32" t="e">
        <x:f>IF(A43=1,Dashboard!$F$14,AA42)</x:f>
      </x:c>
      <x:c r="X43" s="32" t="e">
        <x:f>IF(AND(A43&lt;=Dashboard!$F$17,MOD(A43-1,12)=0),MIN(W43,$B$7),0)</x:f>
      </x:c>
      <x:c r="Y43" s="32" t="e">
        <x:f>IF(A43&lt;=Dashboard!$F$17,MAX(0,W43-X43)*Dashboard!$F$6,0)</x:f>
      </x:c>
      <x:c r="Z43" s="32" t="e">
        <x:f>IF(A43&lt;=Dashboard!$F$17,MIN(Dashboard!$F$10,MAX(0,W43-X43)+Y43),0)</x:f>
      </x:c>
      <x:c r="AA43" s="32" t="e">
        <x:f>IF(A43&lt;=Dashboard!$F$17,MAX(0,W43-X43-MAX(0,Z43-Y43)),0)</x:f>
      </x:c>
      <x:c r="AB43" s="32" t="e">
        <x:f>IF(A43=1,Y43,AB42+Y43)</x:f>
      </x:c>
      <x:c r="AC43" s="32"/>
      <x:c r="AD43" s="32" t="e">
        <x:f>IF(A43=1,MAX(0,Dashboard!$F$14-$B$8),AG42)</x:f>
      </x:c>
      <x:c r="AE43" s="32" t="n">
        <x:f>0</x:f>
        <x:v>0</x:v>
      </x:c>
      <x:c r="AF43" s="32" t="e">
        <x:f>IF(A43&lt;=Dashboard!$F$17,AD43*Dashboard!$F$6,0)</x:f>
      </x:c>
      <x:c r="AG43" s="32" t="e">
        <x:f>IF(A43&lt;=Dashboard!$F$17,MIN(Dashboard!$F$10,AD43+AF43),0)</x:f>
      </x:c>
      <x:c r="AH43" s="32" t="e">
        <x:f>IF(A43&lt;=Dashboard!$F$17,MAX(0,AD43-MAX(0,AG43-AF43)),0)</x:f>
      </x:c>
      <x:c r="AI43" s="32" t="e">
        <x:f>IF(A43=1,AF43,AI42+AF43)</x:f>
      </x:c>
      <x:c r="AJ43" s="33"/>
      <x:c r="AK43" s="33"/>
      <x:c r="AL43" s="33"/>
      <x:c r="AM43" s="33"/>
    </x:row>
    <x:row r="44">
      <x:c r="A44" s="33" t="n">
        <x:v>32</x:v>
      </x:c>
      <x:c r="B44" s="32" t="e">
        <x:f>IF(A44=1,Dashboard!$F$14,F43)</x:f>
      </x:c>
      <x:c r="C44" s="32" t="n">
        <x:f>0</x:f>
        <x:v>0</x:v>
      </x:c>
      <x:c r="D44" s="32" t="e">
        <x:f>IF(A44&lt;=Dashboard!$F$15,B44*Dashboard!$F$6,0)</x:f>
      </x:c>
      <x:c r="E44" s="32" t="e">
        <x:f>IF(A44&lt;=Dashboard!$F$15,MIN(Dashboard!$F$10,B44+D44),0)</x:f>
      </x:c>
      <x:c r="F44" s="32" t="e">
        <x:f>IF(A44&lt;=Dashboard!$F$15,MAX(0,B44-MAX(0,E44-D44)),0)</x:f>
      </x:c>
      <x:c r="G44" s="32" t="e">
        <x:f>IF(A44=1,D44,G43+D44)</x:f>
      </x:c>
      <x:c r="H44" s="32"/>
      <x:c r="I44" s="32" t="e">
        <x:f>IF(A44=1,Dashboard!$F$14,M43)</x:f>
      </x:c>
      <x:c r="J44" s="32" t="e">
        <x:f>IF(A44&lt;=Dashboard!$F$17,MIN(I44,$B$5),0)</x:f>
      </x:c>
      <x:c r="K44" s="32" t="e">
        <x:f>IF(A44&lt;=Dashboard!$F$17,MAX(0,I44-J44)*Dashboard!$F$6,0)</x:f>
      </x:c>
      <x:c r="L44" s="32" t="e">
        <x:f>IF(A44&lt;=Dashboard!$F$17,MIN(Dashboard!$F$10,MAX(0,I44-J44)+K44),0)</x:f>
      </x:c>
      <x:c r="M44" s="32" t="e">
        <x:f>IF(A44&lt;=Dashboard!$F$17,MAX(0,I44-J44-MAX(0,L44-K44)),0)</x:f>
      </x:c>
      <x:c r="N44" s="32" t="e">
        <x:f>IF(A44=1,K44,N43+K44)</x:f>
      </x:c>
      <x:c r="O44" s="32"/>
      <x:c r="P44" s="32" t="e">
        <x:f>IF(A44=1,Dashboard!$F$14,T43)</x:f>
      </x:c>
      <x:c r="Q44" s="32" t="e">
        <x:f>IF(A44&lt;=Dashboard!$F$17,MIN(P44,$B$6*52/12),0)</x:f>
      </x:c>
      <x:c r="R44" s="32" t="e">
        <x:f>IF(A44&lt;=Dashboard!$F$17,MAX(0,P44-Q44)*Dashboard!$F$6,0)</x:f>
      </x:c>
      <x:c r="S44" s="32" t="e">
        <x:f>IF(A44&lt;=Dashboard!$F$17,MIN(Dashboard!$F$10,MAX(0,P44-Q44)+R44),0)</x:f>
      </x:c>
      <x:c r="T44" s="32" t="e">
        <x:f>IF(A44&lt;=Dashboard!$F$17,MAX(0,P44-Q44-MAX(0,S44-R44)),0)</x:f>
      </x:c>
      <x:c r="U44" s="32" t="e">
        <x:f>IF(A44=1,R44,U43+R44)</x:f>
      </x:c>
      <x:c r="V44" s="32"/>
      <x:c r="W44" s="32" t="e">
        <x:f>IF(A44=1,Dashboard!$F$14,AA43)</x:f>
      </x:c>
      <x:c r="X44" s="32" t="e">
        <x:f>IF(AND(A44&lt;=Dashboard!$F$17,MOD(A44-1,12)=0),MIN(W44,$B$7),0)</x:f>
      </x:c>
      <x:c r="Y44" s="32" t="e">
        <x:f>IF(A44&lt;=Dashboard!$F$17,MAX(0,W44-X44)*Dashboard!$F$6,0)</x:f>
      </x:c>
      <x:c r="Z44" s="32" t="e">
        <x:f>IF(A44&lt;=Dashboard!$F$17,MIN(Dashboard!$F$10,MAX(0,W44-X44)+Y44),0)</x:f>
      </x:c>
      <x:c r="AA44" s="32" t="e">
        <x:f>IF(A44&lt;=Dashboard!$F$17,MAX(0,W44-X44-MAX(0,Z44-Y44)),0)</x:f>
      </x:c>
      <x:c r="AB44" s="32" t="e">
        <x:f>IF(A44=1,Y44,AB43+Y44)</x:f>
      </x:c>
      <x:c r="AC44" s="32"/>
      <x:c r="AD44" s="32" t="e">
        <x:f>IF(A44=1,MAX(0,Dashboard!$F$14-$B$8),AG43)</x:f>
      </x:c>
      <x:c r="AE44" s="32" t="n">
        <x:f>0</x:f>
        <x:v>0</x:v>
      </x:c>
      <x:c r="AF44" s="32" t="e">
        <x:f>IF(A44&lt;=Dashboard!$F$17,AD44*Dashboard!$F$6,0)</x:f>
      </x:c>
      <x:c r="AG44" s="32" t="e">
        <x:f>IF(A44&lt;=Dashboard!$F$17,MIN(Dashboard!$F$10,AD44+AF44),0)</x:f>
      </x:c>
      <x:c r="AH44" s="32" t="e">
        <x:f>IF(A44&lt;=Dashboard!$F$17,MAX(0,AD44-MAX(0,AG44-AF44)),0)</x:f>
      </x:c>
      <x:c r="AI44" s="32" t="e">
        <x:f>IF(A44=1,AF44,AI43+AF44)</x:f>
      </x:c>
      <x:c r="AJ44" s="33"/>
      <x:c r="AK44" s="33"/>
      <x:c r="AL44" s="33"/>
      <x:c r="AM44" s="33"/>
    </x:row>
    <x:row r="45">
      <x:c r="A45" s="33" t="n">
        <x:v>33</x:v>
      </x:c>
      <x:c r="B45" s="32" t="e">
        <x:f>IF(A45=1,Dashboard!$F$14,F44)</x:f>
      </x:c>
      <x:c r="C45" s="32" t="n">
        <x:f>0</x:f>
        <x:v>0</x:v>
      </x:c>
      <x:c r="D45" s="32" t="e">
        <x:f>IF(A45&lt;=Dashboard!$F$15,B45*Dashboard!$F$6,0)</x:f>
      </x:c>
      <x:c r="E45" s="32" t="e">
        <x:f>IF(A45&lt;=Dashboard!$F$15,MIN(Dashboard!$F$10,B45+D45),0)</x:f>
      </x:c>
      <x:c r="F45" s="32" t="e">
        <x:f>IF(A45&lt;=Dashboard!$F$15,MAX(0,B45-MAX(0,E45-D45)),0)</x:f>
      </x:c>
      <x:c r="G45" s="32" t="e">
        <x:f>IF(A45=1,D45,G44+D45)</x:f>
      </x:c>
      <x:c r="H45" s="32"/>
      <x:c r="I45" s="32" t="e">
        <x:f>IF(A45=1,Dashboard!$F$14,M44)</x:f>
      </x:c>
      <x:c r="J45" s="32" t="e">
        <x:f>IF(A45&lt;=Dashboard!$F$17,MIN(I45,$B$5),0)</x:f>
      </x:c>
      <x:c r="K45" s="32" t="e">
        <x:f>IF(A45&lt;=Dashboard!$F$17,MAX(0,I45-J45)*Dashboard!$F$6,0)</x:f>
      </x:c>
      <x:c r="L45" s="32" t="e">
        <x:f>IF(A45&lt;=Dashboard!$F$17,MIN(Dashboard!$F$10,MAX(0,I45-J45)+K45),0)</x:f>
      </x:c>
      <x:c r="M45" s="32" t="e">
        <x:f>IF(A45&lt;=Dashboard!$F$17,MAX(0,I45-J45-MAX(0,L45-K45)),0)</x:f>
      </x:c>
      <x:c r="N45" s="32" t="e">
        <x:f>IF(A45=1,K45,N44+K45)</x:f>
      </x:c>
      <x:c r="O45" s="32"/>
      <x:c r="P45" s="32" t="e">
        <x:f>IF(A45=1,Dashboard!$F$14,T44)</x:f>
      </x:c>
      <x:c r="Q45" s="32" t="e">
        <x:f>IF(A45&lt;=Dashboard!$F$17,MIN(P45,$B$6*52/12),0)</x:f>
      </x:c>
      <x:c r="R45" s="32" t="e">
        <x:f>IF(A45&lt;=Dashboard!$F$17,MAX(0,P45-Q45)*Dashboard!$F$6,0)</x:f>
      </x:c>
      <x:c r="S45" s="32" t="e">
        <x:f>IF(A45&lt;=Dashboard!$F$17,MIN(Dashboard!$F$10,MAX(0,P45-Q45)+R45),0)</x:f>
      </x:c>
      <x:c r="T45" s="32" t="e">
        <x:f>IF(A45&lt;=Dashboard!$F$17,MAX(0,P45-Q45-MAX(0,S45-R45)),0)</x:f>
      </x:c>
      <x:c r="U45" s="32" t="e">
        <x:f>IF(A45=1,R45,U44+R45)</x:f>
      </x:c>
      <x:c r="V45" s="32"/>
      <x:c r="W45" s="32" t="e">
        <x:f>IF(A45=1,Dashboard!$F$14,AA44)</x:f>
      </x:c>
      <x:c r="X45" s="32" t="e">
        <x:f>IF(AND(A45&lt;=Dashboard!$F$17,MOD(A45-1,12)=0),MIN(W45,$B$7),0)</x:f>
      </x:c>
      <x:c r="Y45" s="32" t="e">
        <x:f>IF(A45&lt;=Dashboard!$F$17,MAX(0,W45-X45)*Dashboard!$F$6,0)</x:f>
      </x:c>
      <x:c r="Z45" s="32" t="e">
        <x:f>IF(A45&lt;=Dashboard!$F$17,MIN(Dashboard!$F$10,MAX(0,W45-X45)+Y45),0)</x:f>
      </x:c>
      <x:c r="AA45" s="32" t="e">
        <x:f>IF(A45&lt;=Dashboard!$F$17,MAX(0,W45-X45-MAX(0,Z45-Y45)),0)</x:f>
      </x:c>
      <x:c r="AB45" s="32" t="e">
        <x:f>IF(A45=1,Y45,AB44+Y45)</x:f>
      </x:c>
      <x:c r="AC45" s="32"/>
      <x:c r="AD45" s="32" t="e">
        <x:f>IF(A45=1,MAX(0,Dashboard!$F$14-$B$8),AG44)</x:f>
      </x:c>
      <x:c r="AE45" s="32" t="n">
        <x:f>0</x:f>
        <x:v>0</x:v>
      </x:c>
      <x:c r="AF45" s="32" t="e">
        <x:f>IF(A45&lt;=Dashboard!$F$17,AD45*Dashboard!$F$6,0)</x:f>
      </x:c>
      <x:c r="AG45" s="32" t="e">
        <x:f>IF(A45&lt;=Dashboard!$F$17,MIN(Dashboard!$F$10,AD45+AF45),0)</x:f>
      </x:c>
      <x:c r="AH45" s="32" t="e">
        <x:f>IF(A45&lt;=Dashboard!$F$17,MAX(0,AD45-MAX(0,AG45-AF45)),0)</x:f>
      </x:c>
      <x:c r="AI45" s="32" t="e">
        <x:f>IF(A45=1,AF45,AI44+AF45)</x:f>
      </x:c>
      <x:c r="AJ45" s="33"/>
      <x:c r="AK45" s="33"/>
      <x:c r="AL45" s="33"/>
      <x:c r="AM45" s="33"/>
    </x:row>
    <x:row r="46">
      <x:c r="A46" s="33" t="n">
        <x:v>34</x:v>
      </x:c>
      <x:c r="B46" s="32" t="e">
        <x:f>IF(A46=1,Dashboard!$F$14,F45)</x:f>
      </x:c>
      <x:c r="C46" s="32" t="n">
        <x:f>0</x:f>
        <x:v>0</x:v>
      </x:c>
      <x:c r="D46" s="32" t="e">
        <x:f>IF(A46&lt;=Dashboard!$F$15,B46*Dashboard!$F$6,0)</x:f>
      </x:c>
      <x:c r="E46" s="32" t="e">
        <x:f>IF(A46&lt;=Dashboard!$F$15,MIN(Dashboard!$F$10,B46+D46),0)</x:f>
      </x:c>
      <x:c r="F46" s="32" t="e">
        <x:f>IF(A46&lt;=Dashboard!$F$15,MAX(0,B46-MAX(0,E46-D46)),0)</x:f>
      </x:c>
      <x:c r="G46" s="32" t="e">
        <x:f>IF(A46=1,D46,G45+D46)</x:f>
      </x:c>
      <x:c r="H46" s="32"/>
      <x:c r="I46" s="32" t="e">
        <x:f>IF(A46=1,Dashboard!$F$14,M45)</x:f>
      </x:c>
      <x:c r="J46" s="32" t="e">
        <x:f>IF(A46&lt;=Dashboard!$F$17,MIN(I46,$B$5),0)</x:f>
      </x:c>
      <x:c r="K46" s="32" t="e">
        <x:f>IF(A46&lt;=Dashboard!$F$17,MAX(0,I46-J46)*Dashboard!$F$6,0)</x:f>
      </x:c>
      <x:c r="L46" s="32" t="e">
        <x:f>IF(A46&lt;=Dashboard!$F$17,MIN(Dashboard!$F$10,MAX(0,I46-J46)+K46),0)</x:f>
      </x:c>
      <x:c r="M46" s="32" t="e">
        <x:f>IF(A46&lt;=Dashboard!$F$17,MAX(0,I46-J46-MAX(0,L46-K46)),0)</x:f>
      </x:c>
      <x:c r="N46" s="32" t="e">
        <x:f>IF(A46=1,K46,N45+K46)</x:f>
      </x:c>
      <x:c r="O46" s="32"/>
      <x:c r="P46" s="32" t="e">
        <x:f>IF(A46=1,Dashboard!$F$14,T45)</x:f>
      </x:c>
      <x:c r="Q46" s="32" t="e">
        <x:f>IF(A46&lt;=Dashboard!$F$17,MIN(P46,$B$6*52/12),0)</x:f>
      </x:c>
      <x:c r="R46" s="32" t="e">
        <x:f>IF(A46&lt;=Dashboard!$F$17,MAX(0,P46-Q46)*Dashboard!$F$6,0)</x:f>
      </x:c>
      <x:c r="S46" s="32" t="e">
        <x:f>IF(A46&lt;=Dashboard!$F$17,MIN(Dashboard!$F$10,MAX(0,P46-Q46)+R46),0)</x:f>
      </x:c>
      <x:c r="T46" s="32" t="e">
        <x:f>IF(A46&lt;=Dashboard!$F$17,MAX(0,P46-Q46-MAX(0,S46-R46)),0)</x:f>
      </x:c>
      <x:c r="U46" s="32" t="e">
        <x:f>IF(A46=1,R46,U45+R46)</x:f>
      </x:c>
      <x:c r="V46" s="32"/>
      <x:c r="W46" s="32" t="e">
        <x:f>IF(A46=1,Dashboard!$F$14,AA45)</x:f>
      </x:c>
      <x:c r="X46" s="32" t="e">
        <x:f>IF(AND(A46&lt;=Dashboard!$F$17,MOD(A46-1,12)=0),MIN(W46,$B$7),0)</x:f>
      </x:c>
      <x:c r="Y46" s="32" t="e">
        <x:f>IF(A46&lt;=Dashboard!$F$17,MAX(0,W46-X46)*Dashboard!$F$6,0)</x:f>
      </x:c>
      <x:c r="Z46" s="32" t="e">
        <x:f>IF(A46&lt;=Dashboard!$F$17,MIN(Dashboard!$F$10,MAX(0,W46-X46)+Y46),0)</x:f>
      </x:c>
      <x:c r="AA46" s="32" t="e">
        <x:f>IF(A46&lt;=Dashboard!$F$17,MAX(0,W46-X46-MAX(0,Z46-Y46)),0)</x:f>
      </x:c>
      <x:c r="AB46" s="32" t="e">
        <x:f>IF(A46=1,Y46,AB45+Y46)</x:f>
      </x:c>
      <x:c r="AC46" s="32"/>
      <x:c r="AD46" s="32" t="e">
        <x:f>IF(A46=1,MAX(0,Dashboard!$F$14-$B$8),AG45)</x:f>
      </x:c>
      <x:c r="AE46" s="32" t="n">
        <x:f>0</x:f>
        <x:v>0</x:v>
      </x:c>
      <x:c r="AF46" s="32" t="e">
        <x:f>IF(A46&lt;=Dashboard!$F$17,AD46*Dashboard!$F$6,0)</x:f>
      </x:c>
      <x:c r="AG46" s="32" t="e">
        <x:f>IF(A46&lt;=Dashboard!$F$17,MIN(Dashboard!$F$10,AD46+AF46),0)</x:f>
      </x:c>
      <x:c r="AH46" s="32" t="e">
        <x:f>IF(A46&lt;=Dashboard!$F$17,MAX(0,AD46-MAX(0,AG46-AF46)),0)</x:f>
      </x:c>
      <x:c r="AI46" s="32" t="e">
        <x:f>IF(A46=1,AF46,AI45+AF46)</x:f>
      </x:c>
      <x:c r="AJ46" s="33"/>
      <x:c r="AK46" s="33"/>
      <x:c r="AL46" s="33"/>
      <x:c r="AM46" s="33"/>
    </x:row>
    <x:row r="47">
      <x:c r="A47" s="33" t="n">
        <x:v>35</x:v>
      </x:c>
      <x:c r="B47" s="32" t="e">
        <x:f>IF(A47=1,Dashboard!$F$14,F46)</x:f>
      </x:c>
      <x:c r="C47" s="32" t="n">
        <x:f>0</x:f>
        <x:v>0</x:v>
      </x:c>
      <x:c r="D47" s="32" t="e">
        <x:f>IF(A47&lt;=Dashboard!$F$15,B47*Dashboard!$F$6,0)</x:f>
      </x:c>
      <x:c r="E47" s="32" t="e">
        <x:f>IF(A47&lt;=Dashboard!$F$15,MIN(Dashboard!$F$10,B47+D47),0)</x:f>
      </x:c>
      <x:c r="F47" s="32" t="e">
        <x:f>IF(A47&lt;=Dashboard!$F$15,MAX(0,B47-MAX(0,E47-D47)),0)</x:f>
      </x:c>
      <x:c r="G47" s="32" t="e">
        <x:f>IF(A47=1,D47,G46+D47)</x:f>
      </x:c>
      <x:c r="H47" s="32"/>
      <x:c r="I47" s="32" t="e">
        <x:f>IF(A47=1,Dashboard!$F$14,M46)</x:f>
      </x:c>
      <x:c r="J47" s="32" t="e">
        <x:f>IF(A47&lt;=Dashboard!$F$17,MIN(I47,$B$5),0)</x:f>
      </x:c>
      <x:c r="K47" s="32" t="e">
        <x:f>IF(A47&lt;=Dashboard!$F$17,MAX(0,I47-J47)*Dashboard!$F$6,0)</x:f>
      </x:c>
      <x:c r="L47" s="32" t="e">
        <x:f>IF(A47&lt;=Dashboard!$F$17,MIN(Dashboard!$F$10,MAX(0,I47-J47)+K47),0)</x:f>
      </x:c>
      <x:c r="M47" s="32" t="e">
        <x:f>IF(A47&lt;=Dashboard!$F$17,MAX(0,I47-J47-MAX(0,L47-K47)),0)</x:f>
      </x:c>
      <x:c r="N47" s="32" t="e">
        <x:f>IF(A47=1,K47,N46+K47)</x:f>
      </x:c>
      <x:c r="O47" s="32"/>
      <x:c r="P47" s="32" t="e">
        <x:f>IF(A47=1,Dashboard!$F$14,T46)</x:f>
      </x:c>
      <x:c r="Q47" s="32" t="e">
        <x:f>IF(A47&lt;=Dashboard!$F$17,MIN(P47,$B$6*52/12),0)</x:f>
      </x:c>
      <x:c r="R47" s="32" t="e">
        <x:f>IF(A47&lt;=Dashboard!$F$17,MAX(0,P47-Q47)*Dashboard!$F$6,0)</x:f>
      </x:c>
      <x:c r="S47" s="32" t="e">
        <x:f>IF(A47&lt;=Dashboard!$F$17,MIN(Dashboard!$F$10,MAX(0,P47-Q47)+R47),0)</x:f>
      </x:c>
      <x:c r="T47" s="32" t="e">
        <x:f>IF(A47&lt;=Dashboard!$F$17,MAX(0,P47-Q47-MAX(0,S47-R47)),0)</x:f>
      </x:c>
      <x:c r="U47" s="32" t="e">
        <x:f>IF(A47=1,R47,U46+R47)</x:f>
      </x:c>
      <x:c r="V47" s="32"/>
      <x:c r="W47" s="32" t="e">
        <x:f>IF(A47=1,Dashboard!$F$14,AA46)</x:f>
      </x:c>
      <x:c r="X47" s="32" t="e">
        <x:f>IF(AND(A47&lt;=Dashboard!$F$17,MOD(A47-1,12)=0),MIN(W47,$B$7),0)</x:f>
      </x:c>
      <x:c r="Y47" s="32" t="e">
        <x:f>IF(A47&lt;=Dashboard!$F$17,MAX(0,W47-X47)*Dashboard!$F$6,0)</x:f>
      </x:c>
      <x:c r="Z47" s="32" t="e">
        <x:f>IF(A47&lt;=Dashboard!$F$17,MIN(Dashboard!$F$10,MAX(0,W47-X47)+Y47),0)</x:f>
      </x:c>
      <x:c r="AA47" s="32" t="e">
        <x:f>IF(A47&lt;=Dashboard!$F$17,MAX(0,W47-X47-MAX(0,Z47-Y47)),0)</x:f>
      </x:c>
      <x:c r="AB47" s="32" t="e">
        <x:f>IF(A47=1,Y47,AB46+Y47)</x:f>
      </x:c>
      <x:c r="AC47" s="32"/>
      <x:c r="AD47" s="32" t="e">
        <x:f>IF(A47=1,MAX(0,Dashboard!$F$14-$B$8),AG46)</x:f>
      </x:c>
      <x:c r="AE47" s="32" t="n">
        <x:f>0</x:f>
        <x:v>0</x:v>
      </x:c>
      <x:c r="AF47" s="32" t="e">
        <x:f>IF(A47&lt;=Dashboard!$F$17,AD47*Dashboard!$F$6,0)</x:f>
      </x:c>
      <x:c r="AG47" s="32" t="e">
        <x:f>IF(A47&lt;=Dashboard!$F$17,MIN(Dashboard!$F$10,AD47+AF47),0)</x:f>
      </x:c>
      <x:c r="AH47" s="32" t="e">
        <x:f>IF(A47&lt;=Dashboard!$F$17,MAX(0,AD47-MAX(0,AG47-AF47)),0)</x:f>
      </x:c>
      <x:c r="AI47" s="32" t="e">
        <x:f>IF(A47=1,AF47,AI46+AF47)</x:f>
      </x:c>
      <x:c r="AJ47" s="33"/>
      <x:c r="AK47" s="33"/>
      <x:c r="AL47" s="33"/>
      <x:c r="AM47" s="33"/>
    </x:row>
    <x:row r="48">
      <x:c r="A48" s="33" t="n">
        <x:v>36</x:v>
      </x:c>
      <x:c r="B48" s="32" t="e">
        <x:f>IF(A48=1,Dashboard!$F$14,F47)</x:f>
      </x:c>
      <x:c r="C48" s="32" t="n">
        <x:f>0</x:f>
        <x:v>0</x:v>
      </x:c>
      <x:c r="D48" s="32" t="e">
        <x:f>IF(A48&lt;=Dashboard!$F$15,B48*Dashboard!$F$6,0)</x:f>
      </x:c>
      <x:c r="E48" s="32" t="e">
        <x:f>IF(A48&lt;=Dashboard!$F$15,MIN(Dashboard!$F$10,B48+D48),0)</x:f>
      </x:c>
      <x:c r="F48" s="32" t="e">
        <x:f>IF(A48&lt;=Dashboard!$F$15,MAX(0,B48-MAX(0,E48-D48)),0)</x:f>
      </x:c>
      <x:c r="G48" s="32" t="e">
        <x:f>IF(A48=1,D48,G47+D48)</x:f>
      </x:c>
      <x:c r="H48" s="32"/>
      <x:c r="I48" s="32" t="e">
        <x:f>IF(A48=1,Dashboard!$F$14,M47)</x:f>
      </x:c>
      <x:c r="J48" s="32" t="e">
        <x:f>IF(A48&lt;=Dashboard!$F$17,MIN(I48,$B$5),0)</x:f>
      </x:c>
      <x:c r="K48" s="32" t="e">
        <x:f>IF(A48&lt;=Dashboard!$F$17,MAX(0,I48-J48)*Dashboard!$F$6,0)</x:f>
      </x:c>
      <x:c r="L48" s="32" t="e">
        <x:f>IF(A48&lt;=Dashboard!$F$17,MIN(Dashboard!$F$10,MAX(0,I48-J48)+K48),0)</x:f>
      </x:c>
      <x:c r="M48" s="32" t="e">
        <x:f>IF(A48&lt;=Dashboard!$F$17,MAX(0,I48-J48-MAX(0,L48-K48)),0)</x:f>
      </x:c>
      <x:c r="N48" s="32" t="e">
        <x:f>IF(A48=1,K48,N47+K48)</x:f>
      </x:c>
      <x:c r="O48" s="32"/>
      <x:c r="P48" s="32" t="e">
        <x:f>IF(A48=1,Dashboard!$F$14,T47)</x:f>
      </x:c>
      <x:c r="Q48" s="32" t="e">
        <x:f>IF(A48&lt;=Dashboard!$F$17,MIN(P48,$B$6*52/12),0)</x:f>
      </x:c>
      <x:c r="R48" s="32" t="e">
        <x:f>IF(A48&lt;=Dashboard!$F$17,MAX(0,P48-Q48)*Dashboard!$F$6,0)</x:f>
      </x:c>
      <x:c r="S48" s="32" t="e">
        <x:f>IF(A48&lt;=Dashboard!$F$17,MIN(Dashboard!$F$10,MAX(0,P48-Q48)+R48),0)</x:f>
      </x:c>
      <x:c r="T48" s="32" t="e">
        <x:f>IF(A48&lt;=Dashboard!$F$17,MAX(0,P48-Q48-MAX(0,S48-R48)),0)</x:f>
      </x:c>
      <x:c r="U48" s="32" t="e">
        <x:f>IF(A48=1,R48,U47+R48)</x:f>
      </x:c>
      <x:c r="V48" s="32"/>
      <x:c r="W48" s="32" t="e">
        <x:f>IF(A48=1,Dashboard!$F$14,AA47)</x:f>
      </x:c>
      <x:c r="X48" s="32" t="e">
        <x:f>IF(AND(A48&lt;=Dashboard!$F$17,MOD(A48-1,12)=0),MIN(W48,$B$7),0)</x:f>
      </x:c>
      <x:c r="Y48" s="32" t="e">
        <x:f>IF(A48&lt;=Dashboard!$F$17,MAX(0,W48-X48)*Dashboard!$F$6,0)</x:f>
      </x:c>
      <x:c r="Z48" s="32" t="e">
        <x:f>IF(A48&lt;=Dashboard!$F$17,MIN(Dashboard!$F$10,MAX(0,W48-X48)+Y48),0)</x:f>
      </x:c>
      <x:c r="AA48" s="32" t="e">
        <x:f>IF(A48&lt;=Dashboard!$F$17,MAX(0,W48-X48-MAX(0,Z48-Y48)),0)</x:f>
      </x:c>
      <x:c r="AB48" s="32" t="e">
        <x:f>IF(A48=1,Y48,AB47+Y48)</x:f>
      </x:c>
      <x:c r="AC48" s="32"/>
      <x:c r="AD48" s="32" t="e">
        <x:f>IF(A48=1,MAX(0,Dashboard!$F$14-$B$8),AG47)</x:f>
      </x:c>
      <x:c r="AE48" s="32" t="n">
        <x:f>0</x:f>
        <x:v>0</x:v>
      </x:c>
      <x:c r="AF48" s="32" t="e">
        <x:f>IF(A48&lt;=Dashboard!$F$17,AD48*Dashboard!$F$6,0)</x:f>
      </x:c>
      <x:c r="AG48" s="32" t="e">
        <x:f>IF(A48&lt;=Dashboard!$F$17,MIN(Dashboard!$F$10,AD48+AF48),0)</x:f>
      </x:c>
      <x:c r="AH48" s="32" t="e">
        <x:f>IF(A48&lt;=Dashboard!$F$17,MAX(0,AD48-MAX(0,AG48-AF48)),0)</x:f>
      </x:c>
      <x:c r="AI48" s="32" t="e">
        <x:f>IF(A48=1,AF48,AI47+AF48)</x:f>
      </x:c>
      <x:c r="AJ48" s="33"/>
      <x:c r="AK48" s="33"/>
      <x:c r="AL48" s="33"/>
      <x:c r="AM48" s="33"/>
    </x:row>
    <x:row r="49">
      <x:c r="A49" s="33" t="n">
        <x:v>37</x:v>
      </x:c>
      <x:c r="B49" s="32" t="e">
        <x:f>IF(A49=1,Dashboard!$F$14,F48)</x:f>
      </x:c>
      <x:c r="C49" s="32" t="n">
        <x:f>0</x:f>
        <x:v>0</x:v>
      </x:c>
      <x:c r="D49" s="32" t="e">
        <x:f>IF(A49&lt;=Dashboard!$F$15,B49*Dashboard!$F$6,0)</x:f>
      </x:c>
      <x:c r="E49" s="32" t="e">
        <x:f>IF(A49&lt;=Dashboard!$F$15,MIN(Dashboard!$F$10,B49+D49),0)</x:f>
      </x:c>
      <x:c r="F49" s="32" t="e">
        <x:f>IF(A49&lt;=Dashboard!$F$15,MAX(0,B49-MAX(0,E49-D49)),0)</x:f>
      </x:c>
      <x:c r="G49" s="32" t="e">
        <x:f>IF(A49=1,D49,G48+D49)</x:f>
      </x:c>
      <x:c r="H49" s="32"/>
      <x:c r="I49" s="32" t="e">
        <x:f>IF(A49=1,Dashboard!$F$14,M48)</x:f>
      </x:c>
      <x:c r="J49" s="32" t="e">
        <x:f>IF(A49&lt;=Dashboard!$F$17,MIN(I49,$B$5),0)</x:f>
      </x:c>
      <x:c r="K49" s="32" t="e">
        <x:f>IF(A49&lt;=Dashboard!$F$17,MAX(0,I49-J49)*Dashboard!$F$6,0)</x:f>
      </x:c>
      <x:c r="L49" s="32" t="e">
        <x:f>IF(A49&lt;=Dashboard!$F$17,MIN(Dashboard!$F$10,MAX(0,I49-J49)+K49),0)</x:f>
      </x:c>
      <x:c r="M49" s="32" t="e">
        <x:f>IF(A49&lt;=Dashboard!$F$17,MAX(0,I49-J49-MAX(0,L49-K49)),0)</x:f>
      </x:c>
      <x:c r="N49" s="32" t="e">
        <x:f>IF(A49=1,K49,N48+K49)</x:f>
      </x:c>
      <x:c r="O49" s="32"/>
      <x:c r="P49" s="32" t="e">
        <x:f>IF(A49=1,Dashboard!$F$14,T48)</x:f>
      </x:c>
      <x:c r="Q49" s="32" t="e">
        <x:f>IF(A49&lt;=Dashboard!$F$17,MIN(P49,$B$6*52/12),0)</x:f>
      </x:c>
      <x:c r="R49" s="32" t="e">
        <x:f>IF(A49&lt;=Dashboard!$F$17,MAX(0,P49-Q49)*Dashboard!$F$6,0)</x:f>
      </x:c>
      <x:c r="S49" s="32" t="e">
        <x:f>IF(A49&lt;=Dashboard!$F$17,MIN(Dashboard!$F$10,MAX(0,P49-Q49)+R49),0)</x:f>
      </x:c>
      <x:c r="T49" s="32" t="e">
        <x:f>IF(A49&lt;=Dashboard!$F$17,MAX(0,P49-Q49-MAX(0,S49-R49)),0)</x:f>
      </x:c>
      <x:c r="U49" s="32" t="e">
        <x:f>IF(A49=1,R49,U48+R49)</x:f>
      </x:c>
      <x:c r="V49" s="32"/>
      <x:c r="W49" s="32" t="e">
        <x:f>IF(A49=1,Dashboard!$F$14,AA48)</x:f>
      </x:c>
      <x:c r="X49" s="32" t="e">
        <x:f>IF(AND(A49&lt;=Dashboard!$F$17,MOD(A49-1,12)=0),MIN(W49,$B$7),0)</x:f>
      </x:c>
      <x:c r="Y49" s="32" t="e">
        <x:f>IF(A49&lt;=Dashboard!$F$17,MAX(0,W49-X49)*Dashboard!$F$6,0)</x:f>
      </x:c>
      <x:c r="Z49" s="32" t="e">
        <x:f>IF(A49&lt;=Dashboard!$F$17,MIN(Dashboard!$F$10,MAX(0,W49-X49)+Y49),0)</x:f>
      </x:c>
      <x:c r="AA49" s="32" t="e">
        <x:f>IF(A49&lt;=Dashboard!$F$17,MAX(0,W49-X49-MAX(0,Z49-Y49)),0)</x:f>
      </x:c>
      <x:c r="AB49" s="32" t="e">
        <x:f>IF(A49=1,Y49,AB48+Y49)</x:f>
      </x:c>
      <x:c r="AC49" s="32"/>
      <x:c r="AD49" s="32" t="e">
        <x:f>IF(A49=1,MAX(0,Dashboard!$F$14-$B$8),AG48)</x:f>
      </x:c>
      <x:c r="AE49" s="32" t="n">
        <x:f>0</x:f>
        <x:v>0</x:v>
      </x:c>
      <x:c r="AF49" s="32" t="e">
        <x:f>IF(A49&lt;=Dashboard!$F$17,AD49*Dashboard!$F$6,0)</x:f>
      </x:c>
      <x:c r="AG49" s="32" t="e">
        <x:f>IF(A49&lt;=Dashboard!$F$17,MIN(Dashboard!$F$10,AD49+AF49),0)</x:f>
      </x:c>
      <x:c r="AH49" s="32" t="e">
        <x:f>IF(A49&lt;=Dashboard!$F$17,MAX(0,AD49-MAX(0,AG49-AF49)),0)</x:f>
      </x:c>
      <x:c r="AI49" s="32" t="e">
        <x:f>IF(A49=1,AF49,AI48+AF49)</x:f>
      </x:c>
      <x:c r="AJ49" s="33"/>
      <x:c r="AK49" s="33"/>
      <x:c r="AL49" s="33"/>
      <x:c r="AM49" s="33"/>
    </x:row>
    <x:row r="50">
      <x:c r="A50" s="33" t="n">
        <x:v>38</x:v>
      </x:c>
      <x:c r="B50" s="32" t="e">
        <x:f>IF(A50=1,Dashboard!$F$14,F49)</x:f>
      </x:c>
      <x:c r="C50" s="32" t="n">
        <x:f>0</x:f>
        <x:v>0</x:v>
      </x:c>
      <x:c r="D50" s="32" t="e">
        <x:f>IF(A50&lt;=Dashboard!$F$15,B50*Dashboard!$F$6,0)</x:f>
      </x:c>
      <x:c r="E50" s="32" t="e">
        <x:f>IF(A50&lt;=Dashboard!$F$15,MIN(Dashboard!$F$10,B50+D50),0)</x:f>
      </x:c>
      <x:c r="F50" s="32" t="e">
        <x:f>IF(A50&lt;=Dashboard!$F$15,MAX(0,B50-MAX(0,E50-D50)),0)</x:f>
      </x:c>
      <x:c r="G50" s="32" t="e">
        <x:f>IF(A50=1,D50,G49+D50)</x:f>
      </x:c>
      <x:c r="H50" s="32"/>
      <x:c r="I50" s="32" t="e">
        <x:f>IF(A50=1,Dashboard!$F$14,M49)</x:f>
      </x:c>
      <x:c r="J50" s="32" t="e">
        <x:f>IF(A50&lt;=Dashboard!$F$17,MIN(I50,$B$5),0)</x:f>
      </x:c>
      <x:c r="K50" s="32" t="e">
        <x:f>IF(A50&lt;=Dashboard!$F$17,MAX(0,I50-J50)*Dashboard!$F$6,0)</x:f>
      </x:c>
      <x:c r="L50" s="32" t="e">
        <x:f>IF(A50&lt;=Dashboard!$F$17,MIN(Dashboard!$F$10,MAX(0,I50-J50)+K50),0)</x:f>
      </x:c>
      <x:c r="M50" s="32" t="e">
        <x:f>IF(A50&lt;=Dashboard!$F$17,MAX(0,I50-J50-MAX(0,L50-K50)),0)</x:f>
      </x:c>
      <x:c r="N50" s="32" t="e">
        <x:f>IF(A50=1,K50,N49+K50)</x:f>
      </x:c>
      <x:c r="O50" s="32"/>
      <x:c r="P50" s="32" t="e">
        <x:f>IF(A50=1,Dashboard!$F$14,T49)</x:f>
      </x:c>
      <x:c r="Q50" s="32" t="e">
        <x:f>IF(A50&lt;=Dashboard!$F$17,MIN(P50,$B$6*52/12),0)</x:f>
      </x:c>
      <x:c r="R50" s="32" t="e">
        <x:f>IF(A50&lt;=Dashboard!$F$17,MAX(0,P50-Q50)*Dashboard!$F$6,0)</x:f>
      </x:c>
      <x:c r="S50" s="32" t="e">
        <x:f>IF(A50&lt;=Dashboard!$F$17,MIN(Dashboard!$F$10,MAX(0,P50-Q50)+R50),0)</x:f>
      </x:c>
      <x:c r="T50" s="32" t="e">
        <x:f>IF(A50&lt;=Dashboard!$F$17,MAX(0,P50-Q50-MAX(0,S50-R50)),0)</x:f>
      </x:c>
      <x:c r="U50" s="32" t="e">
        <x:f>IF(A50=1,R50,U49+R50)</x:f>
      </x:c>
      <x:c r="V50" s="32"/>
      <x:c r="W50" s="32" t="e">
        <x:f>IF(A50=1,Dashboard!$F$14,AA49)</x:f>
      </x:c>
      <x:c r="X50" s="32" t="e">
        <x:f>IF(AND(A50&lt;=Dashboard!$F$17,MOD(A50-1,12)=0),MIN(W50,$B$7),0)</x:f>
      </x:c>
      <x:c r="Y50" s="32" t="e">
        <x:f>IF(A50&lt;=Dashboard!$F$17,MAX(0,W50-X50)*Dashboard!$F$6,0)</x:f>
      </x:c>
      <x:c r="Z50" s="32" t="e">
        <x:f>IF(A50&lt;=Dashboard!$F$17,MIN(Dashboard!$F$10,MAX(0,W50-X50)+Y50),0)</x:f>
      </x:c>
      <x:c r="AA50" s="32" t="e">
        <x:f>IF(A50&lt;=Dashboard!$F$17,MAX(0,W50-X50-MAX(0,Z50-Y50)),0)</x:f>
      </x:c>
      <x:c r="AB50" s="32" t="e">
        <x:f>IF(A50=1,Y50,AB49+Y50)</x:f>
      </x:c>
      <x:c r="AC50" s="32"/>
      <x:c r="AD50" s="32" t="e">
        <x:f>IF(A50=1,MAX(0,Dashboard!$F$14-$B$8),AG49)</x:f>
      </x:c>
      <x:c r="AE50" s="32" t="n">
        <x:f>0</x:f>
        <x:v>0</x:v>
      </x:c>
      <x:c r="AF50" s="32" t="e">
        <x:f>IF(A50&lt;=Dashboard!$F$17,AD50*Dashboard!$F$6,0)</x:f>
      </x:c>
      <x:c r="AG50" s="32" t="e">
        <x:f>IF(A50&lt;=Dashboard!$F$17,MIN(Dashboard!$F$10,AD50+AF50),0)</x:f>
      </x:c>
      <x:c r="AH50" s="32" t="e">
        <x:f>IF(A50&lt;=Dashboard!$F$17,MAX(0,AD50-MAX(0,AG50-AF50)),0)</x:f>
      </x:c>
      <x:c r="AI50" s="32" t="e">
        <x:f>IF(A50=1,AF50,AI49+AF50)</x:f>
      </x:c>
      <x:c r="AJ50" s="33"/>
      <x:c r="AK50" s="33"/>
      <x:c r="AL50" s="33"/>
      <x:c r="AM50" s="33"/>
    </x:row>
    <x:row r="51">
      <x:c r="A51" s="33" t="n">
        <x:v>39</x:v>
      </x:c>
      <x:c r="B51" s="32" t="e">
        <x:f>IF(A51=1,Dashboard!$F$14,F50)</x:f>
      </x:c>
      <x:c r="C51" s="32" t="n">
        <x:f>0</x:f>
        <x:v>0</x:v>
      </x:c>
      <x:c r="D51" s="32" t="e">
        <x:f>IF(A51&lt;=Dashboard!$F$15,B51*Dashboard!$F$6,0)</x:f>
      </x:c>
      <x:c r="E51" s="32" t="e">
        <x:f>IF(A51&lt;=Dashboard!$F$15,MIN(Dashboard!$F$10,B51+D51),0)</x:f>
      </x:c>
      <x:c r="F51" s="32" t="e">
        <x:f>IF(A51&lt;=Dashboard!$F$15,MAX(0,B51-MAX(0,E51-D51)),0)</x:f>
      </x:c>
      <x:c r="G51" s="32" t="e">
        <x:f>IF(A51=1,D51,G50+D51)</x:f>
      </x:c>
      <x:c r="H51" s="32"/>
      <x:c r="I51" s="32" t="e">
        <x:f>IF(A51=1,Dashboard!$F$14,M50)</x:f>
      </x:c>
      <x:c r="J51" s="32" t="e">
        <x:f>IF(A51&lt;=Dashboard!$F$17,MIN(I51,$B$5),0)</x:f>
      </x:c>
      <x:c r="K51" s="32" t="e">
        <x:f>IF(A51&lt;=Dashboard!$F$17,MAX(0,I51-J51)*Dashboard!$F$6,0)</x:f>
      </x:c>
      <x:c r="L51" s="32" t="e">
        <x:f>IF(A51&lt;=Dashboard!$F$17,MIN(Dashboard!$F$10,MAX(0,I51-J51)+K51),0)</x:f>
      </x:c>
      <x:c r="M51" s="32" t="e">
        <x:f>IF(A51&lt;=Dashboard!$F$17,MAX(0,I51-J51-MAX(0,L51-K51)),0)</x:f>
      </x:c>
      <x:c r="N51" s="32" t="e">
        <x:f>IF(A51=1,K51,N50+K51)</x:f>
      </x:c>
      <x:c r="O51" s="32"/>
      <x:c r="P51" s="32" t="e">
        <x:f>IF(A51=1,Dashboard!$F$14,T50)</x:f>
      </x:c>
      <x:c r="Q51" s="32" t="e">
        <x:f>IF(A51&lt;=Dashboard!$F$17,MIN(P51,$B$6*52/12),0)</x:f>
      </x:c>
      <x:c r="R51" s="32" t="e">
        <x:f>IF(A51&lt;=Dashboard!$F$17,MAX(0,P51-Q51)*Dashboard!$F$6,0)</x:f>
      </x:c>
      <x:c r="S51" s="32" t="e">
        <x:f>IF(A51&lt;=Dashboard!$F$17,MIN(Dashboard!$F$10,MAX(0,P51-Q51)+R51),0)</x:f>
      </x:c>
      <x:c r="T51" s="32" t="e">
        <x:f>IF(A51&lt;=Dashboard!$F$17,MAX(0,P51-Q51-MAX(0,S51-R51)),0)</x:f>
      </x:c>
      <x:c r="U51" s="32" t="e">
        <x:f>IF(A51=1,R51,U50+R51)</x:f>
      </x:c>
      <x:c r="V51" s="32"/>
      <x:c r="W51" s="32" t="e">
        <x:f>IF(A51=1,Dashboard!$F$14,AA50)</x:f>
      </x:c>
      <x:c r="X51" s="32" t="e">
        <x:f>IF(AND(A51&lt;=Dashboard!$F$17,MOD(A51-1,12)=0),MIN(W51,$B$7),0)</x:f>
      </x:c>
      <x:c r="Y51" s="32" t="e">
        <x:f>IF(A51&lt;=Dashboard!$F$17,MAX(0,W51-X51)*Dashboard!$F$6,0)</x:f>
      </x:c>
      <x:c r="Z51" s="32" t="e">
        <x:f>IF(A51&lt;=Dashboard!$F$17,MIN(Dashboard!$F$10,MAX(0,W51-X51)+Y51),0)</x:f>
      </x:c>
      <x:c r="AA51" s="32" t="e">
        <x:f>IF(A51&lt;=Dashboard!$F$17,MAX(0,W51-X51-MAX(0,Z51-Y51)),0)</x:f>
      </x:c>
      <x:c r="AB51" s="32" t="e">
        <x:f>IF(A51=1,Y51,AB50+Y51)</x:f>
      </x:c>
      <x:c r="AC51" s="32"/>
      <x:c r="AD51" s="32" t="e">
        <x:f>IF(A51=1,MAX(0,Dashboard!$F$14-$B$8),AG50)</x:f>
      </x:c>
      <x:c r="AE51" s="32" t="n">
        <x:f>0</x:f>
        <x:v>0</x:v>
      </x:c>
      <x:c r="AF51" s="32" t="e">
        <x:f>IF(A51&lt;=Dashboard!$F$17,AD51*Dashboard!$F$6,0)</x:f>
      </x:c>
      <x:c r="AG51" s="32" t="e">
        <x:f>IF(A51&lt;=Dashboard!$F$17,MIN(Dashboard!$F$10,AD51+AF51),0)</x:f>
      </x:c>
      <x:c r="AH51" s="32" t="e">
        <x:f>IF(A51&lt;=Dashboard!$F$17,MAX(0,AD51-MAX(0,AG51-AF51)),0)</x:f>
      </x:c>
      <x:c r="AI51" s="32" t="e">
        <x:f>IF(A51=1,AF51,AI50+AF51)</x:f>
      </x:c>
      <x:c r="AJ51" s="33"/>
      <x:c r="AK51" s="33"/>
      <x:c r="AL51" s="33"/>
      <x:c r="AM51" s="33"/>
    </x:row>
    <x:row r="52">
      <x:c r="A52" s="33" t="n">
        <x:v>40</x:v>
      </x:c>
      <x:c r="B52" s="32" t="e">
        <x:f>IF(A52=1,Dashboard!$F$14,F51)</x:f>
      </x:c>
      <x:c r="C52" s="32" t="n">
        <x:f>0</x:f>
        <x:v>0</x:v>
      </x:c>
      <x:c r="D52" s="32" t="e">
        <x:f>IF(A52&lt;=Dashboard!$F$15,B52*Dashboard!$F$6,0)</x:f>
      </x:c>
      <x:c r="E52" s="32" t="e">
        <x:f>IF(A52&lt;=Dashboard!$F$15,MIN(Dashboard!$F$10,B52+D52),0)</x:f>
      </x:c>
      <x:c r="F52" s="32" t="e">
        <x:f>IF(A52&lt;=Dashboard!$F$15,MAX(0,B52-MAX(0,E52-D52)),0)</x:f>
      </x:c>
      <x:c r="G52" s="32" t="e">
        <x:f>IF(A52=1,D52,G51+D52)</x:f>
      </x:c>
      <x:c r="H52" s="32"/>
      <x:c r="I52" s="32" t="e">
        <x:f>IF(A52=1,Dashboard!$F$14,M51)</x:f>
      </x:c>
      <x:c r="J52" s="32" t="e">
        <x:f>IF(A52&lt;=Dashboard!$F$17,MIN(I52,$B$5),0)</x:f>
      </x:c>
      <x:c r="K52" s="32" t="e">
        <x:f>IF(A52&lt;=Dashboard!$F$17,MAX(0,I52-J52)*Dashboard!$F$6,0)</x:f>
      </x:c>
      <x:c r="L52" s="32" t="e">
        <x:f>IF(A52&lt;=Dashboard!$F$17,MIN(Dashboard!$F$10,MAX(0,I52-J52)+K52),0)</x:f>
      </x:c>
      <x:c r="M52" s="32" t="e">
        <x:f>IF(A52&lt;=Dashboard!$F$17,MAX(0,I52-J52-MAX(0,L52-K52)),0)</x:f>
      </x:c>
      <x:c r="N52" s="32" t="e">
        <x:f>IF(A52=1,K52,N51+K52)</x:f>
      </x:c>
      <x:c r="O52" s="32"/>
      <x:c r="P52" s="32" t="e">
        <x:f>IF(A52=1,Dashboard!$F$14,T51)</x:f>
      </x:c>
      <x:c r="Q52" s="32" t="e">
        <x:f>IF(A52&lt;=Dashboard!$F$17,MIN(P52,$B$6*52/12),0)</x:f>
      </x:c>
      <x:c r="R52" s="32" t="e">
        <x:f>IF(A52&lt;=Dashboard!$F$17,MAX(0,P52-Q52)*Dashboard!$F$6,0)</x:f>
      </x:c>
      <x:c r="S52" s="32" t="e">
        <x:f>IF(A52&lt;=Dashboard!$F$17,MIN(Dashboard!$F$10,MAX(0,P52-Q52)+R52),0)</x:f>
      </x:c>
      <x:c r="T52" s="32" t="e">
        <x:f>IF(A52&lt;=Dashboard!$F$17,MAX(0,P52-Q52-MAX(0,S52-R52)),0)</x:f>
      </x:c>
      <x:c r="U52" s="32" t="e">
        <x:f>IF(A52=1,R52,U51+R52)</x:f>
      </x:c>
      <x:c r="V52" s="32"/>
      <x:c r="W52" s="32" t="e">
        <x:f>IF(A52=1,Dashboard!$F$14,AA51)</x:f>
      </x:c>
      <x:c r="X52" s="32" t="e">
        <x:f>IF(AND(A52&lt;=Dashboard!$F$17,MOD(A52-1,12)=0),MIN(W52,$B$7),0)</x:f>
      </x:c>
      <x:c r="Y52" s="32" t="e">
        <x:f>IF(A52&lt;=Dashboard!$F$17,MAX(0,W52-X52)*Dashboard!$F$6,0)</x:f>
      </x:c>
      <x:c r="Z52" s="32" t="e">
        <x:f>IF(A52&lt;=Dashboard!$F$17,MIN(Dashboard!$F$10,MAX(0,W52-X52)+Y52),0)</x:f>
      </x:c>
      <x:c r="AA52" s="32" t="e">
        <x:f>IF(A52&lt;=Dashboard!$F$17,MAX(0,W52-X52-MAX(0,Z52-Y52)),0)</x:f>
      </x:c>
      <x:c r="AB52" s="32" t="e">
        <x:f>IF(A52=1,Y52,AB51+Y52)</x:f>
      </x:c>
      <x:c r="AC52" s="32"/>
      <x:c r="AD52" s="32" t="e">
        <x:f>IF(A52=1,MAX(0,Dashboard!$F$14-$B$8),AG51)</x:f>
      </x:c>
      <x:c r="AE52" s="32" t="n">
        <x:f>0</x:f>
        <x:v>0</x:v>
      </x:c>
      <x:c r="AF52" s="32" t="e">
        <x:f>IF(A52&lt;=Dashboard!$F$17,AD52*Dashboard!$F$6,0)</x:f>
      </x:c>
      <x:c r="AG52" s="32" t="e">
        <x:f>IF(A52&lt;=Dashboard!$F$17,MIN(Dashboard!$F$10,AD52+AF52),0)</x:f>
      </x:c>
      <x:c r="AH52" s="32" t="e">
        <x:f>IF(A52&lt;=Dashboard!$F$17,MAX(0,AD52-MAX(0,AG52-AF52)),0)</x:f>
      </x:c>
      <x:c r="AI52" s="32" t="e">
        <x:f>IF(A52=1,AF52,AI51+AF52)</x:f>
      </x:c>
      <x:c r="AJ52" s="33"/>
      <x:c r="AK52" s="33"/>
      <x:c r="AL52" s="33"/>
      <x:c r="AM52" s="33"/>
    </x:row>
    <x:row r="53">
      <x:c r="A53" s="33" t="n">
        <x:v>41</x:v>
      </x:c>
      <x:c r="B53" s="32" t="e">
        <x:f>IF(A53=1,Dashboard!$F$14,F52)</x:f>
      </x:c>
      <x:c r="C53" s="32" t="n">
        <x:f>0</x:f>
        <x:v>0</x:v>
      </x:c>
      <x:c r="D53" s="32" t="e">
        <x:f>IF(A53&lt;=Dashboard!$F$15,B53*Dashboard!$F$6,0)</x:f>
      </x:c>
      <x:c r="E53" s="32" t="e">
        <x:f>IF(A53&lt;=Dashboard!$F$15,MIN(Dashboard!$F$10,B53+D53),0)</x:f>
      </x:c>
      <x:c r="F53" s="32" t="e">
        <x:f>IF(A53&lt;=Dashboard!$F$15,MAX(0,B53-MAX(0,E53-D53)),0)</x:f>
      </x:c>
      <x:c r="G53" s="32" t="e">
        <x:f>IF(A53=1,D53,G52+D53)</x:f>
      </x:c>
      <x:c r="H53" s="32"/>
      <x:c r="I53" s="32" t="e">
        <x:f>IF(A53=1,Dashboard!$F$14,M52)</x:f>
      </x:c>
      <x:c r="J53" s="32" t="e">
        <x:f>IF(A53&lt;=Dashboard!$F$17,MIN(I53,$B$5),0)</x:f>
      </x:c>
      <x:c r="K53" s="32" t="e">
        <x:f>IF(A53&lt;=Dashboard!$F$17,MAX(0,I53-J53)*Dashboard!$F$6,0)</x:f>
      </x:c>
      <x:c r="L53" s="32" t="e">
        <x:f>IF(A53&lt;=Dashboard!$F$17,MIN(Dashboard!$F$10,MAX(0,I53-J53)+K53),0)</x:f>
      </x:c>
      <x:c r="M53" s="32" t="e">
        <x:f>IF(A53&lt;=Dashboard!$F$17,MAX(0,I53-J53-MAX(0,L53-K53)),0)</x:f>
      </x:c>
      <x:c r="N53" s="32" t="e">
        <x:f>IF(A53=1,K53,N52+K53)</x:f>
      </x:c>
      <x:c r="O53" s="32"/>
      <x:c r="P53" s="32" t="e">
        <x:f>IF(A53=1,Dashboard!$F$14,T52)</x:f>
      </x:c>
      <x:c r="Q53" s="32" t="e">
        <x:f>IF(A53&lt;=Dashboard!$F$17,MIN(P53,$B$6*52/12),0)</x:f>
      </x:c>
      <x:c r="R53" s="32" t="e">
        <x:f>IF(A53&lt;=Dashboard!$F$17,MAX(0,P53-Q53)*Dashboard!$F$6,0)</x:f>
      </x:c>
      <x:c r="S53" s="32" t="e">
        <x:f>IF(A53&lt;=Dashboard!$F$17,MIN(Dashboard!$F$10,MAX(0,P53-Q53)+R53),0)</x:f>
      </x:c>
      <x:c r="T53" s="32" t="e">
        <x:f>IF(A53&lt;=Dashboard!$F$17,MAX(0,P53-Q53-MAX(0,S53-R53)),0)</x:f>
      </x:c>
      <x:c r="U53" s="32" t="e">
        <x:f>IF(A53=1,R53,U52+R53)</x:f>
      </x:c>
      <x:c r="V53" s="32"/>
      <x:c r="W53" s="32" t="e">
        <x:f>IF(A53=1,Dashboard!$F$14,AA52)</x:f>
      </x:c>
      <x:c r="X53" s="32" t="e">
        <x:f>IF(AND(A53&lt;=Dashboard!$F$17,MOD(A53-1,12)=0),MIN(W53,$B$7),0)</x:f>
      </x:c>
      <x:c r="Y53" s="32" t="e">
        <x:f>IF(A53&lt;=Dashboard!$F$17,MAX(0,W53-X53)*Dashboard!$F$6,0)</x:f>
      </x:c>
      <x:c r="Z53" s="32" t="e">
        <x:f>IF(A53&lt;=Dashboard!$F$17,MIN(Dashboard!$F$10,MAX(0,W53-X53)+Y53),0)</x:f>
      </x:c>
      <x:c r="AA53" s="32" t="e">
        <x:f>IF(A53&lt;=Dashboard!$F$17,MAX(0,W53-X53-MAX(0,Z53-Y53)),0)</x:f>
      </x:c>
      <x:c r="AB53" s="32" t="e">
        <x:f>IF(A53=1,Y53,AB52+Y53)</x:f>
      </x:c>
      <x:c r="AC53" s="32"/>
      <x:c r="AD53" s="32" t="e">
        <x:f>IF(A53=1,MAX(0,Dashboard!$F$14-$B$8),AG52)</x:f>
      </x:c>
      <x:c r="AE53" s="32" t="n">
        <x:f>0</x:f>
        <x:v>0</x:v>
      </x:c>
      <x:c r="AF53" s="32" t="e">
        <x:f>IF(A53&lt;=Dashboard!$F$17,AD53*Dashboard!$F$6,0)</x:f>
      </x:c>
      <x:c r="AG53" s="32" t="e">
        <x:f>IF(A53&lt;=Dashboard!$F$17,MIN(Dashboard!$F$10,AD53+AF53),0)</x:f>
      </x:c>
      <x:c r="AH53" s="32" t="e">
        <x:f>IF(A53&lt;=Dashboard!$F$17,MAX(0,AD53-MAX(0,AG53-AF53)),0)</x:f>
      </x:c>
      <x:c r="AI53" s="32" t="e">
        <x:f>IF(A53=1,AF53,AI52+AF53)</x:f>
      </x:c>
      <x:c r="AJ53" s="33"/>
      <x:c r="AK53" s="33"/>
      <x:c r="AL53" s="33"/>
      <x:c r="AM53" s="33"/>
    </x:row>
    <x:row r="54">
      <x:c r="A54" s="33" t="n">
        <x:v>42</x:v>
      </x:c>
      <x:c r="B54" s="32" t="e">
        <x:f>IF(A54=1,Dashboard!$F$14,F53)</x:f>
      </x:c>
      <x:c r="C54" s="32" t="n">
        <x:f>0</x:f>
        <x:v>0</x:v>
      </x:c>
      <x:c r="D54" s="32" t="e">
        <x:f>IF(A54&lt;=Dashboard!$F$15,B54*Dashboard!$F$6,0)</x:f>
      </x:c>
      <x:c r="E54" s="32" t="e">
        <x:f>IF(A54&lt;=Dashboard!$F$15,MIN(Dashboard!$F$10,B54+D54),0)</x:f>
      </x:c>
      <x:c r="F54" s="32" t="e">
        <x:f>IF(A54&lt;=Dashboard!$F$15,MAX(0,B54-MAX(0,E54-D54)),0)</x:f>
      </x:c>
      <x:c r="G54" s="32" t="e">
        <x:f>IF(A54=1,D54,G53+D54)</x:f>
      </x:c>
      <x:c r="H54" s="32"/>
      <x:c r="I54" s="32" t="e">
        <x:f>IF(A54=1,Dashboard!$F$14,M53)</x:f>
      </x:c>
      <x:c r="J54" s="32" t="e">
        <x:f>IF(A54&lt;=Dashboard!$F$17,MIN(I54,$B$5),0)</x:f>
      </x:c>
      <x:c r="K54" s="32" t="e">
        <x:f>IF(A54&lt;=Dashboard!$F$17,MAX(0,I54-J54)*Dashboard!$F$6,0)</x:f>
      </x:c>
      <x:c r="L54" s="32" t="e">
        <x:f>IF(A54&lt;=Dashboard!$F$17,MIN(Dashboard!$F$10,MAX(0,I54-J54)+K54),0)</x:f>
      </x:c>
      <x:c r="M54" s="32" t="e">
        <x:f>IF(A54&lt;=Dashboard!$F$17,MAX(0,I54-J54-MAX(0,L54-K54)),0)</x:f>
      </x:c>
      <x:c r="N54" s="32" t="e">
        <x:f>IF(A54=1,K54,N53+K54)</x:f>
      </x:c>
      <x:c r="O54" s="32"/>
      <x:c r="P54" s="32" t="e">
        <x:f>IF(A54=1,Dashboard!$F$14,T53)</x:f>
      </x:c>
      <x:c r="Q54" s="32" t="e">
        <x:f>IF(A54&lt;=Dashboard!$F$17,MIN(P54,$B$6*52/12),0)</x:f>
      </x:c>
      <x:c r="R54" s="32" t="e">
        <x:f>IF(A54&lt;=Dashboard!$F$17,MAX(0,P54-Q54)*Dashboard!$F$6,0)</x:f>
      </x:c>
      <x:c r="S54" s="32" t="e">
        <x:f>IF(A54&lt;=Dashboard!$F$17,MIN(Dashboard!$F$10,MAX(0,P54-Q54)+R54),0)</x:f>
      </x:c>
      <x:c r="T54" s="32" t="e">
        <x:f>IF(A54&lt;=Dashboard!$F$17,MAX(0,P54-Q54-MAX(0,S54-R54)),0)</x:f>
      </x:c>
      <x:c r="U54" s="32" t="e">
        <x:f>IF(A54=1,R54,U53+R54)</x:f>
      </x:c>
      <x:c r="V54" s="32"/>
      <x:c r="W54" s="32" t="e">
        <x:f>IF(A54=1,Dashboard!$F$14,AA53)</x:f>
      </x:c>
      <x:c r="X54" s="32" t="e">
        <x:f>IF(AND(A54&lt;=Dashboard!$F$17,MOD(A54-1,12)=0),MIN(W54,$B$7),0)</x:f>
      </x:c>
      <x:c r="Y54" s="32" t="e">
        <x:f>IF(A54&lt;=Dashboard!$F$17,MAX(0,W54-X54)*Dashboard!$F$6,0)</x:f>
      </x:c>
      <x:c r="Z54" s="32" t="e">
        <x:f>IF(A54&lt;=Dashboard!$F$17,MIN(Dashboard!$F$10,MAX(0,W54-X54)+Y54),0)</x:f>
      </x:c>
      <x:c r="AA54" s="32" t="e">
        <x:f>IF(A54&lt;=Dashboard!$F$17,MAX(0,W54-X54-MAX(0,Z54-Y54)),0)</x:f>
      </x:c>
      <x:c r="AB54" s="32" t="e">
        <x:f>IF(A54=1,Y54,AB53+Y54)</x:f>
      </x:c>
      <x:c r="AC54" s="32"/>
      <x:c r="AD54" s="32" t="e">
        <x:f>IF(A54=1,MAX(0,Dashboard!$F$14-$B$8),AG53)</x:f>
      </x:c>
      <x:c r="AE54" s="32" t="n">
        <x:f>0</x:f>
        <x:v>0</x:v>
      </x:c>
      <x:c r="AF54" s="32" t="e">
        <x:f>IF(A54&lt;=Dashboard!$F$17,AD54*Dashboard!$F$6,0)</x:f>
      </x:c>
      <x:c r="AG54" s="32" t="e">
        <x:f>IF(A54&lt;=Dashboard!$F$17,MIN(Dashboard!$F$10,AD54+AF54),0)</x:f>
      </x:c>
      <x:c r="AH54" s="32" t="e">
        <x:f>IF(A54&lt;=Dashboard!$F$17,MAX(0,AD54-MAX(0,AG54-AF54)),0)</x:f>
      </x:c>
      <x:c r="AI54" s="32" t="e">
        <x:f>IF(A54=1,AF54,AI53+AF54)</x:f>
      </x:c>
      <x:c r="AJ54" s="33"/>
      <x:c r="AK54" s="33"/>
      <x:c r="AL54" s="33"/>
      <x:c r="AM54" s="33"/>
    </x:row>
    <x:row r="55">
      <x:c r="A55" s="33" t="n">
        <x:v>43</x:v>
      </x:c>
      <x:c r="B55" s="32" t="e">
        <x:f>IF(A55=1,Dashboard!$F$14,F54)</x:f>
      </x:c>
      <x:c r="C55" s="32" t="n">
        <x:f>0</x:f>
        <x:v>0</x:v>
      </x:c>
      <x:c r="D55" s="32" t="e">
        <x:f>IF(A55&lt;=Dashboard!$F$15,B55*Dashboard!$F$6,0)</x:f>
      </x:c>
      <x:c r="E55" s="32" t="e">
        <x:f>IF(A55&lt;=Dashboard!$F$15,MIN(Dashboard!$F$10,B55+D55),0)</x:f>
      </x:c>
      <x:c r="F55" s="32" t="e">
        <x:f>IF(A55&lt;=Dashboard!$F$15,MAX(0,B55-MAX(0,E55-D55)),0)</x:f>
      </x:c>
      <x:c r="G55" s="32" t="e">
        <x:f>IF(A55=1,D55,G54+D55)</x:f>
      </x:c>
      <x:c r="H55" s="32"/>
      <x:c r="I55" s="32" t="e">
        <x:f>IF(A55=1,Dashboard!$F$14,M54)</x:f>
      </x:c>
      <x:c r="J55" s="32" t="e">
        <x:f>IF(A55&lt;=Dashboard!$F$17,MIN(I55,$B$5),0)</x:f>
      </x:c>
      <x:c r="K55" s="32" t="e">
        <x:f>IF(A55&lt;=Dashboard!$F$17,MAX(0,I55-J55)*Dashboard!$F$6,0)</x:f>
      </x:c>
      <x:c r="L55" s="32" t="e">
        <x:f>IF(A55&lt;=Dashboard!$F$17,MIN(Dashboard!$F$10,MAX(0,I55-J55)+K55),0)</x:f>
      </x:c>
      <x:c r="M55" s="32" t="e">
        <x:f>IF(A55&lt;=Dashboard!$F$17,MAX(0,I55-J55-MAX(0,L55-K55)),0)</x:f>
      </x:c>
      <x:c r="N55" s="32" t="e">
        <x:f>IF(A55=1,K55,N54+K55)</x:f>
      </x:c>
      <x:c r="O55" s="32"/>
      <x:c r="P55" s="32" t="e">
        <x:f>IF(A55=1,Dashboard!$F$14,T54)</x:f>
      </x:c>
      <x:c r="Q55" s="32" t="e">
        <x:f>IF(A55&lt;=Dashboard!$F$17,MIN(P55,$B$6*52/12),0)</x:f>
      </x:c>
      <x:c r="R55" s="32" t="e">
        <x:f>IF(A55&lt;=Dashboard!$F$17,MAX(0,P55-Q55)*Dashboard!$F$6,0)</x:f>
      </x:c>
      <x:c r="S55" s="32" t="e">
        <x:f>IF(A55&lt;=Dashboard!$F$17,MIN(Dashboard!$F$10,MAX(0,P55-Q55)+R55),0)</x:f>
      </x:c>
      <x:c r="T55" s="32" t="e">
        <x:f>IF(A55&lt;=Dashboard!$F$17,MAX(0,P55-Q55-MAX(0,S55-R55)),0)</x:f>
      </x:c>
      <x:c r="U55" s="32" t="e">
        <x:f>IF(A55=1,R55,U54+R55)</x:f>
      </x:c>
      <x:c r="V55" s="32"/>
      <x:c r="W55" s="32" t="e">
        <x:f>IF(A55=1,Dashboard!$F$14,AA54)</x:f>
      </x:c>
      <x:c r="X55" s="32" t="e">
        <x:f>IF(AND(A55&lt;=Dashboard!$F$17,MOD(A55-1,12)=0),MIN(W55,$B$7),0)</x:f>
      </x:c>
      <x:c r="Y55" s="32" t="e">
        <x:f>IF(A55&lt;=Dashboard!$F$17,MAX(0,W55-X55)*Dashboard!$F$6,0)</x:f>
      </x:c>
      <x:c r="Z55" s="32" t="e">
        <x:f>IF(A55&lt;=Dashboard!$F$17,MIN(Dashboard!$F$10,MAX(0,W55-X55)+Y55),0)</x:f>
      </x:c>
      <x:c r="AA55" s="32" t="e">
        <x:f>IF(A55&lt;=Dashboard!$F$17,MAX(0,W55-X55-MAX(0,Z55-Y55)),0)</x:f>
      </x:c>
      <x:c r="AB55" s="32" t="e">
        <x:f>IF(A55=1,Y55,AB54+Y55)</x:f>
      </x:c>
      <x:c r="AC55" s="32"/>
      <x:c r="AD55" s="32" t="e">
        <x:f>IF(A55=1,MAX(0,Dashboard!$F$14-$B$8),AG54)</x:f>
      </x:c>
      <x:c r="AE55" s="32" t="n">
        <x:f>0</x:f>
        <x:v>0</x:v>
      </x:c>
      <x:c r="AF55" s="32" t="e">
        <x:f>IF(A55&lt;=Dashboard!$F$17,AD55*Dashboard!$F$6,0)</x:f>
      </x:c>
      <x:c r="AG55" s="32" t="e">
        <x:f>IF(A55&lt;=Dashboard!$F$17,MIN(Dashboard!$F$10,AD55+AF55),0)</x:f>
      </x:c>
      <x:c r="AH55" s="32" t="e">
        <x:f>IF(A55&lt;=Dashboard!$F$17,MAX(0,AD55-MAX(0,AG55-AF55)),0)</x:f>
      </x:c>
      <x:c r="AI55" s="32" t="e">
        <x:f>IF(A55=1,AF55,AI54+AF55)</x:f>
      </x:c>
      <x:c r="AJ55" s="33"/>
      <x:c r="AK55" s="33"/>
      <x:c r="AL55" s="33"/>
      <x:c r="AM55" s="33"/>
    </x:row>
    <x:row r="56">
      <x:c r="A56" s="33" t="n">
        <x:v>44</x:v>
      </x:c>
      <x:c r="B56" s="32" t="e">
        <x:f>IF(A56=1,Dashboard!$F$14,F55)</x:f>
      </x:c>
      <x:c r="C56" s="32" t="n">
        <x:f>0</x:f>
        <x:v>0</x:v>
      </x:c>
      <x:c r="D56" s="32" t="e">
        <x:f>IF(A56&lt;=Dashboard!$F$15,B56*Dashboard!$F$6,0)</x:f>
      </x:c>
      <x:c r="E56" s="32" t="e">
        <x:f>IF(A56&lt;=Dashboard!$F$15,MIN(Dashboard!$F$10,B56+D56),0)</x:f>
      </x:c>
      <x:c r="F56" s="32" t="e">
        <x:f>IF(A56&lt;=Dashboard!$F$15,MAX(0,B56-MAX(0,E56-D56)),0)</x:f>
      </x:c>
      <x:c r="G56" s="32" t="e">
        <x:f>IF(A56=1,D56,G55+D56)</x:f>
      </x:c>
      <x:c r="H56" s="32"/>
      <x:c r="I56" s="32" t="e">
        <x:f>IF(A56=1,Dashboard!$F$14,M55)</x:f>
      </x:c>
      <x:c r="J56" s="32" t="e">
        <x:f>IF(A56&lt;=Dashboard!$F$17,MIN(I56,$B$5),0)</x:f>
      </x:c>
      <x:c r="K56" s="32" t="e">
        <x:f>IF(A56&lt;=Dashboard!$F$17,MAX(0,I56-J56)*Dashboard!$F$6,0)</x:f>
      </x:c>
      <x:c r="L56" s="32" t="e">
        <x:f>IF(A56&lt;=Dashboard!$F$17,MIN(Dashboard!$F$10,MAX(0,I56-J56)+K56),0)</x:f>
      </x:c>
      <x:c r="M56" s="32" t="e">
        <x:f>IF(A56&lt;=Dashboard!$F$17,MAX(0,I56-J56-MAX(0,L56-K56)),0)</x:f>
      </x:c>
      <x:c r="N56" s="32" t="e">
        <x:f>IF(A56=1,K56,N55+K56)</x:f>
      </x:c>
      <x:c r="O56" s="32"/>
      <x:c r="P56" s="32" t="e">
        <x:f>IF(A56=1,Dashboard!$F$14,T55)</x:f>
      </x:c>
      <x:c r="Q56" s="32" t="e">
        <x:f>IF(A56&lt;=Dashboard!$F$17,MIN(P56,$B$6*52/12),0)</x:f>
      </x:c>
      <x:c r="R56" s="32" t="e">
        <x:f>IF(A56&lt;=Dashboard!$F$17,MAX(0,P56-Q56)*Dashboard!$F$6,0)</x:f>
      </x:c>
      <x:c r="S56" s="32" t="e">
        <x:f>IF(A56&lt;=Dashboard!$F$17,MIN(Dashboard!$F$10,MAX(0,P56-Q56)+R56),0)</x:f>
      </x:c>
      <x:c r="T56" s="32" t="e">
        <x:f>IF(A56&lt;=Dashboard!$F$17,MAX(0,P56-Q56-MAX(0,S56-R56)),0)</x:f>
      </x:c>
      <x:c r="U56" s="32" t="e">
        <x:f>IF(A56=1,R56,U55+R56)</x:f>
      </x:c>
      <x:c r="V56" s="32"/>
      <x:c r="W56" s="32" t="e">
        <x:f>IF(A56=1,Dashboard!$F$14,AA55)</x:f>
      </x:c>
      <x:c r="X56" s="32" t="e">
        <x:f>IF(AND(A56&lt;=Dashboard!$F$17,MOD(A56-1,12)=0),MIN(W56,$B$7),0)</x:f>
      </x:c>
      <x:c r="Y56" s="32" t="e">
        <x:f>IF(A56&lt;=Dashboard!$F$17,MAX(0,W56-X56)*Dashboard!$F$6,0)</x:f>
      </x:c>
      <x:c r="Z56" s="32" t="e">
        <x:f>IF(A56&lt;=Dashboard!$F$17,MIN(Dashboard!$F$10,MAX(0,W56-X56)+Y56),0)</x:f>
      </x:c>
      <x:c r="AA56" s="32" t="e">
        <x:f>IF(A56&lt;=Dashboard!$F$17,MAX(0,W56-X56-MAX(0,Z56-Y56)),0)</x:f>
      </x:c>
      <x:c r="AB56" s="32" t="e">
        <x:f>IF(A56=1,Y56,AB55+Y56)</x:f>
      </x:c>
      <x:c r="AC56" s="32"/>
      <x:c r="AD56" s="32" t="e">
        <x:f>IF(A56=1,MAX(0,Dashboard!$F$14-$B$8),AG55)</x:f>
      </x:c>
      <x:c r="AE56" s="32" t="n">
        <x:f>0</x:f>
        <x:v>0</x:v>
      </x:c>
      <x:c r="AF56" s="32" t="e">
        <x:f>IF(A56&lt;=Dashboard!$F$17,AD56*Dashboard!$F$6,0)</x:f>
      </x:c>
      <x:c r="AG56" s="32" t="e">
        <x:f>IF(A56&lt;=Dashboard!$F$17,MIN(Dashboard!$F$10,AD56+AF56),0)</x:f>
      </x:c>
      <x:c r="AH56" s="32" t="e">
        <x:f>IF(A56&lt;=Dashboard!$F$17,MAX(0,AD56-MAX(0,AG56-AF56)),0)</x:f>
      </x:c>
      <x:c r="AI56" s="32" t="e">
        <x:f>IF(A56=1,AF56,AI55+AF56)</x:f>
      </x:c>
      <x:c r="AJ56" s="33"/>
      <x:c r="AK56" s="33"/>
      <x:c r="AL56" s="33"/>
      <x:c r="AM56" s="33"/>
    </x:row>
    <x:row r="57">
      <x:c r="A57" s="33" t="n">
        <x:v>45</x:v>
      </x:c>
      <x:c r="B57" s="32" t="e">
        <x:f>IF(A57=1,Dashboard!$F$14,F56)</x:f>
      </x:c>
      <x:c r="C57" s="32" t="n">
        <x:f>0</x:f>
        <x:v>0</x:v>
      </x:c>
      <x:c r="D57" s="32" t="e">
        <x:f>IF(A57&lt;=Dashboard!$F$15,B57*Dashboard!$F$6,0)</x:f>
      </x:c>
      <x:c r="E57" s="32" t="e">
        <x:f>IF(A57&lt;=Dashboard!$F$15,MIN(Dashboard!$F$10,B57+D57),0)</x:f>
      </x:c>
      <x:c r="F57" s="32" t="e">
        <x:f>IF(A57&lt;=Dashboard!$F$15,MAX(0,B57-MAX(0,E57-D57)),0)</x:f>
      </x:c>
      <x:c r="G57" s="32" t="e">
        <x:f>IF(A57=1,D57,G56+D57)</x:f>
      </x:c>
      <x:c r="H57" s="32"/>
      <x:c r="I57" s="32" t="e">
        <x:f>IF(A57=1,Dashboard!$F$14,M56)</x:f>
      </x:c>
      <x:c r="J57" s="32" t="e">
        <x:f>IF(A57&lt;=Dashboard!$F$17,MIN(I57,$B$5),0)</x:f>
      </x:c>
      <x:c r="K57" s="32" t="e">
        <x:f>IF(A57&lt;=Dashboard!$F$17,MAX(0,I57-J57)*Dashboard!$F$6,0)</x:f>
      </x:c>
      <x:c r="L57" s="32" t="e">
        <x:f>IF(A57&lt;=Dashboard!$F$17,MIN(Dashboard!$F$10,MAX(0,I57-J57)+K57),0)</x:f>
      </x:c>
      <x:c r="M57" s="32" t="e">
        <x:f>IF(A57&lt;=Dashboard!$F$17,MAX(0,I57-J57-MAX(0,L57-K57)),0)</x:f>
      </x:c>
      <x:c r="N57" s="32" t="e">
        <x:f>IF(A57=1,K57,N56+K57)</x:f>
      </x:c>
      <x:c r="O57" s="32"/>
      <x:c r="P57" s="32" t="e">
        <x:f>IF(A57=1,Dashboard!$F$14,T56)</x:f>
      </x:c>
      <x:c r="Q57" s="32" t="e">
        <x:f>IF(A57&lt;=Dashboard!$F$17,MIN(P57,$B$6*52/12),0)</x:f>
      </x:c>
      <x:c r="R57" s="32" t="e">
        <x:f>IF(A57&lt;=Dashboard!$F$17,MAX(0,P57-Q57)*Dashboard!$F$6,0)</x:f>
      </x:c>
      <x:c r="S57" s="32" t="e">
        <x:f>IF(A57&lt;=Dashboard!$F$17,MIN(Dashboard!$F$10,MAX(0,P57-Q57)+R57),0)</x:f>
      </x:c>
      <x:c r="T57" s="32" t="e">
        <x:f>IF(A57&lt;=Dashboard!$F$17,MAX(0,P57-Q57-MAX(0,S57-R57)),0)</x:f>
      </x:c>
      <x:c r="U57" s="32" t="e">
        <x:f>IF(A57=1,R57,U56+R57)</x:f>
      </x:c>
      <x:c r="V57" s="32"/>
      <x:c r="W57" s="32" t="e">
        <x:f>IF(A57=1,Dashboard!$F$14,AA56)</x:f>
      </x:c>
      <x:c r="X57" s="32" t="e">
        <x:f>IF(AND(A57&lt;=Dashboard!$F$17,MOD(A57-1,12)=0),MIN(W57,$B$7),0)</x:f>
      </x:c>
      <x:c r="Y57" s="32" t="e">
        <x:f>IF(A57&lt;=Dashboard!$F$17,MAX(0,W57-X57)*Dashboard!$F$6,0)</x:f>
      </x:c>
      <x:c r="Z57" s="32" t="e">
        <x:f>IF(A57&lt;=Dashboard!$F$17,MIN(Dashboard!$F$10,MAX(0,W57-X57)+Y57),0)</x:f>
      </x:c>
      <x:c r="AA57" s="32" t="e">
        <x:f>IF(A57&lt;=Dashboard!$F$17,MAX(0,W57-X57-MAX(0,Z57-Y57)),0)</x:f>
      </x:c>
      <x:c r="AB57" s="32" t="e">
        <x:f>IF(A57=1,Y57,AB56+Y57)</x:f>
      </x:c>
      <x:c r="AC57" s="32"/>
      <x:c r="AD57" s="32" t="e">
        <x:f>IF(A57=1,MAX(0,Dashboard!$F$14-$B$8),AG56)</x:f>
      </x:c>
      <x:c r="AE57" s="32" t="n">
        <x:f>0</x:f>
        <x:v>0</x:v>
      </x:c>
      <x:c r="AF57" s="32" t="e">
        <x:f>IF(A57&lt;=Dashboard!$F$17,AD57*Dashboard!$F$6,0)</x:f>
      </x:c>
      <x:c r="AG57" s="32" t="e">
        <x:f>IF(A57&lt;=Dashboard!$F$17,MIN(Dashboard!$F$10,AD57+AF57),0)</x:f>
      </x:c>
      <x:c r="AH57" s="32" t="e">
        <x:f>IF(A57&lt;=Dashboard!$F$17,MAX(0,AD57-MAX(0,AG57-AF57)),0)</x:f>
      </x:c>
      <x:c r="AI57" s="32" t="e">
        <x:f>IF(A57=1,AF57,AI56+AF57)</x:f>
      </x:c>
      <x:c r="AJ57" s="33"/>
      <x:c r="AK57" s="33"/>
      <x:c r="AL57" s="33"/>
      <x:c r="AM57" s="33"/>
    </x:row>
    <x:row r="58">
      <x:c r="A58" s="33" t="n">
        <x:v>46</x:v>
      </x:c>
      <x:c r="B58" s="32" t="e">
        <x:f>IF(A58=1,Dashboard!$F$14,F57)</x:f>
      </x:c>
      <x:c r="C58" s="32" t="n">
        <x:f>0</x:f>
        <x:v>0</x:v>
      </x:c>
      <x:c r="D58" s="32" t="e">
        <x:f>IF(A58&lt;=Dashboard!$F$15,B58*Dashboard!$F$6,0)</x:f>
      </x:c>
      <x:c r="E58" s="32" t="e">
        <x:f>IF(A58&lt;=Dashboard!$F$15,MIN(Dashboard!$F$10,B58+D58),0)</x:f>
      </x:c>
      <x:c r="F58" s="32" t="e">
        <x:f>IF(A58&lt;=Dashboard!$F$15,MAX(0,B58-MAX(0,E58-D58)),0)</x:f>
      </x:c>
      <x:c r="G58" s="32" t="e">
        <x:f>IF(A58=1,D58,G57+D58)</x:f>
      </x:c>
      <x:c r="H58" s="32"/>
      <x:c r="I58" s="32" t="e">
        <x:f>IF(A58=1,Dashboard!$F$14,M57)</x:f>
      </x:c>
      <x:c r="J58" s="32" t="e">
        <x:f>IF(A58&lt;=Dashboard!$F$17,MIN(I58,$B$5),0)</x:f>
      </x:c>
      <x:c r="K58" s="32" t="e">
        <x:f>IF(A58&lt;=Dashboard!$F$17,MAX(0,I58-J58)*Dashboard!$F$6,0)</x:f>
      </x:c>
      <x:c r="L58" s="32" t="e">
        <x:f>IF(A58&lt;=Dashboard!$F$17,MIN(Dashboard!$F$10,MAX(0,I58-J58)+K58),0)</x:f>
      </x:c>
      <x:c r="M58" s="32" t="e">
        <x:f>IF(A58&lt;=Dashboard!$F$17,MAX(0,I58-J58-MAX(0,L58-K58)),0)</x:f>
      </x:c>
      <x:c r="N58" s="32" t="e">
        <x:f>IF(A58=1,K58,N57+K58)</x:f>
      </x:c>
      <x:c r="O58" s="32"/>
      <x:c r="P58" s="32" t="e">
        <x:f>IF(A58=1,Dashboard!$F$14,T57)</x:f>
      </x:c>
      <x:c r="Q58" s="32" t="e">
        <x:f>IF(A58&lt;=Dashboard!$F$17,MIN(P58,$B$6*52/12),0)</x:f>
      </x:c>
      <x:c r="R58" s="32" t="e">
        <x:f>IF(A58&lt;=Dashboard!$F$17,MAX(0,P58-Q58)*Dashboard!$F$6,0)</x:f>
      </x:c>
      <x:c r="S58" s="32" t="e">
        <x:f>IF(A58&lt;=Dashboard!$F$17,MIN(Dashboard!$F$10,MAX(0,P58-Q58)+R58),0)</x:f>
      </x:c>
      <x:c r="T58" s="32" t="e">
        <x:f>IF(A58&lt;=Dashboard!$F$17,MAX(0,P58-Q58-MAX(0,S58-R58)),0)</x:f>
      </x:c>
      <x:c r="U58" s="32" t="e">
        <x:f>IF(A58=1,R58,U57+R58)</x:f>
      </x:c>
      <x:c r="V58" s="32"/>
      <x:c r="W58" s="32" t="e">
        <x:f>IF(A58=1,Dashboard!$F$14,AA57)</x:f>
      </x:c>
      <x:c r="X58" s="32" t="e">
        <x:f>IF(AND(A58&lt;=Dashboard!$F$17,MOD(A58-1,12)=0),MIN(W58,$B$7),0)</x:f>
      </x:c>
      <x:c r="Y58" s="32" t="e">
        <x:f>IF(A58&lt;=Dashboard!$F$17,MAX(0,W58-X58)*Dashboard!$F$6,0)</x:f>
      </x:c>
      <x:c r="Z58" s="32" t="e">
        <x:f>IF(A58&lt;=Dashboard!$F$17,MIN(Dashboard!$F$10,MAX(0,W58-X58)+Y58),0)</x:f>
      </x:c>
      <x:c r="AA58" s="32" t="e">
        <x:f>IF(A58&lt;=Dashboard!$F$17,MAX(0,W58-X58-MAX(0,Z58-Y58)),0)</x:f>
      </x:c>
      <x:c r="AB58" s="32" t="e">
        <x:f>IF(A58=1,Y58,AB57+Y58)</x:f>
      </x:c>
      <x:c r="AC58" s="32"/>
      <x:c r="AD58" s="32" t="e">
        <x:f>IF(A58=1,MAX(0,Dashboard!$F$14-$B$8),AG57)</x:f>
      </x:c>
      <x:c r="AE58" s="32" t="n">
        <x:f>0</x:f>
        <x:v>0</x:v>
      </x:c>
      <x:c r="AF58" s="32" t="e">
        <x:f>IF(A58&lt;=Dashboard!$F$17,AD58*Dashboard!$F$6,0)</x:f>
      </x:c>
      <x:c r="AG58" s="32" t="e">
        <x:f>IF(A58&lt;=Dashboard!$F$17,MIN(Dashboard!$F$10,AD58+AF58),0)</x:f>
      </x:c>
      <x:c r="AH58" s="32" t="e">
        <x:f>IF(A58&lt;=Dashboard!$F$17,MAX(0,AD58-MAX(0,AG58-AF58)),0)</x:f>
      </x:c>
      <x:c r="AI58" s="32" t="e">
        <x:f>IF(A58=1,AF58,AI57+AF58)</x:f>
      </x:c>
      <x:c r="AJ58" s="33"/>
      <x:c r="AK58" s="33"/>
      <x:c r="AL58" s="33"/>
      <x:c r="AM58" s="33"/>
    </x:row>
    <x:row r="59">
      <x:c r="A59" s="33" t="n">
        <x:v>47</x:v>
      </x:c>
      <x:c r="B59" s="32" t="e">
        <x:f>IF(A59=1,Dashboard!$F$14,F58)</x:f>
      </x:c>
      <x:c r="C59" s="32" t="n">
        <x:f>0</x:f>
        <x:v>0</x:v>
      </x:c>
      <x:c r="D59" s="32" t="e">
        <x:f>IF(A59&lt;=Dashboard!$F$15,B59*Dashboard!$F$6,0)</x:f>
      </x:c>
      <x:c r="E59" s="32" t="e">
        <x:f>IF(A59&lt;=Dashboard!$F$15,MIN(Dashboard!$F$10,B59+D59),0)</x:f>
      </x:c>
      <x:c r="F59" s="32" t="e">
        <x:f>IF(A59&lt;=Dashboard!$F$15,MAX(0,B59-MAX(0,E59-D59)),0)</x:f>
      </x:c>
      <x:c r="G59" s="32" t="e">
        <x:f>IF(A59=1,D59,G58+D59)</x:f>
      </x:c>
      <x:c r="H59" s="32"/>
      <x:c r="I59" s="32" t="e">
        <x:f>IF(A59=1,Dashboard!$F$14,M58)</x:f>
      </x:c>
      <x:c r="J59" s="32" t="e">
        <x:f>IF(A59&lt;=Dashboard!$F$17,MIN(I59,$B$5),0)</x:f>
      </x:c>
      <x:c r="K59" s="32" t="e">
        <x:f>IF(A59&lt;=Dashboard!$F$17,MAX(0,I59-J59)*Dashboard!$F$6,0)</x:f>
      </x:c>
      <x:c r="L59" s="32" t="e">
        <x:f>IF(A59&lt;=Dashboard!$F$17,MIN(Dashboard!$F$10,MAX(0,I59-J59)+K59),0)</x:f>
      </x:c>
      <x:c r="M59" s="32" t="e">
        <x:f>IF(A59&lt;=Dashboard!$F$17,MAX(0,I59-J59-MAX(0,L59-K59)),0)</x:f>
      </x:c>
      <x:c r="N59" s="32" t="e">
        <x:f>IF(A59=1,K59,N58+K59)</x:f>
      </x:c>
      <x:c r="O59" s="32"/>
      <x:c r="P59" s="32" t="e">
        <x:f>IF(A59=1,Dashboard!$F$14,T58)</x:f>
      </x:c>
      <x:c r="Q59" s="32" t="e">
        <x:f>IF(A59&lt;=Dashboard!$F$17,MIN(P59,$B$6*52/12),0)</x:f>
      </x:c>
      <x:c r="R59" s="32" t="e">
        <x:f>IF(A59&lt;=Dashboard!$F$17,MAX(0,P59-Q59)*Dashboard!$F$6,0)</x:f>
      </x:c>
      <x:c r="S59" s="32" t="e">
        <x:f>IF(A59&lt;=Dashboard!$F$17,MIN(Dashboard!$F$10,MAX(0,P59-Q59)+R59),0)</x:f>
      </x:c>
      <x:c r="T59" s="32" t="e">
        <x:f>IF(A59&lt;=Dashboard!$F$17,MAX(0,P59-Q59-MAX(0,S59-R59)),0)</x:f>
      </x:c>
      <x:c r="U59" s="32" t="e">
        <x:f>IF(A59=1,R59,U58+R59)</x:f>
      </x:c>
      <x:c r="V59" s="32"/>
      <x:c r="W59" s="32" t="e">
        <x:f>IF(A59=1,Dashboard!$F$14,AA58)</x:f>
      </x:c>
      <x:c r="X59" s="32" t="e">
        <x:f>IF(AND(A59&lt;=Dashboard!$F$17,MOD(A59-1,12)=0),MIN(W59,$B$7),0)</x:f>
      </x:c>
      <x:c r="Y59" s="32" t="e">
        <x:f>IF(A59&lt;=Dashboard!$F$17,MAX(0,W59-X59)*Dashboard!$F$6,0)</x:f>
      </x:c>
      <x:c r="Z59" s="32" t="e">
        <x:f>IF(A59&lt;=Dashboard!$F$17,MIN(Dashboard!$F$10,MAX(0,W59-X59)+Y59),0)</x:f>
      </x:c>
      <x:c r="AA59" s="32" t="e">
        <x:f>IF(A59&lt;=Dashboard!$F$17,MAX(0,W59-X59-MAX(0,Z59-Y59)),0)</x:f>
      </x:c>
      <x:c r="AB59" s="32" t="e">
        <x:f>IF(A59=1,Y59,AB58+Y59)</x:f>
      </x:c>
      <x:c r="AC59" s="32"/>
      <x:c r="AD59" s="32" t="e">
        <x:f>IF(A59=1,MAX(0,Dashboard!$F$14-$B$8),AG58)</x:f>
      </x:c>
      <x:c r="AE59" s="32" t="n">
        <x:f>0</x:f>
        <x:v>0</x:v>
      </x:c>
      <x:c r="AF59" s="32" t="e">
        <x:f>IF(A59&lt;=Dashboard!$F$17,AD59*Dashboard!$F$6,0)</x:f>
      </x:c>
      <x:c r="AG59" s="32" t="e">
        <x:f>IF(A59&lt;=Dashboard!$F$17,MIN(Dashboard!$F$10,AD59+AF59),0)</x:f>
      </x:c>
      <x:c r="AH59" s="32" t="e">
        <x:f>IF(A59&lt;=Dashboard!$F$17,MAX(0,AD59-MAX(0,AG59-AF59)),0)</x:f>
      </x:c>
      <x:c r="AI59" s="32" t="e">
        <x:f>IF(A59=1,AF59,AI58+AF59)</x:f>
      </x:c>
      <x:c r="AJ59" s="33"/>
      <x:c r="AK59" s="33"/>
      <x:c r="AL59" s="33"/>
      <x:c r="AM59" s="33"/>
    </x:row>
    <x:row r="60">
      <x:c r="A60" s="33" t="n">
        <x:v>48</x:v>
      </x:c>
      <x:c r="B60" s="32" t="e">
        <x:f>IF(A60=1,Dashboard!$F$14,F59)</x:f>
      </x:c>
      <x:c r="C60" s="32" t="n">
        <x:f>0</x:f>
        <x:v>0</x:v>
      </x:c>
      <x:c r="D60" s="32" t="e">
        <x:f>IF(A60&lt;=Dashboard!$F$15,B60*Dashboard!$F$6,0)</x:f>
      </x:c>
      <x:c r="E60" s="32" t="e">
        <x:f>IF(A60&lt;=Dashboard!$F$15,MIN(Dashboard!$F$10,B60+D60),0)</x:f>
      </x:c>
      <x:c r="F60" s="32" t="e">
        <x:f>IF(A60&lt;=Dashboard!$F$15,MAX(0,B60-MAX(0,E60-D60)),0)</x:f>
      </x:c>
      <x:c r="G60" s="32" t="e">
        <x:f>IF(A60=1,D60,G59+D60)</x:f>
      </x:c>
      <x:c r="H60" s="32"/>
      <x:c r="I60" s="32" t="e">
        <x:f>IF(A60=1,Dashboard!$F$14,M59)</x:f>
      </x:c>
      <x:c r="J60" s="32" t="e">
        <x:f>IF(A60&lt;=Dashboard!$F$17,MIN(I60,$B$5),0)</x:f>
      </x:c>
      <x:c r="K60" s="32" t="e">
        <x:f>IF(A60&lt;=Dashboard!$F$17,MAX(0,I60-J60)*Dashboard!$F$6,0)</x:f>
      </x:c>
      <x:c r="L60" s="32" t="e">
        <x:f>IF(A60&lt;=Dashboard!$F$17,MIN(Dashboard!$F$10,MAX(0,I60-J60)+K60),0)</x:f>
      </x:c>
      <x:c r="M60" s="32" t="e">
        <x:f>IF(A60&lt;=Dashboard!$F$17,MAX(0,I60-J60-MAX(0,L60-K60)),0)</x:f>
      </x:c>
      <x:c r="N60" s="32" t="e">
        <x:f>IF(A60=1,K60,N59+K60)</x:f>
      </x:c>
      <x:c r="O60" s="32"/>
      <x:c r="P60" s="32" t="e">
        <x:f>IF(A60=1,Dashboard!$F$14,T59)</x:f>
      </x:c>
      <x:c r="Q60" s="32" t="e">
        <x:f>IF(A60&lt;=Dashboard!$F$17,MIN(P60,$B$6*52/12),0)</x:f>
      </x:c>
      <x:c r="R60" s="32" t="e">
        <x:f>IF(A60&lt;=Dashboard!$F$17,MAX(0,P60-Q60)*Dashboard!$F$6,0)</x:f>
      </x:c>
      <x:c r="S60" s="32" t="e">
        <x:f>IF(A60&lt;=Dashboard!$F$17,MIN(Dashboard!$F$10,MAX(0,P60-Q60)+R60),0)</x:f>
      </x:c>
      <x:c r="T60" s="32" t="e">
        <x:f>IF(A60&lt;=Dashboard!$F$17,MAX(0,P60-Q60-MAX(0,S60-R60)),0)</x:f>
      </x:c>
      <x:c r="U60" s="32" t="e">
        <x:f>IF(A60=1,R60,U59+R60)</x:f>
      </x:c>
      <x:c r="V60" s="32"/>
      <x:c r="W60" s="32" t="e">
        <x:f>IF(A60=1,Dashboard!$F$14,AA59)</x:f>
      </x:c>
      <x:c r="X60" s="32" t="e">
        <x:f>IF(AND(A60&lt;=Dashboard!$F$17,MOD(A60-1,12)=0),MIN(W60,$B$7),0)</x:f>
      </x:c>
      <x:c r="Y60" s="32" t="e">
        <x:f>IF(A60&lt;=Dashboard!$F$17,MAX(0,W60-X60)*Dashboard!$F$6,0)</x:f>
      </x:c>
      <x:c r="Z60" s="32" t="e">
        <x:f>IF(A60&lt;=Dashboard!$F$17,MIN(Dashboard!$F$10,MAX(0,W60-X60)+Y60),0)</x:f>
      </x:c>
      <x:c r="AA60" s="32" t="e">
        <x:f>IF(A60&lt;=Dashboard!$F$17,MAX(0,W60-X60-MAX(0,Z60-Y60)),0)</x:f>
      </x:c>
      <x:c r="AB60" s="32" t="e">
        <x:f>IF(A60=1,Y60,AB59+Y60)</x:f>
      </x:c>
      <x:c r="AC60" s="32"/>
      <x:c r="AD60" s="32" t="e">
        <x:f>IF(A60=1,MAX(0,Dashboard!$F$14-$B$8),AG59)</x:f>
      </x:c>
      <x:c r="AE60" s="32" t="n">
        <x:f>0</x:f>
        <x:v>0</x:v>
      </x:c>
      <x:c r="AF60" s="32" t="e">
        <x:f>IF(A60&lt;=Dashboard!$F$17,AD60*Dashboard!$F$6,0)</x:f>
      </x:c>
      <x:c r="AG60" s="32" t="e">
        <x:f>IF(A60&lt;=Dashboard!$F$17,MIN(Dashboard!$F$10,AD60+AF60),0)</x:f>
      </x:c>
      <x:c r="AH60" s="32" t="e">
        <x:f>IF(A60&lt;=Dashboard!$F$17,MAX(0,AD60-MAX(0,AG60-AF60)),0)</x:f>
      </x:c>
      <x:c r="AI60" s="32" t="e">
        <x:f>IF(A60=1,AF60,AI59+AF60)</x:f>
      </x:c>
      <x:c r="AJ60" s="33"/>
      <x:c r="AK60" s="33"/>
      <x:c r="AL60" s="33"/>
      <x:c r="AM60" s="33"/>
    </x:row>
    <x:row r="61">
      <x:c r="A61" s="33" t="n">
        <x:v>49</x:v>
      </x:c>
      <x:c r="B61" s="32" t="e">
        <x:f>IF(A61=1,Dashboard!$F$14,F60)</x:f>
      </x:c>
      <x:c r="C61" s="32" t="n">
        <x:f>0</x:f>
        <x:v>0</x:v>
      </x:c>
      <x:c r="D61" s="32" t="e">
        <x:f>IF(A61&lt;=Dashboard!$F$15,B61*Dashboard!$F$6,0)</x:f>
      </x:c>
      <x:c r="E61" s="32" t="e">
        <x:f>IF(A61&lt;=Dashboard!$F$15,MIN(Dashboard!$F$10,B61+D61),0)</x:f>
      </x:c>
      <x:c r="F61" s="32" t="e">
        <x:f>IF(A61&lt;=Dashboard!$F$15,MAX(0,B61-MAX(0,E61-D61)),0)</x:f>
      </x:c>
      <x:c r="G61" s="32" t="e">
        <x:f>IF(A61=1,D61,G60+D61)</x:f>
      </x:c>
      <x:c r="H61" s="32"/>
      <x:c r="I61" s="32" t="e">
        <x:f>IF(A61=1,Dashboard!$F$14,M60)</x:f>
      </x:c>
      <x:c r="J61" s="32" t="e">
        <x:f>IF(A61&lt;=Dashboard!$F$17,MIN(I61,$B$5),0)</x:f>
      </x:c>
      <x:c r="K61" s="32" t="e">
        <x:f>IF(A61&lt;=Dashboard!$F$17,MAX(0,I61-J61)*Dashboard!$F$6,0)</x:f>
      </x:c>
      <x:c r="L61" s="32" t="e">
        <x:f>IF(A61&lt;=Dashboard!$F$17,MIN(Dashboard!$F$10,MAX(0,I61-J61)+K61),0)</x:f>
      </x:c>
      <x:c r="M61" s="32" t="e">
        <x:f>IF(A61&lt;=Dashboard!$F$17,MAX(0,I61-J61-MAX(0,L61-K61)),0)</x:f>
      </x:c>
      <x:c r="N61" s="32" t="e">
        <x:f>IF(A61=1,K61,N60+K61)</x:f>
      </x:c>
      <x:c r="O61" s="32"/>
      <x:c r="P61" s="32" t="e">
        <x:f>IF(A61=1,Dashboard!$F$14,T60)</x:f>
      </x:c>
      <x:c r="Q61" s="32" t="e">
        <x:f>IF(A61&lt;=Dashboard!$F$17,MIN(P61,$B$6*52/12),0)</x:f>
      </x:c>
      <x:c r="R61" s="32" t="e">
        <x:f>IF(A61&lt;=Dashboard!$F$17,MAX(0,P61-Q61)*Dashboard!$F$6,0)</x:f>
      </x:c>
      <x:c r="S61" s="32" t="e">
        <x:f>IF(A61&lt;=Dashboard!$F$17,MIN(Dashboard!$F$10,MAX(0,P61-Q61)+R61),0)</x:f>
      </x:c>
      <x:c r="T61" s="32" t="e">
        <x:f>IF(A61&lt;=Dashboard!$F$17,MAX(0,P61-Q61-MAX(0,S61-R61)),0)</x:f>
      </x:c>
      <x:c r="U61" s="32" t="e">
        <x:f>IF(A61=1,R61,U60+R61)</x:f>
      </x:c>
      <x:c r="V61" s="32"/>
      <x:c r="W61" s="32" t="e">
        <x:f>IF(A61=1,Dashboard!$F$14,AA60)</x:f>
      </x:c>
      <x:c r="X61" s="32" t="e">
        <x:f>IF(AND(A61&lt;=Dashboard!$F$17,MOD(A61-1,12)=0),MIN(W61,$B$7),0)</x:f>
      </x:c>
      <x:c r="Y61" s="32" t="e">
        <x:f>IF(A61&lt;=Dashboard!$F$17,MAX(0,W61-X61)*Dashboard!$F$6,0)</x:f>
      </x:c>
      <x:c r="Z61" s="32" t="e">
        <x:f>IF(A61&lt;=Dashboard!$F$17,MIN(Dashboard!$F$10,MAX(0,W61-X61)+Y61),0)</x:f>
      </x:c>
      <x:c r="AA61" s="32" t="e">
        <x:f>IF(A61&lt;=Dashboard!$F$17,MAX(0,W61-X61-MAX(0,Z61-Y61)),0)</x:f>
      </x:c>
      <x:c r="AB61" s="32" t="e">
        <x:f>IF(A61=1,Y61,AB60+Y61)</x:f>
      </x:c>
      <x:c r="AC61" s="32"/>
      <x:c r="AD61" s="32" t="e">
        <x:f>IF(A61=1,MAX(0,Dashboard!$F$14-$B$8),AG60)</x:f>
      </x:c>
      <x:c r="AE61" s="32" t="n">
        <x:f>0</x:f>
        <x:v>0</x:v>
      </x:c>
      <x:c r="AF61" s="32" t="e">
        <x:f>IF(A61&lt;=Dashboard!$F$17,AD61*Dashboard!$F$6,0)</x:f>
      </x:c>
      <x:c r="AG61" s="32" t="e">
        <x:f>IF(A61&lt;=Dashboard!$F$17,MIN(Dashboard!$F$10,AD61+AF61),0)</x:f>
      </x:c>
      <x:c r="AH61" s="32" t="e">
        <x:f>IF(A61&lt;=Dashboard!$F$17,MAX(0,AD61-MAX(0,AG61-AF61)),0)</x:f>
      </x:c>
      <x:c r="AI61" s="32" t="e">
        <x:f>IF(A61=1,AF61,AI60+AF61)</x:f>
      </x:c>
      <x:c r="AJ61" s="33"/>
      <x:c r="AK61" s="33"/>
      <x:c r="AL61" s="33"/>
      <x:c r="AM61" s="33"/>
    </x:row>
    <x:row r="62">
      <x:c r="A62" s="33" t="n">
        <x:v>50</x:v>
      </x:c>
      <x:c r="B62" s="32" t="e">
        <x:f>IF(A62=1,Dashboard!$F$14,F61)</x:f>
      </x:c>
      <x:c r="C62" s="32" t="n">
        <x:f>0</x:f>
        <x:v>0</x:v>
      </x:c>
      <x:c r="D62" s="32" t="e">
        <x:f>IF(A62&lt;=Dashboard!$F$15,B62*Dashboard!$F$6,0)</x:f>
      </x:c>
      <x:c r="E62" s="32" t="e">
        <x:f>IF(A62&lt;=Dashboard!$F$15,MIN(Dashboard!$F$10,B62+D62),0)</x:f>
      </x:c>
      <x:c r="F62" s="32" t="e">
        <x:f>IF(A62&lt;=Dashboard!$F$15,MAX(0,B62-MAX(0,E62-D62)),0)</x:f>
      </x:c>
      <x:c r="G62" s="32" t="e">
        <x:f>IF(A62=1,D62,G61+D62)</x:f>
      </x:c>
      <x:c r="H62" s="32"/>
      <x:c r="I62" s="32" t="e">
        <x:f>IF(A62=1,Dashboard!$F$14,M61)</x:f>
      </x:c>
      <x:c r="J62" s="32" t="e">
        <x:f>IF(A62&lt;=Dashboard!$F$17,MIN(I62,$B$5),0)</x:f>
      </x:c>
      <x:c r="K62" s="32" t="e">
        <x:f>IF(A62&lt;=Dashboard!$F$17,MAX(0,I62-J62)*Dashboard!$F$6,0)</x:f>
      </x:c>
      <x:c r="L62" s="32" t="e">
        <x:f>IF(A62&lt;=Dashboard!$F$17,MIN(Dashboard!$F$10,MAX(0,I62-J62)+K62),0)</x:f>
      </x:c>
      <x:c r="M62" s="32" t="e">
        <x:f>IF(A62&lt;=Dashboard!$F$17,MAX(0,I62-J62-MAX(0,L62-K62)),0)</x:f>
      </x:c>
      <x:c r="N62" s="32" t="e">
        <x:f>IF(A62=1,K62,N61+K62)</x:f>
      </x:c>
      <x:c r="O62" s="32"/>
      <x:c r="P62" s="32" t="e">
        <x:f>IF(A62=1,Dashboard!$F$14,T61)</x:f>
      </x:c>
      <x:c r="Q62" s="32" t="e">
        <x:f>IF(A62&lt;=Dashboard!$F$17,MIN(P62,$B$6*52/12),0)</x:f>
      </x:c>
      <x:c r="R62" s="32" t="e">
        <x:f>IF(A62&lt;=Dashboard!$F$17,MAX(0,P62-Q62)*Dashboard!$F$6,0)</x:f>
      </x:c>
      <x:c r="S62" s="32" t="e">
        <x:f>IF(A62&lt;=Dashboard!$F$17,MIN(Dashboard!$F$10,MAX(0,P62-Q62)+R62),0)</x:f>
      </x:c>
      <x:c r="T62" s="32" t="e">
        <x:f>IF(A62&lt;=Dashboard!$F$17,MAX(0,P62-Q62-MAX(0,S62-R62)),0)</x:f>
      </x:c>
      <x:c r="U62" s="32" t="e">
        <x:f>IF(A62=1,R62,U61+R62)</x:f>
      </x:c>
      <x:c r="V62" s="32"/>
      <x:c r="W62" s="32" t="e">
        <x:f>IF(A62=1,Dashboard!$F$14,AA61)</x:f>
      </x:c>
      <x:c r="X62" s="32" t="e">
        <x:f>IF(AND(A62&lt;=Dashboard!$F$17,MOD(A62-1,12)=0),MIN(W62,$B$7),0)</x:f>
      </x:c>
      <x:c r="Y62" s="32" t="e">
        <x:f>IF(A62&lt;=Dashboard!$F$17,MAX(0,W62-X62)*Dashboard!$F$6,0)</x:f>
      </x:c>
      <x:c r="Z62" s="32" t="e">
        <x:f>IF(A62&lt;=Dashboard!$F$17,MIN(Dashboard!$F$10,MAX(0,W62-X62)+Y62),0)</x:f>
      </x:c>
      <x:c r="AA62" s="32" t="e">
        <x:f>IF(A62&lt;=Dashboard!$F$17,MAX(0,W62-X62-MAX(0,Z62-Y62)),0)</x:f>
      </x:c>
      <x:c r="AB62" s="32" t="e">
        <x:f>IF(A62=1,Y62,AB61+Y62)</x:f>
      </x:c>
      <x:c r="AC62" s="32"/>
      <x:c r="AD62" s="32" t="e">
        <x:f>IF(A62=1,MAX(0,Dashboard!$F$14-$B$8),AG61)</x:f>
      </x:c>
      <x:c r="AE62" s="32" t="n">
        <x:f>0</x:f>
        <x:v>0</x:v>
      </x:c>
      <x:c r="AF62" s="32" t="e">
        <x:f>IF(A62&lt;=Dashboard!$F$17,AD62*Dashboard!$F$6,0)</x:f>
      </x:c>
      <x:c r="AG62" s="32" t="e">
        <x:f>IF(A62&lt;=Dashboard!$F$17,MIN(Dashboard!$F$10,AD62+AF62),0)</x:f>
      </x:c>
      <x:c r="AH62" s="32" t="e">
        <x:f>IF(A62&lt;=Dashboard!$F$17,MAX(0,AD62-MAX(0,AG62-AF62)),0)</x:f>
      </x:c>
      <x:c r="AI62" s="32" t="e">
        <x:f>IF(A62=1,AF62,AI61+AF62)</x:f>
      </x:c>
      <x:c r="AJ62" s="33"/>
      <x:c r="AK62" s="33"/>
      <x:c r="AL62" s="33"/>
      <x:c r="AM62" s="33"/>
    </x:row>
    <x:row r="63">
      <x:c r="A63" s="33" t="n">
        <x:v>51</x:v>
      </x:c>
      <x:c r="B63" s="32" t="e">
        <x:f>IF(A63=1,Dashboard!$F$14,F62)</x:f>
      </x:c>
      <x:c r="C63" s="32" t="n">
        <x:f>0</x:f>
        <x:v>0</x:v>
      </x:c>
      <x:c r="D63" s="32" t="e">
        <x:f>IF(A63&lt;=Dashboard!$F$15,B63*Dashboard!$F$6,0)</x:f>
      </x:c>
      <x:c r="E63" s="32" t="e">
        <x:f>IF(A63&lt;=Dashboard!$F$15,MIN(Dashboard!$F$10,B63+D63),0)</x:f>
      </x:c>
      <x:c r="F63" s="32" t="e">
        <x:f>IF(A63&lt;=Dashboard!$F$15,MAX(0,B63-MAX(0,E63-D63)),0)</x:f>
      </x:c>
      <x:c r="G63" s="32" t="e">
        <x:f>IF(A63=1,D63,G62+D63)</x:f>
      </x:c>
      <x:c r="H63" s="32"/>
      <x:c r="I63" s="32" t="e">
        <x:f>IF(A63=1,Dashboard!$F$14,M62)</x:f>
      </x:c>
      <x:c r="J63" s="32" t="e">
        <x:f>IF(A63&lt;=Dashboard!$F$17,MIN(I63,$B$5),0)</x:f>
      </x:c>
      <x:c r="K63" s="32" t="e">
        <x:f>IF(A63&lt;=Dashboard!$F$17,MAX(0,I63-J63)*Dashboard!$F$6,0)</x:f>
      </x:c>
      <x:c r="L63" s="32" t="e">
        <x:f>IF(A63&lt;=Dashboard!$F$17,MIN(Dashboard!$F$10,MAX(0,I63-J63)+K63),0)</x:f>
      </x:c>
      <x:c r="M63" s="32" t="e">
        <x:f>IF(A63&lt;=Dashboard!$F$17,MAX(0,I63-J63-MAX(0,L63-K63)),0)</x:f>
      </x:c>
      <x:c r="N63" s="32" t="e">
        <x:f>IF(A63=1,K63,N62+K63)</x:f>
      </x:c>
      <x:c r="O63" s="32"/>
      <x:c r="P63" s="32" t="e">
        <x:f>IF(A63=1,Dashboard!$F$14,T62)</x:f>
      </x:c>
      <x:c r="Q63" s="32" t="e">
        <x:f>IF(A63&lt;=Dashboard!$F$17,MIN(P63,$B$6*52/12),0)</x:f>
      </x:c>
      <x:c r="R63" s="32" t="e">
        <x:f>IF(A63&lt;=Dashboard!$F$17,MAX(0,P63-Q63)*Dashboard!$F$6,0)</x:f>
      </x:c>
      <x:c r="S63" s="32" t="e">
        <x:f>IF(A63&lt;=Dashboard!$F$17,MIN(Dashboard!$F$10,MAX(0,P63-Q63)+R63),0)</x:f>
      </x:c>
      <x:c r="T63" s="32" t="e">
        <x:f>IF(A63&lt;=Dashboard!$F$17,MAX(0,P63-Q63-MAX(0,S63-R63)),0)</x:f>
      </x:c>
      <x:c r="U63" s="32" t="e">
        <x:f>IF(A63=1,R63,U62+R63)</x:f>
      </x:c>
      <x:c r="V63" s="32"/>
      <x:c r="W63" s="32" t="e">
        <x:f>IF(A63=1,Dashboard!$F$14,AA62)</x:f>
      </x:c>
      <x:c r="X63" s="32" t="e">
        <x:f>IF(AND(A63&lt;=Dashboard!$F$17,MOD(A63-1,12)=0),MIN(W63,$B$7),0)</x:f>
      </x:c>
      <x:c r="Y63" s="32" t="e">
        <x:f>IF(A63&lt;=Dashboard!$F$17,MAX(0,W63-X63)*Dashboard!$F$6,0)</x:f>
      </x:c>
      <x:c r="Z63" s="32" t="e">
        <x:f>IF(A63&lt;=Dashboard!$F$17,MIN(Dashboard!$F$10,MAX(0,W63-X63)+Y63),0)</x:f>
      </x:c>
      <x:c r="AA63" s="32" t="e">
        <x:f>IF(A63&lt;=Dashboard!$F$17,MAX(0,W63-X63-MAX(0,Z63-Y63)),0)</x:f>
      </x:c>
      <x:c r="AB63" s="32" t="e">
        <x:f>IF(A63=1,Y63,AB62+Y63)</x:f>
      </x:c>
      <x:c r="AC63" s="32"/>
      <x:c r="AD63" s="32" t="e">
        <x:f>IF(A63=1,MAX(0,Dashboard!$F$14-$B$8),AG62)</x:f>
      </x:c>
      <x:c r="AE63" s="32" t="n">
        <x:f>0</x:f>
        <x:v>0</x:v>
      </x:c>
      <x:c r="AF63" s="32" t="e">
        <x:f>IF(A63&lt;=Dashboard!$F$17,AD63*Dashboard!$F$6,0)</x:f>
      </x:c>
      <x:c r="AG63" s="32" t="e">
        <x:f>IF(A63&lt;=Dashboard!$F$17,MIN(Dashboard!$F$10,AD63+AF63),0)</x:f>
      </x:c>
      <x:c r="AH63" s="32" t="e">
        <x:f>IF(A63&lt;=Dashboard!$F$17,MAX(0,AD63-MAX(0,AG63-AF63)),0)</x:f>
      </x:c>
      <x:c r="AI63" s="32" t="e">
        <x:f>IF(A63=1,AF63,AI62+AF63)</x:f>
      </x:c>
      <x:c r="AJ63" s="33"/>
      <x:c r="AK63" s="33"/>
      <x:c r="AL63" s="33"/>
      <x:c r="AM63" s="33"/>
    </x:row>
    <x:row r="64">
      <x:c r="A64" s="33" t="n">
        <x:v>52</x:v>
      </x:c>
      <x:c r="B64" s="32" t="e">
        <x:f>IF(A64=1,Dashboard!$F$14,F63)</x:f>
      </x:c>
      <x:c r="C64" s="32" t="n">
        <x:f>0</x:f>
        <x:v>0</x:v>
      </x:c>
      <x:c r="D64" s="32" t="e">
        <x:f>IF(A64&lt;=Dashboard!$F$15,B64*Dashboard!$F$6,0)</x:f>
      </x:c>
      <x:c r="E64" s="32" t="e">
        <x:f>IF(A64&lt;=Dashboard!$F$15,MIN(Dashboard!$F$10,B64+D64),0)</x:f>
      </x:c>
      <x:c r="F64" s="32" t="e">
        <x:f>IF(A64&lt;=Dashboard!$F$15,MAX(0,B64-MAX(0,E64-D64)),0)</x:f>
      </x:c>
      <x:c r="G64" s="32" t="e">
        <x:f>IF(A64=1,D64,G63+D64)</x:f>
      </x:c>
      <x:c r="H64" s="32"/>
      <x:c r="I64" s="32" t="e">
        <x:f>IF(A64=1,Dashboard!$F$14,M63)</x:f>
      </x:c>
      <x:c r="J64" s="32" t="e">
        <x:f>IF(A64&lt;=Dashboard!$F$17,MIN(I64,$B$5),0)</x:f>
      </x:c>
      <x:c r="K64" s="32" t="e">
        <x:f>IF(A64&lt;=Dashboard!$F$17,MAX(0,I64-J64)*Dashboard!$F$6,0)</x:f>
      </x:c>
      <x:c r="L64" s="32" t="e">
        <x:f>IF(A64&lt;=Dashboard!$F$17,MIN(Dashboard!$F$10,MAX(0,I64-J64)+K64),0)</x:f>
      </x:c>
      <x:c r="M64" s="32" t="e">
        <x:f>IF(A64&lt;=Dashboard!$F$17,MAX(0,I64-J64-MAX(0,L64-K64)),0)</x:f>
      </x:c>
      <x:c r="N64" s="32" t="e">
        <x:f>IF(A64=1,K64,N63+K64)</x:f>
      </x:c>
      <x:c r="O64" s="32"/>
      <x:c r="P64" s="32" t="e">
        <x:f>IF(A64=1,Dashboard!$F$14,T63)</x:f>
      </x:c>
      <x:c r="Q64" s="32" t="e">
        <x:f>IF(A64&lt;=Dashboard!$F$17,MIN(P64,$B$6*52/12),0)</x:f>
      </x:c>
      <x:c r="R64" s="32" t="e">
        <x:f>IF(A64&lt;=Dashboard!$F$17,MAX(0,P64-Q64)*Dashboard!$F$6,0)</x:f>
      </x:c>
      <x:c r="S64" s="32" t="e">
        <x:f>IF(A64&lt;=Dashboard!$F$17,MIN(Dashboard!$F$10,MAX(0,P64-Q64)+R64),0)</x:f>
      </x:c>
      <x:c r="T64" s="32" t="e">
        <x:f>IF(A64&lt;=Dashboard!$F$17,MAX(0,P64-Q64-MAX(0,S64-R64)),0)</x:f>
      </x:c>
      <x:c r="U64" s="32" t="e">
        <x:f>IF(A64=1,R64,U63+R64)</x:f>
      </x:c>
      <x:c r="V64" s="32"/>
      <x:c r="W64" s="32" t="e">
        <x:f>IF(A64=1,Dashboard!$F$14,AA63)</x:f>
      </x:c>
      <x:c r="X64" s="32" t="e">
        <x:f>IF(AND(A64&lt;=Dashboard!$F$17,MOD(A64-1,12)=0),MIN(W64,$B$7),0)</x:f>
      </x:c>
      <x:c r="Y64" s="32" t="e">
        <x:f>IF(A64&lt;=Dashboard!$F$17,MAX(0,W64-X64)*Dashboard!$F$6,0)</x:f>
      </x:c>
      <x:c r="Z64" s="32" t="e">
        <x:f>IF(A64&lt;=Dashboard!$F$17,MIN(Dashboard!$F$10,MAX(0,W64-X64)+Y64),0)</x:f>
      </x:c>
      <x:c r="AA64" s="32" t="e">
        <x:f>IF(A64&lt;=Dashboard!$F$17,MAX(0,W64-X64-MAX(0,Z64-Y64)),0)</x:f>
      </x:c>
      <x:c r="AB64" s="32" t="e">
        <x:f>IF(A64=1,Y64,AB63+Y64)</x:f>
      </x:c>
      <x:c r="AC64" s="32"/>
      <x:c r="AD64" s="32" t="e">
        <x:f>IF(A64=1,MAX(0,Dashboard!$F$14-$B$8),AG63)</x:f>
      </x:c>
      <x:c r="AE64" s="32" t="n">
        <x:f>0</x:f>
        <x:v>0</x:v>
      </x:c>
      <x:c r="AF64" s="32" t="e">
        <x:f>IF(A64&lt;=Dashboard!$F$17,AD64*Dashboard!$F$6,0)</x:f>
      </x:c>
      <x:c r="AG64" s="32" t="e">
        <x:f>IF(A64&lt;=Dashboard!$F$17,MIN(Dashboard!$F$10,AD64+AF64),0)</x:f>
      </x:c>
      <x:c r="AH64" s="32" t="e">
        <x:f>IF(A64&lt;=Dashboard!$F$17,MAX(0,AD64-MAX(0,AG64-AF64)),0)</x:f>
      </x:c>
      <x:c r="AI64" s="32" t="e">
        <x:f>IF(A64=1,AF64,AI63+AF64)</x:f>
      </x:c>
      <x:c r="AJ64" s="33"/>
      <x:c r="AK64" s="33"/>
      <x:c r="AL64" s="33"/>
      <x:c r="AM64" s="33"/>
    </x:row>
    <x:row r="65">
      <x:c r="A65" s="33" t="n">
        <x:v>53</x:v>
      </x:c>
      <x:c r="B65" s="32" t="e">
        <x:f>IF(A65=1,Dashboard!$F$14,F64)</x:f>
      </x:c>
      <x:c r="C65" s="32" t="n">
        <x:f>0</x:f>
        <x:v>0</x:v>
      </x:c>
      <x:c r="D65" s="32" t="e">
        <x:f>IF(A65&lt;=Dashboard!$F$15,B65*Dashboard!$F$6,0)</x:f>
      </x:c>
      <x:c r="E65" s="32" t="e">
        <x:f>IF(A65&lt;=Dashboard!$F$15,MIN(Dashboard!$F$10,B65+D65),0)</x:f>
      </x:c>
      <x:c r="F65" s="32" t="e">
        <x:f>IF(A65&lt;=Dashboard!$F$15,MAX(0,B65-MAX(0,E65-D65)),0)</x:f>
      </x:c>
      <x:c r="G65" s="32" t="e">
        <x:f>IF(A65=1,D65,G64+D65)</x:f>
      </x:c>
      <x:c r="H65" s="32"/>
      <x:c r="I65" s="32" t="e">
        <x:f>IF(A65=1,Dashboard!$F$14,M64)</x:f>
      </x:c>
      <x:c r="J65" s="32" t="e">
        <x:f>IF(A65&lt;=Dashboard!$F$17,MIN(I65,$B$5),0)</x:f>
      </x:c>
      <x:c r="K65" s="32" t="e">
        <x:f>IF(A65&lt;=Dashboard!$F$17,MAX(0,I65-J65)*Dashboard!$F$6,0)</x:f>
      </x:c>
      <x:c r="L65" s="32" t="e">
        <x:f>IF(A65&lt;=Dashboard!$F$17,MIN(Dashboard!$F$10,MAX(0,I65-J65)+K65),0)</x:f>
      </x:c>
      <x:c r="M65" s="32" t="e">
        <x:f>IF(A65&lt;=Dashboard!$F$17,MAX(0,I65-J65-MAX(0,L65-K65)),0)</x:f>
      </x:c>
      <x:c r="N65" s="32" t="e">
        <x:f>IF(A65=1,K65,N64+K65)</x:f>
      </x:c>
      <x:c r="O65" s="32"/>
      <x:c r="P65" s="32" t="e">
        <x:f>IF(A65=1,Dashboard!$F$14,T64)</x:f>
      </x:c>
      <x:c r="Q65" s="32" t="e">
        <x:f>IF(A65&lt;=Dashboard!$F$17,MIN(P65,$B$6*52/12),0)</x:f>
      </x:c>
      <x:c r="R65" s="32" t="e">
        <x:f>IF(A65&lt;=Dashboard!$F$17,MAX(0,P65-Q65)*Dashboard!$F$6,0)</x:f>
      </x:c>
      <x:c r="S65" s="32" t="e">
        <x:f>IF(A65&lt;=Dashboard!$F$17,MIN(Dashboard!$F$10,MAX(0,P65-Q65)+R65),0)</x:f>
      </x:c>
      <x:c r="T65" s="32" t="e">
        <x:f>IF(A65&lt;=Dashboard!$F$17,MAX(0,P65-Q65-MAX(0,S65-R65)),0)</x:f>
      </x:c>
      <x:c r="U65" s="32" t="e">
        <x:f>IF(A65=1,R65,U64+R65)</x:f>
      </x:c>
      <x:c r="V65" s="32"/>
      <x:c r="W65" s="32" t="e">
        <x:f>IF(A65=1,Dashboard!$F$14,AA64)</x:f>
      </x:c>
      <x:c r="X65" s="32" t="e">
        <x:f>IF(AND(A65&lt;=Dashboard!$F$17,MOD(A65-1,12)=0),MIN(W65,$B$7),0)</x:f>
      </x:c>
      <x:c r="Y65" s="32" t="e">
        <x:f>IF(A65&lt;=Dashboard!$F$17,MAX(0,W65-X65)*Dashboard!$F$6,0)</x:f>
      </x:c>
      <x:c r="Z65" s="32" t="e">
        <x:f>IF(A65&lt;=Dashboard!$F$17,MIN(Dashboard!$F$10,MAX(0,W65-X65)+Y65),0)</x:f>
      </x:c>
      <x:c r="AA65" s="32" t="e">
        <x:f>IF(A65&lt;=Dashboard!$F$17,MAX(0,W65-X65-MAX(0,Z65-Y65)),0)</x:f>
      </x:c>
      <x:c r="AB65" s="32" t="e">
        <x:f>IF(A65=1,Y65,AB64+Y65)</x:f>
      </x:c>
      <x:c r="AC65" s="32"/>
      <x:c r="AD65" s="32" t="e">
        <x:f>IF(A65=1,MAX(0,Dashboard!$F$14-$B$8),AG64)</x:f>
      </x:c>
      <x:c r="AE65" s="32" t="n">
        <x:f>0</x:f>
        <x:v>0</x:v>
      </x:c>
      <x:c r="AF65" s="32" t="e">
        <x:f>IF(A65&lt;=Dashboard!$F$17,AD65*Dashboard!$F$6,0)</x:f>
      </x:c>
      <x:c r="AG65" s="32" t="e">
        <x:f>IF(A65&lt;=Dashboard!$F$17,MIN(Dashboard!$F$10,AD65+AF65),0)</x:f>
      </x:c>
      <x:c r="AH65" s="32" t="e">
        <x:f>IF(A65&lt;=Dashboard!$F$17,MAX(0,AD65-MAX(0,AG65-AF65)),0)</x:f>
      </x:c>
      <x:c r="AI65" s="32" t="e">
        <x:f>IF(A65=1,AF65,AI64+AF65)</x:f>
      </x:c>
      <x:c r="AJ65" s="33"/>
      <x:c r="AK65" s="33"/>
      <x:c r="AL65" s="33"/>
      <x:c r="AM65" s="33"/>
    </x:row>
    <x:row r="66">
      <x:c r="A66" s="33" t="n">
        <x:v>54</x:v>
      </x:c>
      <x:c r="B66" s="32" t="e">
        <x:f>IF(A66=1,Dashboard!$F$14,F65)</x:f>
      </x:c>
      <x:c r="C66" s="32" t="n">
        <x:f>0</x:f>
        <x:v>0</x:v>
      </x:c>
      <x:c r="D66" s="32" t="e">
        <x:f>IF(A66&lt;=Dashboard!$F$15,B66*Dashboard!$F$6,0)</x:f>
      </x:c>
      <x:c r="E66" s="32" t="e">
        <x:f>IF(A66&lt;=Dashboard!$F$15,MIN(Dashboard!$F$10,B66+D66),0)</x:f>
      </x:c>
      <x:c r="F66" s="32" t="e">
        <x:f>IF(A66&lt;=Dashboard!$F$15,MAX(0,B66-MAX(0,E66-D66)),0)</x:f>
      </x:c>
      <x:c r="G66" s="32" t="e">
        <x:f>IF(A66=1,D66,G65+D66)</x:f>
      </x:c>
      <x:c r="H66" s="32"/>
      <x:c r="I66" s="32" t="e">
        <x:f>IF(A66=1,Dashboard!$F$14,M65)</x:f>
      </x:c>
      <x:c r="J66" s="32" t="e">
        <x:f>IF(A66&lt;=Dashboard!$F$17,MIN(I66,$B$5),0)</x:f>
      </x:c>
      <x:c r="K66" s="32" t="e">
        <x:f>IF(A66&lt;=Dashboard!$F$17,MAX(0,I66-J66)*Dashboard!$F$6,0)</x:f>
      </x:c>
      <x:c r="L66" s="32" t="e">
        <x:f>IF(A66&lt;=Dashboard!$F$17,MIN(Dashboard!$F$10,MAX(0,I66-J66)+K66),0)</x:f>
      </x:c>
      <x:c r="M66" s="32" t="e">
        <x:f>IF(A66&lt;=Dashboard!$F$17,MAX(0,I66-J66-MAX(0,L66-K66)),0)</x:f>
      </x:c>
      <x:c r="N66" s="32" t="e">
        <x:f>IF(A66=1,K66,N65+K66)</x:f>
      </x:c>
      <x:c r="O66" s="32"/>
      <x:c r="P66" s="32" t="e">
        <x:f>IF(A66=1,Dashboard!$F$14,T65)</x:f>
      </x:c>
      <x:c r="Q66" s="32" t="e">
        <x:f>IF(A66&lt;=Dashboard!$F$17,MIN(P66,$B$6*52/12),0)</x:f>
      </x:c>
      <x:c r="R66" s="32" t="e">
        <x:f>IF(A66&lt;=Dashboard!$F$17,MAX(0,P66-Q66)*Dashboard!$F$6,0)</x:f>
      </x:c>
      <x:c r="S66" s="32" t="e">
        <x:f>IF(A66&lt;=Dashboard!$F$17,MIN(Dashboard!$F$10,MAX(0,P66-Q66)+R66),0)</x:f>
      </x:c>
      <x:c r="T66" s="32" t="e">
        <x:f>IF(A66&lt;=Dashboard!$F$17,MAX(0,P66-Q66-MAX(0,S66-R66)),0)</x:f>
      </x:c>
      <x:c r="U66" s="32" t="e">
        <x:f>IF(A66=1,R66,U65+R66)</x:f>
      </x:c>
      <x:c r="V66" s="32"/>
      <x:c r="W66" s="32" t="e">
        <x:f>IF(A66=1,Dashboard!$F$14,AA65)</x:f>
      </x:c>
      <x:c r="X66" s="32" t="e">
        <x:f>IF(AND(A66&lt;=Dashboard!$F$17,MOD(A66-1,12)=0),MIN(W66,$B$7),0)</x:f>
      </x:c>
      <x:c r="Y66" s="32" t="e">
        <x:f>IF(A66&lt;=Dashboard!$F$17,MAX(0,W66-X66)*Dashboard!$F$6,0)</x:f>
      </x:c>
      <x:c r="Z66" s="32" t="e">
        <x:f>IF(A66&lt;=Dashboard!$F$17,MIN(Dashboard!$F$10,MAX(0,W66-X66)+Y66),0)</x:f>
      </x:c>
      <x:c r="AA66" s="32" t="e">
        <x:f>IF(A66&lt;=Dashboard!$F$17,MAX(0,W66-X66-MAX(0,Z66-Y66)),0)</x:f>
      </x:c>
      <x:c r="AB66" s="32" t="e">
        <x:f>IF(A66=1,Y66,AB65+Y66)</x:f>
      </x:c>
      <x:c r="AC66" s="32"/>
      <x:c r="AD66" s="32" t="e">
        <x:f>IF(A66=1,MAX(0,Dashboard!$F$14-$B$8),AG65)</x:f>
      </x:c>
      <x:c r="AE66" s="32" t="n">
        <x:f>0</x:f>
        <x:v>0</x:v>
      </x:c>
      <x:c r="AF66" s="32" t="e">
        <x:f>IF(A66&lt;=Dashboard!$F$17,AD66*Dashboard!$F$6,0)</x:f>
      </x:c>
      <x:c r="AG66" s="32" t="e">
        <x:f>IF(A66&lt;=Dashboard!$F$17,MIN(Dashboard!$F$10,AD66+AF66),0)</x:f>
      </x:c>
      <x:c r="AH66" s="32" t="e">
        <x:f>IF(A66&lt;=Dashboard!$F$17,MAX(0,AD66-MAX(0,AG66-AF66)),0)</x:f>
      </x:c>
      <x:c r="AI66" s="32" t="e">
        <x:f>IF(A66=1,AF66,AI65+AF66)</x:f>
      </x:c>
      <x:c r="AJ66" s="33"/>
      <x:c r="AK66" s="33"/>
      <x:c r="AL66" s="33"/>
      <x:c r="AM66" s="33"/>
    </x:row>
    <x:row r="67">
      <x:c r="A67" s="33" t="n">
        <x:v>55</x:v>
      </x:c>
      <x:c r="B67" s="32" t="e">
        <x:f>IF(A67=1,Dashboard!$F$14,F66)</x:f>
      </x:c>
      <x:c r="C67" s="32" t="n">
        <x:f>0</x:f>
        <x:v>0</x:v>
      </x:c>
      <x:c r="D67" s="32" t="e">
        <x:f>IF(A67&lt;=Dashboard!$F$15,B67*Dashboard!$F$6,0)</x:f>
      </x:c>
      <x:c r="E67" s="32" t="e">
        <x:f>IF(A67&lt;=Dashboard!$F$15,MIN(Dashboard!$F$10,B67+D67),0)</x:f>
      </x:c>
      <x:c r="F67" s="32" t="e">
        <x:f>IF(A67&lt;=Dashboard!$F$15,MAX(0,B67-MAX(0,E67-D67)),0)</x:f>
      </x:c>
      <x:c r="G67" s="32" t="e">
        <x:f>IF(A67=1,D67,G66+D67)</x:f>
      </x:c>
      <x:c r="H67" s="32"/>
      <x:c r="I67" s="32" t="e">
        <x:f>IF(A67=1,Dashboard!$F$14,M66)</x:f>
      </x:c>
      <x:c r="J67" s="32" t="e">
        <x:f>IF(A67&lt;=Dashboard!$F$17,MIN(I67,$B$5),0)</x:f>
      </x:c>
      <x:c r="K67" s="32" t="e">
        <x:f>IF(A67&lt;=Dashboard!$F$17,MAX(0,I67-J67)*Dashboard!$F$6,0)</x:f>
      </x:c>
      <x:c r="L67" s="32" t="e">
        <x:f>IF(A67&lt;=Dashboard!$F$17,MIN(Dashboard!$F$10,MAX(0,I67-J67)+K67),0)</x:f>
      </x:c>
      <x:c r="M67" s="32" t="e">
        <x:f>IF(A67&lt;=Dashboard!$F$17,MAX(0,I67-J67-MAX(0,L67-K67)),0)</x:f>
      </x:c>
      <x:c r="N67" s="32" t="e">
        <x:f>IF(A67=1,K67,N66+K67)</x:f>
      </x:c>
      <x:c r="O67" s="32"/>
      <x:c r="P67" s="32" t="e">
        <x:f>IF(A67=1,Dashboard!$F$14,T66)</x:f>
      </x:c>
      <x:c r="Q67" s="32" t="e">
        <x:f>IF(A67&lt;=Dashboard!$F$17,MIN(P67,$B$6*52/12),0)</x:f>
      </x:c>
      <x:c r="R67" s="32" t="e">
        <x:f>IF(A67&lt;=Dashboard!$F$17,MAX(0,P67-Q67)*Dashboard!$F$6,0)</x:f>
      </x:c>
      <x:c r="S67" s="32" t="e">
        <x:f>IF(A67&lt;=Dashboard!$F$17,MIN(Dashboard!$F$10,MAX(0,P67-Q67)+R67),0)</x:f>
      </x:c>
      <x:c r="T67" s="32" t="e">
        <x:f>IF(A67&lt;=Dashboard!$F$17,MAX(0,P67-Q67-MAX(0,S67-R67)),0)</x:f>
      </x:c>
      <x:c r="U67" s="32" t="e">
        <x:f>IF(A67=1,R67,U66+R67)</x:f>
      </x:c>
      <x:c r="V67" s="32"/>
      <x:c r="W67" s="32" t="e">
        <x:f>IF(A67=1,Dashboard!$F$14,AA66)</x:f>
      </x:c>
      <x:c r="X67" s="32" t="e">
        <x:f>IF(AND(A67&lt;=Dashboard!$F$17,MOD(A67-1,12)=0),MIN(W67,$B$7),0)</x:f>
      </x:c>
      <x:c r="Y67" s="32" t="e">
        <x:f>IF(A67&lt;=Dashboard!$F$17,MAX(0,W67-X67)*Dashboard!$F$6,0)</x:f>
      </x:c>
      <x:c r="Z67" s="32" t="e">
        <x:f>IF(A67&lt;=Dashboard!$F$17,MIN(Dashboard!$F$10,MAX(0,W67-X67)+Y67),0)</x:f>
      </x:c>
      <x:c r="AA67" s="32" t="e">
        <x:f>IF(A67&lt;=Dashboard!$F$17,MAX(0,W67-X67-MAX(0,Z67-Y67)),0)</x:f>
      </x:c>
      <x:c r="AB67" s="32" t="e">
        <x:f>IF(A67=1,Y67,AB66+Y67)</x:f>
      </x:c>
      <x:c r="AC67" s="32"/>
      <x:c r="AD67" s="32" t="e">
        <x:f>IF(A67=1,MAX(0,Dashboard!$F$14-$B$8),AG66)</x:f>
      </x:c>
      <x:c r="AE67" s="32" t="n">
        <x:f>0</x:f>
        <x:v>0</x:v>
      </x:c>
      <x:c r="AF67" s="32" t="e">
        <x:f>IF(A67&lt;=Dashboard!$F$17,AD67*Dashboard!$F$6,0)</x:f>
      </x:c>
      <x:c r="AG67" s="32" t="e">
        <x:f>IF(A67&lt;=Dashboard!$F$17,MIN(Dashboard!$F$10,AD67+AF67),0)</x:f>
      </x:c>
      <x:c r="AH67" s="32" t="e">
        <x:f>IF(A67&lt;=Dashboard!$F$17,MAX(0,AD67-MAX(0,AG67-AF67)),0)</x:f>
      </x:c>
      <x:c r="AI67" s="32" t="e">
        <x:f>IF(A67=1,AF67,AI66+AF67)</x:f>
      </x:c>
      <x:c r="AJ67" s="33"/>
      <x:c r="AK67" s="33"/>
      <x:c r="AL67" s="33"/>
      <x:c r="AM67" s="33"/>
    </x:row>
    <x:row r="68">
      <x:c r="A68" s="33" t="n">
        <x:v>56</x:v>
      </x:c>
      <x:c r="B68" s="32" t="e">
        <x:f>IF(A68=1,Dashboard!$F$14,F67)</x:f>
      </x:c>
      <x:c r="C68" s="32" t="n">
        <x:f>0</x:f>
        <x:v>0</x:v>
      </x:c>
      <x:c r="D68" s="32" t="e">
        <x:f>IF(A68&lt;=Dashboard!$F$15,B68*Dashboard!$F$6,0)</x:f>
      </x:c>
      <x:c r="E68" s="32" t="e">
        <x:f>IF(A68&lt;=Dashboard!$F$15,MIN(Dashboard!$F$10,B68+D68),0)</x:f>
      </x:c>
      <x:c r="F68" s="32" t="e">
        <x:f>IF(A68&lt;=Dashboard!$F$15,MAX(0,B68-MAX(0,E68-D68)),0)</x:f>
      </x:c>
      <x:c r="G68" s="32" t="e">
        <x:f>IF(A68=1,D68,G67+D68)</x:f>
      </x:c>
      <x:c r="H68" s="32"/>
      <x:c r="I68" s="32" t="e">
        <x:f>IF(A68=1,Dashboard!$F$14,M67)</x:f>
      </x:c>
      <x:c r="J68" s="32" t="e">
        <x:f>IF(A68&lt;=Dashboard!$F$17,MIN(I68,$B$5),0)</x:f>
      </x:c>
      <x:c r="K68" s="32" t="e">
        <x:f>IF(A68&lt;=Dashboard!$F$17,MAX(0,I68-J68)*Dashboard!$F$6,0)</x:f>
      </x:c>
      <x:c r="L68" s="32" t="e">
        <x:f>IF(A68&lt;=Dashboard!$F$17,MIN(Dashboard!$F$10,MAX(0,I68-J68)+K68),0)</x:f>
      </x:c>
      <x:c r="M68" s="32" t="e">
        <x:f>IF(A68&lt;=Dashboard!$F$17,MAX(0,I68-J68-MAX(0,L68-K68)),0)</x:f>
      </x:c>
      <x:c r="N68" s="32" t="e">
        <x:f>IF(A68=1,K68,N67+K68)</x:f>
      </x:c>
      <x:c r="O68" s="32"/>
      <x:c r="P68" s="32" t="e">
        <x:f>IF(A68=1,Dashboard!$F$14,T67)</x:f>
      </x:c>
      <x:c r="Q68" s="32" t="e">
        <x:f>IF(A68&lt;=Dashboard!$F$17,MIN(P68,$B$6*52/12),0)</x:f>
      </x:c>
      <x:c r="R68" s="32" t="e">
        <x:f>IF(A68&lt;=Dashboard!$F$17,MAX(0,P68-Q68)*Dashboard!$F$6,0)</x:f>
      </x:c>
      <x:c r="S68" s="32" t="e">
        <x:f>IF(A68&lt;=Dashboard!$F$17,MIN(Dashboard!$F$10,MAX(0,P68-Q68)+R68),0)</x:f>
      </x:c>
      <x:c r="T68" s="32" t="e">
        <x:f>IF(A68&lt;=Dashboard!$F$17,MAX(0,P68-Q68-MAX(0,S68-R68)),0)</x:f>
      </x:c>
      <x:c r="U68" s="32" t="e">
        <x:f>IF(A68=1,R68,U67+R68)</x:f>
      </x:c>
      <x:c r="V68" s="32"/>
      <x:c r="W68" s="32" t="e">
        <x:f>IF(A68=1,Dashboard!$F$14,AA67)</x:f>
      </x:c>
      <x:c r="X68" s="32" t="e">
        <x:f>IF(AND(A68&lt;=Dashboard!$F$17,MOD(A68-1,12)=0),MIN(W68,$B$7),0)</x:f>
      </x:c>
      <x:c r="Y68" s="32" t="e">
        <x:f>IF(A68&lt;=Dashboard!$F$17,MAX(0,W68-X68)*Dashboard!$F$6,0)</x:f>
      </x:c>
      <x:c r="Z68" s="32" t="e">
        <x:f>IF(A68&lt;=Dashboard!$F$17,MIN(Dashboard!$F$10,MAX(0,W68-X68)+Y68),0)</x:f>
      </x:c>
      <x:c r="AA68" s="32" t="e">
        <x:f>IF(A68&lt;=Dashboard!$F$17,MAX(0,W68-X68-MAX(0,Z68-Y68)),0)</x:f>
      </x:c>
      <x:c r="AB68" s="32" t="e">
        <x:f>IF(A68=1,Y68,AB67+Y68)</x:f>
      </x:c>
      <x:c r="AC68" s="32"/>
      <x:c r="AD68" s="32" t="e">
        <x:f>IF(A68=1,MAX(0,Dashboard!$F$14-$B$8),AG67)</x:f>
      </x:c>
      <x:c r="AE68" s="32" t="n">
        <x:f>0</x:f>
        <x:v>0</x:v>
      </x:c>
      <x:c r="AF68" s="32" t="e">
        <x:f>IF(A68&lt;=Dashboard!$F$17,AD68*Dashboard!$F$6,0)</x:f>
      </x:c>
      <x:c r="AG68" s="32" t="e">
        <x:f>IF(A68&lt;=Dashboard!$F$17,MIN(Dashboard!$F$10,AD68+AF68),0)</x:f>
      </x:c>
      <x:c r="AH68" s="32" t="e">
        <x:f>IF(A68&lt;=Dashboard!$F$17,MAX(0,AD68-MAX(0,AG68-AF68)),0)</x:f>
      </x:c>
      <x:c r="AI68" s="32" t="e">
        <x:f>IF(A68=1,AF68,AI67+AF68)</x:f>
      </x:c>
      <x:c r="AJ68" s="33"/>
      <x:c r="AK68" s="33"/>
      <x:c r="AL68" s="33"/>
      <x:c r="AM68" s="33"/>
    </x:row>
    <x:row r="69">
      <x:c r="A69" s="33" t="n">
        <x:v>57</x:v>
      </x:c>
      <x:c r="B69" s="32" t="e">
        <x:f>IF(A69=1,Dashboard!$F$14,F68)</x:f>
      </x:c>
      <x:c r="C69" s="32" t="n">
        <x:f>0</x:f>
        <x:v>0</x:v>
      </x:c>
      <x:c r="D69" s="32" t="e">
        <x:f>IF(A69&lt;=Dashboard!$F$15,B69*Dashboard!$F$6,0)</x:f>
      </x:c>
      <x:c r="E69" s="32" t="e">
        <x:f>IF(A69&lt;=Dashboard!$F$15,MIN(Dashboard!$F$10,B69+D69),0)</x:f>
      </x:c>
      <x:c r="F69" s="32" t="e">
        <x:f>IF(A69&lt;=Dashboard!$F$15,MAX(0,B69-MAX(0,E69-D69)),0)</x:f>
      </x:c>
      <x:c r="G69" s="32" t="e">
        <x:f>IF(A69=1,D69,G68+D69)</x:f>
      </x:c>
      <x:c r="H69" s="32"/>
      <x:c r="I69" s="32" t="e">
        <x:f>IF(A69=1,Dashboard!$F$14,M68)</x:f>
      </x:c>
      <x:c r="J69" s="32" t="e">
        <x:f>IF(A69&lt;=Dashboard!$F$17,MIN(I69,$B$5),0)</x:f>
      </x:c>
      <x:c r="K69" s="32" t="e">
        <x:f>IF(A69&lt;=Dashboard!$F$17,MAX(0,I69-J69)*Dashboard!$F$6,0)</x:f>
      </x:c>
      <x:c r="L69" s="32" t="e">
        <x:f>IF(A69&lt;=Dashboard!$F$17,MIN(Dashboard!$F$10,MAX(0,I69-J69)+K69),0)</x:f>
      </x:c>
      <x:c r="M69" s="32" t="e">
        <x:f>IF(A69&lt;=Dashboard!$F$17,MAX(0,I69-J69-MAX(0,L69-K69)),0)</x:f>
      </x:c>
      <x:c r="N69" s="32" t="e">
        <x:f>IF(A69=1,K69,N68+K69)</x:f>
      </x:c>
      <x:c r="O69" s="32"/>
      <x:c r="P69" s="32" t="e">
        <x:f>IF(A69=1,Dashboard!$F$14,T68)</x:f>
      </x:c>
      <x:c r="Q69" s="32" t="e">
        <x:f>IF(A69&lt;=Dashboard!$F$17,MIN(P69,$B$6*52/12),0)</x:f>
      </x:c>
      <x:c r="R69" s="32" t="e">
        <x:f>IF(A69&lt;=Dashboard!$F$17,MAX(0,P69-Q69)*Dashboard!$F$6,0)</x:f>
      </x:c>
      <x:c r="S69" s="32" t="e">
        <x:f>IF(A69&lt;=Dashboard!$F$17,MIN(Dashboard!$F$10,MAX(0,P69-Q69)+R69),0)</x:f>
      </x:c>
      <x:c r="T69" s="32" t="e">
        <x:f>IF(A69&lt;=Dashboard!$F$17,MAX(0,P69-Q69-MAX(0,S69-R69)),0)</x:f>
      </x:c>
      <x:c r="U69" s="32" t="e">
        <x:f>IF(A69=1,R69,U68+R69)</x:f>
      </x:c>
      <x:c r="V69" s="32"/>
      <x:c r="W69" s="32" t="e">
        <x:f>IF(A69=1,Dashboard!$F$14,AA68)</x:f>
      </x:c>
      <x:c r="X69" s="32" t="e">
        <x:f>IF(AND(A69&lt;=Dashboard!$F$17,MOD(A69-1,12)=0),MIN(W69,$B$7),0)</x:f>
      </x:c>
      <x:c r="Y69" s="32" t="e">
        <x:f>IF(A69&lt;=Dashboard!$F$17,MAX(0,W69-X69)*Dashboard!$F$6,0)</x:f>
      </x:c>
      <x:c r="Z69" s="32" t="e">
        <x:f>IF(A69&lt;=Dashboard!$F$17,MIN(Dashboard!$F$10,MAX(0,W69-X69)+Y69),0)</x:f>
      </x:c>
      <x:c r="AA69" s="32" t="e">
        <x:f>IF(A69&lt;=Dashboard!$F$17,MAX(0,W69-X69-MAX(0,Z69-Y69)),0)</x:f>
      </x:c>
      <x:c r="AB69" s="32" t="e">
        <x:f>IF(A69=1,Y69,AB68+Y69)</x:f>
      </x:c>
      <x:c r="AC69" s="32"/>
      <x:c r="AD69" s="32" t="e">
        <x:f>IF(A69=1,MAX(0,Dashboard!$F$14-$B$8),AG68)</x:f>
      </x:c>
      <x:c r="AE69" s="32" t="n">
        <x:f>0</x:f>
        <x:v>0</x:v>
      </x:c>
      <x:c r="AF69" s="32" t="e">
        <x:f>IF(A69&lt;=Dashboard!$F$17,AD69*Dashboard!$F$6,0)</x:f>
      </x:c>
      <x:c r="AG69" s="32" t="e">
        <x:f>IF(A69&lt;=Dashboard!$F$17,MIN(Dashboard!$F$10,AD69+AF69),0)</x:f>
      </x:c>
      <x:c r="AH69" s="32" t="e">
        <x:f>IF(A69&lt;=Dashboard!$F$17,MAX(0,AD69-MAX(0,AG69-AF69)),0)</x:f>
      </x:c>
      <x:c r="AI69" s="32" t="e">
        <x:f>IF(A69=1,AF69,AI68+AF69)</x:f>
      </x:c>
      <x:c r="AJ69" s="33"/>
      <x:c r="AK69" s="33"/>
      <x:c r="AL69" s="33"/>
      <x:c r="AM69" s="33"/>
    </x:row>
    <x:row r="70">
      <x:c r="A70" s="33" t="n">
        <x:v>58</x:v>
      </x:c>
      <x:c r="B70" s="32" t="e">
        <x:f>IF(A70=1,Dashboard!$F$14,F69)</x:f>
      </x:c>
      <x:c r="C70" s="32" t="n">
        <x:f>0</x:f>
        <x:v>0</x:v>
      </x:c>
      <x:c r="D70" s="32" t="e">
        <x:f>IF(A70&lt;=Dashboard!$F$15,B70*Dashboard!$F$6,0)</x:f>
      </x:c>
      <x:c r="E70" s="32" t="e">
        <x:f>IF(A70&lt;=Dashboard!$F$15,MIN(Dashboard!$F$10,B70+D70),0)</x:f>
      </x:c>
      <x:c r="F70" s="32" t="e">
        <x:f>IF(A70&lt;=Dashboard!$F$15,MAX(0,B70-MAX(0,E70-D70)),0)</x:f>
      </x:c>
      <x:c r="G70" s="32" t="e">
        <x:f>IF(A70=1,D70,G69+D70)</x:f>
      </x:c>
      <x:c r="H70" s="32"/>
      <x:c r="I70" s="32" t="e">
        <x:f>IF(A70=1,Dashboard!$F$14,M69)</x:f>
      </x:c>
      <x:c r="J70" s="32" t="e">
        <x:f>IF(A70&lt;=Dashboard!$F$17,MIN(I70,$B$5),0)</x:f>
      </x:c>
      <x:c r="K70" s="32" t="e">
        <x:f>IF(A70&lt;=Dashboard!$F$17,MAX(0,I70-J70)*Dashboard!$F$6,0)</x:f>
      </x:c>
      <x:c r="L70" s="32" t="e">
        <x:f>IF(A70&lt;=Dashboard!$F$17,MIN(Dashboard!$F$10,MAX(0,I70-J70)+K70),0)</x:f>
      </x:c>
      <x:c r="M70" s="32" t="e">
        <x:f>IF(A70&lt;=Dashboard!$F$17,MAX(0,I70-J70-MAX(0,L70-K70)),0)</x:f>
      </x:c>
      <x:c r="N70" s="32" t="e">
        <x:f>IF(A70=1,K70,N69+K70)</x:f>
      </x:c>
      <x:c r="O70" s="32"/>
      <x:c r="P70" s="32" t="e">
        <x:f>IF(A70=1,Dashboard!$F$14,T69)</x:f>
      </x:c>
      <x:c r="Q70" s="32" t="e">
        <x:f>IF(A70&lt;=Dashboard!$F$17,MIN(P70,$B$6*52/12),0)</x:f>
      </x:c>
      <x:c r="R70" s="32" t="e">
        <x:f>IF(A70&lt;=Dashboard!$F$17,MAX(0,P70-Q70)*Dashboard!$F$6,0)</x:f>
      </x:c>
      <x:c r="S70" s="32" t="e">
        <x:f>IF(A70&lt;=Dashboard!$F$17,MIN(Dashboard!$F$10,MAX(0,P70-Q70)+R70),0)</x:f>
      </x:c>
      <x:c r="T70" s="32" t="e">
        <x:f>IF(A70&lt;=Dashboard!$F$17,MAX(0,P70-Q70-MAX(0,S70-R70)),0)</x:f>
      </x:c>
      <x:c r="U70" s="32" t="e">
        <x:f>IF(A70=1,R70,U69+R70)</x:f>
      </x:c>
      <x:c r="V70" s="32"/>
      <x:c r="W70" s="32" t="e">
        <x:f>IF(A70=1,Dashboard!$F$14,AA69)</x:f>
      </x:c>
      <x:c r="X70" s="32" t="e">
        <x:f>IF(AND(A70&lt;=Dashboard!$F$17,MOD(A70-1,12)=0),MIN(W70,$B$7),0)</x:f>
      </x:c>
      <x:c r="Y70" s="32" t="e">
        <x:f>IF(A70&lt;=Dashboard!$F$17,MAX(0,W70-X70)*Dashboard!$F$6,0)</x:f>
      </x:c>
      <x:c r="Z70" s="32" t="e">
        <x:f>IF(A70&lt;=Dashboard!$F$17,MIN(Dashboard!$F$10,MAX(0,W70-X70)+Y70),0)</x:f>
      </x:c>
      <x:c r="AA70" s="32" t="e">
        <x:f>IF(A70&lt;=Dashboard!$F$17,MAX(0,W70-X70-MAX(0,Z70-Y70)),0)</x:f>
      </x:c>
      <x:c r="AB70" s="32" t="e">
        <x:f>IF(A70=1,Y70,AB69+Y70)</x:f>
      </x:c>
      <x:c r="AC70" s="32"/>
      <x:c r="AD70" s="32" t="e">
        <x:f>IF(A70=1,MAX(0,Dashboard!$F$14-$B$8),AG69)</x:f>
      </x:c>
      <x:c r="AE70" s="32" t="n">
        <x:f>0</x:f>
        <x:v>0</x:v>
      </x:c>
      <x:c r="AF70" s="32" t="e">
        <x:f>IF(A70&lt;=Dashboard!$F$17,AD70*Dashboard!$F$6,0)</x:f>
      </x:c>
      <x:c r="AG70" s="32" t="e">
        <x:f>IF(A70&lt;=Dashboard!$F$17,MIN(Dashboard!$F$10,AD70+AF70),0)</x:f>
      </x:c>
      <x:c r="AH70" s="32" t="e">
        <x:f>IF(A70&lt;=Dashboard!$F$17,MAX(0,AD70-MAX(0,AG70-AF70)),0)</x:f>
      </x:c>
      <x:c r="AI70" s="32" t="e">
        <x:f>IF(A70=1,AF70,AI69+AF70)</x:f>
      </x:c>
      <x:c r="AJ70" s="33"/>
      <x:c r="AK70" s="33"/>
      <x:c r="AL70" s="33"/>
      <x:c r="AM70" s="33"/>
    </x:row>
    <x:row r="71">
      <x:c r="A71" s="33" t="n">
        <x:v>59</x:v>
      </x:c>
      <x:c r="B71" s="32" t="e">
        <x:f>IF(A71=1,Dashboard!$F$14,F70)</x:f>
      </x:c>
      <x:c r="C71" s="32" t="n">
        <x:f>0</x:f>
        <x:v>0</x:v>
      </x:c>
      <x:c r="D71" s="32" t="e">
        <x:f>IF(A71&lt;=Dashboard!$F$15,B71*Dashboard!$F$6,0)</x:f>
      </x:c>
      <x:c r="E71" s="32" t="e">
        <x:f>IF(A71&lt;=Dashboard!$F$15,MIN(Dashboard!$F$10,B71+D71),0)</x:f>
      </x:c>
      <x:c r="F71" s="32" t="e">
        <x:f>IF(A71&lt;=Dashboard!$F$15,MAX(0,B71-MAX(0,E71-D71)),0)</x:f>
      </x:c>
      <x:c r="G71" s="32" t="e">
        <x:f>IF(A71=1,D71,G70+D71)</x:f>
      </x:c>
      <x:c r="H71" s="32"/>
      <x:c r="I71" s="32" t="e">
        <x:f>IF(A71=1,Dashboard!$F$14,M70)</x:f>
      </x:c>
      <x:c r="J71" s="32" t="e">
        <x:f>IF(A71&lt;=Dashboard!$F$17,MIN(I71,$B$5),0)</x:f>
      </x:c>
      <x:c r="K71" s="32" t="e">
        <x:f>IF(A71&lt;=Dashboard!$F$17,MAX(0,I71-J71)*Dashboard!$F$6,0)</x:f>
      </x:c>
      <x:c r="L71" s="32" t="e">
        <x:f>IF(A71&lt;=Dashboard!$F$17,MIN(Dashboard!$F$10,MAX(0,I71-J71)+K71),0)</x:f>
      </x:c>
      <x:c r="M71" s="32" t="e">
        <x:f>IF(A71&lt;=Dashboard!$F$17,MAX(0,I71-J71-MAX(0,L71-K71)),0)</x:f>
      </x:c>
      <x:c r="N71" s="32" t="e">
        <x:f>IF(A71=1,K71,N70+K71)</x:f>
      </x:c>
      <x:c r="O71" s="32"/>
      <x:c r="P71" s="32" t="e">
        <x:f>IF(A71=1,Dashboard!$F$14,T70)</x:f>
      </x:c>
      <x:c r="Q71" s="32" t="e">
        <x:f>IF(A71&lt;=Dashboard!$F$17,MIN(P71,$B$6*52/12),0)</x:f>
      </x:c>
      <x:c r="R71" s="32" t="e">
        <x:f>IF(A71&lt;=Dashboard!$F$17,MAX(0,P71-Q71)*Dashboard!$F$6,0)</x:f>
      </x:c>
      <x:c r="S71" s="32" t="e">
        <x:f>IF(A71&lt;=Dashboard!$F$17,MIN(Dashboard!$F$10,MAX(0,P71-Q71)+R71),0)</x:f>
      </x:c>
      <x:c r="T71" s="32" t="e">
        <x:f>IF(A71&lt;=Dashboard!$F$17,MAX(0,P71-Q71-MAX(0,S71-R71)),0)</x:f>
      </x:c>
      <x:c r="U71" s="32" t="e">
        <x:f>IF(A71=1,R71,U70+R71)</x:f>
      </x:c>
      <x:c r="V71" s="32"/>
      <x:c r="W71" s="32" t="e">
        <x:f>IF(A71=1,Dashboard!$F$14,AA70)</x:f>
      </x:c>
      <x:c r="X71" s="32" t="e">
        <x:f>IF(AND(A71&lt;=Dashboard!$F$17,MOD(A71-1,12)=0),MIN(W71,$B$7),0)</x:f>
      </x:c>
      <x:c r="Y71" s="32" t="e">
        <x:f>IF(A71&lt;=Dashboard!$F$17,MAX(0,W71-X71)*Dashboard!$F$6,0)</x:f>
      </x:c>
      <x:c r="Z71" s="32" t="e">
        <x:f>IF(A71&lt;=Dashboard!$F$17,MIN(Dashboard!$F$10,MAX(0,W71-X71)+Y71),0)</x:f>
      </x:c>
      <x:c r="AA71" s="32" t="e">
        <x:f>IF(A71&lt;=Dashboard!$F$17,MAX(0,W71-X71-MAX(0,Z71-Y71)),0)</x:f>
      </x:c>
      <x:c r="AB71" s="32" t="e">
        <x:f>IF(A71=1,Y71,AB70+Y71)</x:f>
      </x:c>
      <x:c r="AC71" s="32"/>
      <x:c r="AD71" s="32" t="e">
        <x:f>IF(A71=1,MAX(0,Dashboard!$F$14-$B$8),AG70)</x:f>
      </x:c>
      <x:c r="AE71" s="32" t="n">
        <x:f>0</x:f>
        <x:v>0</x:v>
      </x:c>
      <x:c r="AF71" s="32" t="e">
        <x:f>IF(A71&lt;=Dashboard!$F$17,AD71*Dashboard!$F$6,0)</x:f>
      </x:c>
      <x:c r="AG71" s="32" t="e">
        <x:f>IF(A71&lt;=Dashboard!$F$17,MIN(Dashboard!$F$10,AD71+AF71),0)</x:f>
      </x:c>
      <x:c r="AH71" s="32" t="e">
        <x:f>IF(A71&lt;=Dashboard!$F$17,MAX(0,AD71-MAX(0,AG71-AF71)),0)</x:f>
      </x:c>
      <x:c r="AI71" s="32" t="e">
        <x:f>IF(A71=1,AF71,AI70+AF71)</x:f>
      </x:c>
      <x:c r="AJ71" s="33"/>
      <x:c r="AK71" s="33"/>
      <x:c r="AL71" s="33"/>
      <x:c r="AM71" s="33"/>
    </x:row>
    <x:row r="72">
      <x:c r="A72" s="33" t="n">
        <x:v>60</x:v>
      </x:c>
      <x:c r="B72" s="32" t="e">
        <x:f>IF(A72=1,Dashboard!$F$14,F71)</x:f>
      </x:c>
      <x:c r="C72" s="32" t="n">
        <x:f>0</x:f>
        <x:v>0</x:v>
      </x:c>
      <x:c r="D72" s="32" t="e">
        <x:f>IF(A72&lt;=Dashboard!$F$15,B72*Dashboard!$F$6,0)</x:f>
      </x:c>
      <x:c r="E72" s="32" t="e">
        <x:f>IF(A72&lt;=Dashboard!$F$15,MIN(Dashboard!$F$10,B72+D72),0)</x:f>
      </x:c>
      <x:c r="F72" s="32" t="e">
        <x:f>IF(A72&lt;=Dashboard!$F$15,MAX(0,B72-MAX(0,E72-D72)),0)</x:f>
      </x:c>
      <x:c r="G72" s="32" t="e">
        <x:f>IF(A72=1,D72,G71+D72)</x:f>
      </x:c>
      <x:c r="H72" s="32"/>
      <x:c r="I72" s="32" t="e">
        <x:f>IF(A72=1,Dashboard!$F$14,M71)</x:f>
      </x:c>
      <x:c r="J72" s="32" t="e">
        <x:f>IF(A72&lt;=Dashboard!$F$17,MIN(I72,$B$5),0)</x:f>
      </x:c>
      <x:c r="K72" s="32" t="e">
        <x:f>IF(A72&lt;=Dashboard!$F$17,MAX(0,I72-J72)*Dashboard!$F$6,0)</x:f>
      </x:c>
      <x:c r="L72" s="32" t="e">
        <x:f>IF(A72&lt;=Dashboard!$F$17,MIN(Dashboard!$F$10,MAX(0,I72-J72)+K72),0)</x:f>
      </x:c>
      <x:c r="M72" s="32" t="e">
        <x:f>IF(A72&lt;=Dashboard!$F$17,MAX(0,I72-J72-MAX(0,L72-K72)),0)</x:f>
      </x:c>
      <x:c r="N72" s="32" t="e">
        <x:f>IF(A72=1,K72,N71+K72)</x:f>
      </x:c>
      <x:c r="O72" s="32"/>
      <x:c r="P72" s="32" t="e">
        <x:f>IF(A72=1,Dashboard!$F$14,T71)</x:f>
      </x:c>
      <x:c r="Q72" s="32" t="e">
        <x:f>IF(A72&lt;=Dashboard!$F$17,MIN(P72,$B$6*52/12),0)</x:f>
      </x:c>
      <x:c r="R72" s="32" t="e">
        <x:f>IF(A72&lt;=Dashboard!$F$17,MAX(0,P72-Q72)*Dashboard!$F$6,0)</x:f>
      </x:c>
      <x:c r="S72" s="32" t="e">
        <x:f>IF(A72&lt;=Dashboard!$F$17,MIN(Dashboard!$F$10,MAX(0,P72-Q72)+R72),0)</x:f>
      </x:c>
      <x:c r="T72" s="32" t="e">
        <x:f>IF(A72&lt;=Dashboard!$F$17,MAX(0,P72-Q72-MAX(0,S72-R72)),0)</x:f>
      </x:c>
      <x:c r="U72" s="32" t="e">
        <x:f>IF(A72=1,R72,U71+R72)</x:f>
      </x:c>
      <x:c r="V72" s="32"/>
      <x:c r="W72" s="32" t="e">
        <x:f>IF(A72=1,Dashboard!$F$14,AA71)</x:f>
      </x:c>
      <x:c r="X72" s="32" t="e">
        <x:f>IF(AND(A72&lt;=Dashboard!$F$17,MOD(A72-1,12)=0),MIN(W72,$B$7),0)</x:f>
      </x:c>
      <x:c r="Y72" s="32" t="e">
        <x:f>IF(A72&lt;=Dashboard!$F$17,MAX(0,W72-X72)*Dashboard!$F$6,0)</x:f>
      </x:c>
      <x:c r="Z72" s="32" t="e">
        <x:f>IF(A72&lt;=Dashboard!$F$17,MIN(Dashboard!$F$10,MAX(0,W72-X72)+Y72),0)</x:f>
      </x:c>
      <x:c r="AA72" s="32" t="e">
        <x:f>IF(A72&lt;=Dashboard!$F$17,MAX(0,W72-X72-MAX(0,Z72-Y72)),0)</x:f>
      </x:c>
      <x:c r="AB72" s="32" t="e">
        <x:f>IF(A72=1,Y72,AB71+Y72)</x:f>
      </x:c>
      <x:c r="AC72" s="32"/>
      <x:c r="AD72" s="32" t="e">
        <x:f>IF(A72=1,MAX(0,Dashboard!$F$14-$B$8),AG71)</x:f>
      </x:c>
      <x:c r="AE72" s="32" t="n">
        <x:f>0</x:f>
        <x:v>0</x:v>
      </x:c>
      <x:c r="AF72" s="32" t="e">
        <x:f>IF(A72&lt;=Dashboard!$F$17,AD72*Dashboard!$F$6,0)</x:f>
      </x:c>
      <x:c r="AG72" s="32" t="e">
        <x:f>IF(A72&lt;=Dashboard!$F$17,MIN(Dashboard!$F$10,AD72+AF72),0)</x:f>
      </x:c>
      <x:c r="AH72" s="32" t="e">
        <x:f>IF(A72&lt;=Dashboard!$F$17,MAX(0,AD72-MAX(0,AG72-AF72)),0)</x:f>
      </x:c>
      <x:c r="AI72" s="32" t="e">
        <x:f>IF(A72=1,AF72,AI71+AF72)</x:f>
      </x:c>
      <x:c r="AJ72" s="33"/>
      <x:c r="AK72" s="33"/>
      <x:c r="AL72" s="33"/>
      <x:c r="AM72" s="33"/>
    </x:row>
    <x:row r="73">
      <x:c r="A73" s="33" t="n">
        <x:v>61</x:v>
      </x:c>
      <x:c r="B73" s="32" t="e">
        <x:f>IF(A73=1,Dashboard!$F$14,F72)</x:f>
      </x:c>
      <x:c r="C73" s="32" t="n">
        <x:f>0</x:f>
        <x:v>0</x:v>
      </x:c>
      <x:c r="D73" s="32" t="e">
        <x:f>IF(A73&lt;=Dashboard!$F$15,B73*Dashboard!$F$6,0)</x:f>
      </x:c>
      <x:c r="E73" s="32" t="e">
        <x:f>IF(A73&lt;=Dashboard!$F$15,MIN(Dashboard!$F$10,B73+D73),0)</x:f>
      </x:c>
      <x:c r="F73" s="32" t="e">
        <x:f>IF(A73&lt;=Dashboard!$F$15,MAX(0,B73-MAX(0,E73-D73)),0)</x:f>
      </x:c>
      <x:c r="G73" s="32" t="e">
        <x:f>IF(A73=1,D73,G72+D73)</x:f>
      </x:c>
      <x:c r="H73" s="32"/>
      <x:c r="I73" s="32" t="e">
        <x:f>IF(A73=1,Dashboard!$F$14,M72)</x:f>
      </x:c>
      <x:c r="J73" s="32" t="e">
        <x:f>IF(A73&lt;=Dashboard!$F$17,MIN(I73,$B$5),0)</x:f>
      </x:c>
      <x:c r="K73" s="32" t="e">
        <x:f>IF(A73&lt;=Dashboard!$F$17,MAX(0,I73-J73)*Dashboard!$F$6,0)</x:f>
      </x:c>
      <x:c r="L73" s="32" t="e">
        <x:f>IF(A73&lt;=Dashboard!$F$17,MIN(Dashboard!$F$10,MAX(0,I73-J73)+K73),0)</x:f>
      </x:c>
      <x:c r="M73" s="32" t="e">
        <x:f>IF(A73&lt;=Dashboard!$F$17,MAX(0,I73-J73-MAX(0,L73-K73)),0)</x:f>
      </x:c>
      <x:c r="N73" s="32" t="e">
        <x:f>IF(A73=1,K73,N72+K73)</x:f>
      </x:c>
      <x:c r="O73" s="32"/>
      <x:c r="P73" s="32" t="e">
        <x:f>IF(A73=1,Dashboard!$F$14,T72)</x:f>
      </x:c>
      <x:c r="Q73" s="32" t="e">
        <x:f>IF(A73&lt;=Dashboard!$F$17,MIN(P73,$B$6*52/12),0)</x:f>
      </x:c>
      <x:c r="R73" s="32" t="e">
        <x:f>IF(A73&lt;=Dashboard!$F$17,MAX(0,P73-Q73)*Dashboard!$F$6,0)</x:f>
      </x:c>
      <x:c r="S73" s="32" t="e">
        <x:f>IF(A73&lt;=Dashboard!$F$17,MIN(Dashboard!$F$10,MAX(0,P73-Q73)+R73),0)</x:f>
      </x:c>
      <x:c r="T73" s="32" t="e">
        <x:f>IF(A73&lt;=Dashboard!$F$17,MAX(0,P73-Q73-MAX(0,S73-R73)),0)</x:f>
      </x:c>
      <x:c r="U73" s="32" t="e">
        <x:f>IF(A73=1,R73,U72+R73)</x:f>
      </x:c>
      <x:c r="V73" s="32"/>
      <x:c r="W73" s="32" t="e">
        <x:f>IF(A73=1,Dashboard!$F$14,AA72)</x:f>
      </x:c>
      <x:c r="X73" s="32" t="e">
        <x:f>IF(AND(A73&lt;=Dashboard!$F$17,MOD(A73-1,12)=0),MIN(W73,$B$7),0)</x:f>
      </x:c>
      <x:c r="Y73" s="32" t="e">
        <x:f>IF(A73&lt;=Dashboard!$F$17,MAX(0,W73-X73)*Dashboard!$F$6,0)</x:f>
      </x:c>
      <x:c r="Z73" s="32" t="e">
        <x:f>IF(A73&lt;=Dashboard!$F$17,MIN(Dashboard!$F$10,MAX(0,W73-X73)+Y73),0)</x:f>
      </x:c>
      <x:c r="AA73" s="32" t="e">
        <x:f>IF(A73&lt;=Dashboard!$F$17,MAX(0,W73-X73-MAX(0,Z73-Y73)),0)</x:f>
      </x:c>
      <x:c r="AB73" s="32" t="e">
        <x:f>IF(A73=1,Y73,AB72+Y73)</x:f>
      </x:c>
      <x:c r="AC73" s="32"/>
      <x:c r="AD73" s="32" t="e">
        <x:f>IF(A73=1,MAX(0,Dashboard!$F$14-$B$8),AG72)</x:f>
      </x:c>
      <x:c r="AE73" s="32" t="n">
        <x:f>0</x:f>
        <x:v>0</x:v>
      </x:c>
      <x:c r="AF73" s="32" t="e">
        <x:f>IF(A73&lt;=Dashboard!$F$17,AD73*Dashboard!$F$6,0)</x:f>
      </x:c>
      <x:c r="AG73" s="32" t="e">
        <x:f>IF(A73&lt;=Dashboard!$F$17,MIN(Dashboard!$F$10,AD73+AF73),0)</x:f>
      </x:c>
      <x:c r="AH73" s="32" t="e">
        <x:f>IF(A73&lt;=Dashboard!$F$17,MAX(0,AD73-MAX(0,AG73-AF73)),0)</x:f>
      </x:c>
      <x:c r="AI73" s="32" t="e">
        <x:f>IF(A73=1,AF73,AI72+AF73)</x:f>
      </x:c>
      <x:c r="AJ73" s="33"/>
      <x:c r="AK73" s="33"/>
      <x:c r="AL73" s="33"/>
      <x:c r="AM73" s="33"/>
    </x:row>
    <x:row r="74">
      <x:c r="A74" s="33" t="n">
        <x:v>62</x:v>
      </x:c>
      <x:c r="B74" s="32" t="e">
        <x:f>IF(A74=1,Dashboard!$F$14,F73)</x:f>
      </x:c>
      <x:c r="C74" s="32" t="n">
        <x:f>0</x:f>
        <x:v>0</x:v>
      </x:c>
      <x:c r="D74" s="32" t="e">
        <x:f>IF(A74&lt;=Dashboard!$F$15,B74*Dashboard!$F$6,0)</x:f>
      </x:c>
      <x:c r="E74" s="32" t="e">
        <x:f>IF(A74&lt;=Dashboard!$F$15,MIN(Dashboard!$F$10,B74+D74),0)</x:f>
      </x:c>
      <x:c r="F74" s="32" t="e">
        <x:f>IF(A74&lt;=Dashboard!$F$15,MAX(0,B74-MAX(0,E74-D74)),0)</x:f>
      </x:c>
      <x:c r="G74" s="32" t="e">
        <x:f>IF(A74=1,D74,G73+D74)</x:f>
      </x:c>
      <x:c r="H74" s="32"/>
      <x:c r="I74" s="32" t="e">
        <x:f>IF(A74=1,Dashboard!$F$14,M73)</x:f>
      </x:c>
      <x:c r="J74" s="32" t="e">
        <x:f>IF(A74&lt;=Dashboard!$F$17,MIN(I74,$B$5),0)</x:f>
      </x:c>
      <x:c r="K74" s="32" t="e">
        <x:f>IF(A74&lt;=Dashboard!$F$17,MAX(0,I74-J74)*Dashboard!$F$6,0)</x:f>
      </x:c>
      <x:c r="L74" s="32" t="e">
        <x:f>IF(A74&lt;=Dashboard!$F$17,MIN(Dashboard!$F$10,MAX(0,I74-J74)+K74),0)</x:f>
      </x:c>
      <x:c r="M74" s="32" t="e">
        <x:f>IF(A74&lt;=Dashboard!$F$17,MAX(0,I74-J74-MAX(0,L74-K74)),0)</x:f>
      </x:c>
      <x:c r="N74" s="32" t="e">
        <x:f>IF(A74=1,K74,N73+K74)</x:f>
      </x:c>
      <x:c r="O74" s="32"/>
      <x:c r="P74" s="32" t="e">
        <x:f>IF(A74=1,Dashboard!$F$14,T73)</x:f>
      </x:c>
      <x:c r="Q74" s="32" t="e">
        <x:f>IF(A74&lt;=Dashboard!$F$17,MIN(P74,$B$6*52/12),0)</x:f>
      </x:c>
      <x:c r="R74" s="32" t="e">
        <x:f>IF(A74&lt;=Dashboard!$F$17,MAX(0,P74-Q74)*Dashboard!$F$6,0)</x:f>
      </x:c>
      <x:c r="S74" s="32" t="e">
        <x:f>IF(A74&lt;=Dashboard!$F$17,MIN(Dashboard!$F$10,MAX(0,P74-Q74)+R74),0)</x:f>
      </x:c>
      <x:c r="T74" s="32" t="e">
        <x:f>IF(A74&lt;=Dashboard!$F$17,MAX(0,P74-Q74-MAX(0,S74-R74)),0)</x:f>
      </x:c>
      <x:c r="U74" s="32" t="e">
        <x:f>IF(A74=1,R74,U73+R74)</x:f>
      </x:c>
      <x:c r="V74" s="32"/>
      <x:c r="W74" s="32" t="e">
        <x:f>IF(A74=1,Dashboard!$F$14,AA73)</x:f>
      </x:c>
      <x:c r="X74" s="32" t="e">
        <x:f>IF(AND(A74&lt;=Dashboard!$F$17,MOD(A74-1,12)=0),MIN(W74,$B$7),0)</x:f>
      </x:c>
      <x:c r="Y74" s="32" t="e">
        <x:f>IF(A74&lt;=Dashboard!$F$17,MAX(0,W74-X74)*Dashboard!$F$6,0)</x:f>
      </x:c>
      <x:c r="Z74" s="32" t="e">
        <x:f>IF(A74&lt;=Dashboard!$F$17,MIN(Dashboard!$F$10,MAX(0,W74-X74)+Y74),0)</x:f>
      </x:c>
      <x:c r="AA74" s="32" t="e">
        <x:f>IF(A74&lt;=Dashboard!$F$17,MAX(0,W74-X74-MAX(0,Z74-Y74)),0)</x:f>
      </x:c>
      <x:c r="AB74" s="32" t="e">
        <x:f>IF(A74=1,Y74,AB73+Y74)</x:f>
      </x:c>
      <x:c r="AC74" s="32"/>
      <x:c r="AD74" s="32" t="e">
        <x:f>IF(A74=1,MAX(0,Dashboard!$F$14-$B$8),AG73)</x:f>
      </x:c>
      <x:c r="AE74" s="32" t="n">
        <x:f>0</x:f>
        <x:v>0</x:v>
      </x:c>
      <x:c r="AF74" s="32" t="e">
        <x:f>IF(A74&lt;=Dashboard!$F$17,AD74*Dashboard!$F$6,0)</x:f>
      </x:c>
      <x:c r="AG74" s="32" t="e">
        <x:f>IF(A74&lt;=Dashboard!$F$17,MIN(Dashboard!$F$10,AD74+AF74),0)</x:f>
      </x:c>
      <x:c r="AH74" s="32" t="e">
        <x:f>IF(A74&lt;=Dashboard!$F$17,MAX(0,AD74-MAX(0,AG74-AF74)),0)</x:f>
      </x:c>
      <x:c r="AI74" s="32" t="e">
        <x:f>IF(A74=1,AF74,AI73+AF74)</x:f>
      </x:c>
      <x:c r="AJ74" s="33"/>
      <x:c r="AK74" s="33"/>
      <x:c r="AL74" s="33"/>
      <x:c r="AM74" s="33"/>
    </x:row>
    <x:row r="75">
      <x:c r="A75" s="33" t="n">
        <x:v>63</x:v>
      </x:c>
      <x:c r="B75" s="32" t="e">
        <x:f>IF(A75=1,Dashboard!$F$14,F74)</x:f>
      </x:c>
      <x:c r="C75" s="32" t="n">
        <x:f>0</x:f>
        <x:v>0</x:v>
      </x:c>
      <x:c r="D75" s="32" t="e">
        <x:f>IF(A75&lt;=Dashboard!$F$15,B75*Dashboard!$F$6,0)</x:f>
      </x:c>
      <x:c r="E75" s="32" t="e">
        <x:f>IF(A75&lt;=Dashboard!$F$15,MIN(Dashboard!$F$10,B75+D75),0)</x:f>
      </x:c>
      <x:c r="F75" s="32" t="e">
        <x:f>IF(A75&lt;=Dashboard!$F$15,MAX(0,B75-MAX(0,E75-D75)),0)</x:f>
      </x:c>
      <x:c r="G75" s="32" t="e">
        <x:f>IF(A75=1,D75,G74+D75)</x:f>
      </x:c>
      <x:c r="H75" s="32"/>
      <x:c r="I75" s="32" t="e">
        <x:f>IF(A75=1,Dashboard!$F$14,M74)</x:f>
      </x:c>
      <x:c r="J75" s="32" t="e">
        <x:f>IF(A75&lt;=Dashboard!$F$17,MIN(I75,$B$5),0)</x:f>
      </x:c>
      <x:c r="K75" s="32" t="e">
        <x:f>IF(A75&lt;=Dashboard!$F$17,MAX(0,I75-J75)*Dashboard!$F$6,0)</x:f>
      </x:c>
      <x:c r="L75" s="32" t="e">
        <x:f>IF(A75&lt;=Dashboard!$F$17,MIN(Dashboard!$F$10,MAX(0,I75-J75)+K75),0)</x:f>
      </x:c>
      <x:c r="M75" s="32" t="e">
        <x:f>IF(A75&lt;=Dashboard!$F$17,MAX(0,I75-J75-MAX(0,L75-K75)),0)</x:f>
      </x:c>
      <x:c r="N75" s="32" t="e">
        <x:f>IF(A75=1,K75,N74+K75)</x:f>
      </x:c>
      <x:c r="O75" s="32"/>
      <x:c r="P75" s="32" t="e">
        <x:f>IF(A75=1,Dashboard!$F$14,T74)</x:f>
      </x:c>
      <x:c r="Q75" s="32" t="e">
        <x:f>IF(A75&lt;=Dashboard!$F$17,MIN(P75,$B$6*52/12),0)</x:f>
      </x:c>
      <x:c r="R75" s="32" t="e">
        <x:f>IF(A75&lt;=Dashboard!$F$17,MAX(0,P75-Q75)*Dashboard!$F$6,0)</x:f>
      </x:c>
      <x:c r="S75" s="32" t="e">
        <x:f>IF(A75&lt;=Dashboard!$F$17,MIN(Dashboard!$F$10,MAX(0,P75-Q75)+R75),0)</x:f>
      </x:c>
      <x:c r="T75" s="32" t="e">
        <x:f>IF(A75&lt;=Dashboard!$F$17,MAX(0,P75-Q75-MAX(0,S75-R75)),0)</x:f>
      </x:c>
      <x:c r="U75" s="32" t="e">
        <x:f>IF(A75=1,R75,U74+R75)</x:f>
      </x:c>
      <x:c r="V75" s="32"/>
      <x:c r="W75" s="32" t="e">
        <x:f>IF(A75=1,Dashboard!$F$14,AA74)</x:f>
      </x:c>
      <x:c r="X75" s="32" t="e">
        <x:f>IF(AND(A75&lt;=Dashboard!$F$17,MOD(A75-1,12)=0),MIN(W75,$B$7),0)</x:f>
      </x:c>
      <x:c r="Y75" s="32" t="e">
        <x:f>IF(A75&lt;=Dashboard!$F$17,MAX(0,W75-X75)*Dashboard!$F$6,0)</x:f>
      </x:c>
      <x:c r="Z75" s="32" t="e">
        <x:f>IF(A75&lt;=Dashboard!$F$17,MIN(Dashboard!$F$10,MAX(0,W75-X75)+Y75),0)</x:f>
      </x:c>
      <x:c r="AA75" s="32" t="e">
        <x:f>IF(A75&lt;=Dashboard!$F$17,MAX(0,W75-X75-MAX(0,Z75-Y75)),0)</x:f>
      </x:c>
      <x:c r="AB75" s="32" t="e">
        <x:f>IF(A75=1,Y75,AB74+Y75)</x:f>
      </x:c>
      <x:c r="AC75" s="32"/>
      <x:c r="AD75" s="32" t="e">
        <x:f>IF(A75=1,MAX(0,Dashboard!$F$14-$B$8),AG74)</x:f>
      </x:c>
      <x:c r="AE75" s="32" t="n">
        <x:f>0</x:f>
        <x:v>0</x:v>
      </x:c>
      <x:c r="AF75" s="32" t="e">
        <x:f>IF(A75&lt;=Dashboard!$F$17,AD75*Dashboard!$F$6,0)</x:f>
      </x:c>
      <x:c r="AG75" s="32" t="e">
        <x:f>IF(A75&lt;=Dashboard!$F$17,MIN(Dashboard!$F$10,AD75+AF75),0)</x:f>
      </x:c>
      <x:c r="AH75" s="32" t="e">
        <x:f>IF(A75&lt;=Dashboard!$F$17,MAX(0,AD75-MAX(0,AG75-AF75)),0)</x:f>
      </x:c>
      <x:c r="AI75" s="32" t="e">
        <x:f>IF(A75=1,AF75,AI74+AF75)</x:f>
      </x:c>
      <x:c r="AJ75" s="33"/>
      <x:c r="AK75" s="33"/>
      <x:c r="AL75" s="33"/>
      <x:c r="AM75" s="33"/>
    </x:row>
    <x:row r="76">
      <x:c r="A76" s="33" t="n">
        <x:v>64</x:v>
      </x:c>
      <x:c r="B76" s="32" t="e">
        <x:f>IF(A76=1,Dashboard!$F$14,F75)</x:f>
      </x:c>
      <x:c r="C76" s="32" t="n">
        <x:f>0</x:f>
        <x:v>0</x:v>
      </x:c>
      <x:c r="D76" s="32" t="e">
        <x:f>IF(A76&lt;=Dashboard!$F$15,B76*Dashboard!$F$6,0)</x:f>
      </x:c>
      <x:c r="E76" s="32" t="e">
        <x:f>IF(A76&lt;=Dashboard!$F$15,MIN(Dashboard!$F$10,B76+D76),0)</x:f>
      </x:c>
      <x:c r="F76" s="32" t="e">
        <x:f>IF(A76&lt;=Dashboard!$F$15,MAX(0,B76-MAX(0,E76-D76)),0)</x:f>
      </x:c>
      <x:c r="G76" s="32" t="e">
        <x:f>IF(A76=1,D76,G75+D76)</x:f>
      </x:c>
      <x:c r="H76" s="32"/>
      <x:c r="I76" s="32" t="e">
        <x:f>IF(A76=1,Dashboard!$F$14,M75)</x:f>
      </x:c>
      <x:c r="J76" s="32" t="e">
        <x:f>IF(A76&lt;=Dashboard!$F$17,MIN(I76,$B$5),0)</x:f>
      </x:c>
      <x:c r="K76" s="32" t="e">
        <x:f>IF(A76&lt;=Dashboard!$F$17,MAX(0,I76-J76)*Dashboard!$F$6,0)</x:f>
      </x:c>
      <x:c r="L76" s="32" t="e">
        <x:f>IF(A76&lt;=Dashboard!$F$17,MIN(Dashboard!$F$10,MAX(0,I76-J76)+K76),0)</x:f>
      </x:c>
      <x:c r="M76" s="32" t="e">
        <x:f>IF(A76&lt;=Dashboard!$F$17,MAX(0,I76-J76-MAX(0,L76-K76)),0)</x:f>
      </x:c>
      <x:c r="N76" s="32" t="e">
        <x:f>IF(A76=1,K76,N75+K76)</x:f>
      </x:c>
      <x:c r="O76" s="32"/>
      <x:c r="P76" s="32" t="e">
        <x:f>IF(A76=1,Dashboard!$F$14,T75)</x:f>
      </x:c>
      <x:c r="Q76" s="32" t="e">
        <x:f>IF(A76&lt;=Dashboard!$F$17,MIN(P76,$B$6*52/12),0)</x:f>
      </x:c>
      <x:c r="R76" s="32" t="e">
        <x:f>IF(A76&lt;=Dashboard!$F$17,MAX(0,P76-Q76)*Dashboard!$F$6,0)</x:f>
      </x:c>
      <x:c r="S76" s="32" t="e">
        <x:f>IF(A76&lt;=Dashboard!$F$17,MIN(Dashboard!$F$10,MAX(0,P76-Q76)+R76),0)</x:f>
      </x:c>
      <x:c r="T76" s="32" t="e">
        <x:f>IF(A76&lt;=Dashboard!$F$17,MAX(0,P76-Q76-MAX(0,S76-R76)),0)</x:f>
      </x:c>
      <x:c r="U76" s="32" t="e">
        <x:f>IF(A76=1,R76,U75+R76)</x:f>
      </x:c>
      <x:c r="V76" s="32"/>
      <x:c r="W76" s="32" t="e">
        <x:f>IF(A76=1,Dashboard!$F$14,AA75)</x:f>
      </x:c>
      <x:c r="X76" s="32" t="e">
        <x:f>IF(AND(A76&lt;=Dashboard!$F$17,MOD(A76-1,12)=0),MIN(W76,$B$7),0)</x:f>
      </x:c>
      <x:c r="Y76" s="32" t="e">
        <x:f>IF(A76&lt;=Dashboard!$F$17,MAX(0,W76-X76)*Dashboard!$F$6,0)</x:f>
      </x:c>
      <x:c r="Z76" s="32" t="e">
        <x:f>IF(A76&lt;=Dashboard!$F$17,MIN(Dashboard!$F$10,MAX(0,W76-X76)+Y76),0)</x:f>
      </x:c>
      <x:c r="AA76" s="32" t="e">
        <x:f>IF(A76&lt;=Dashboard!$F$17,MAX(0,W76-X76-MAX(0,Z76-Y76)),0)</x:f>
      </x:c>
      <x:c r="AB76" s="32" t="e">
        <x:f>IF(A76=1,Y76,AB75+Y76)</x:f>
      </x:c>
      <x:c r="AC76" s="32"/>
      <x:c r="AD76" s="32" t="e">
        <x:f>IF(A76=1,MAX(0,Dashboard!$F$14-$B$8),AG75)</x:f>
      </x:c>
      <x:c r="AE76" s="32" t="n">
        <x:f>0</x:f>
        <x:v>0</x:v>
      </x:c>
      <x:c r="AF76" s="32" t="e">
        <x:f>IF(A76&lt;=Dashboard!$F$17,AD76*Dashboard!$F$6,0)</x:f>
      </x:c>
      <x:c r="AG76" s="32" t="e">
        <x:f>IF(A76&lt;=Dashboard!$F$17,MIN(Dashboard!$F$10,AD76+AF76),0)</x:f>
      </x:c>
      <x:c r="AH76" s="32" t="e">
        <x:f>IF(A76&lt;=Dashboard!$F$17,MAX(0,AD76-MAX(0,AG76-AF76)),0)</x:f>
      </x:c>
      <x:c r="AI76" s="32" t="e">
        <x:f>IF(A76=1,AF76,AI75+AF76)</x:f>
      </x:c>
      <x:c r="AJ76" s="33"/>
      <x:c r="AK76" s="33"/>
      <x:c r="AL76" s="33"/>
      <x:c r="AM76" s="33"/>
    </x:row>
    <x:row r="77">
      <x:c r="A77" s="33" t="n">
        <x:v>65</x:v>
      </x:c>
      <x:c r="B77" s="32" t="e">
        <x:f>IF(A77=1,Dashboard!$F$14,F76)</x:f>
      </x:c>
      <x:c r="C77" s="32" t="n">
        <x:f>0</x:f>
        <x:v>0</x:v>
      </x:c>
      <x:c r="D77" s="32" t="e">
        <x:f>IF(A77&lt;=Dashboard!$F$15,B77*Dashboard!$F$6,0)</x:f>
      </x:c>
      <x:c r="E77" s="32" t="e">
        <x:f>IF(A77&lt;=Dashboard!$F$15,MIN(Dashboard!$F$10,B77+D77),0)</x:f>
      </x:c>
      <x:c r="F77" s="32" t="e">
        <x:f>IF(A77&lt;=Dashboard!$F$15,MAX(0,B77-MAX(0,E77-D77)),0)</x:f>
      </x:c>
      <x:c r="G77" s="32" t="e">
        <x:f>IF(A77=1,D77,G76+D77)</x:f>
      </x:c>
      <x:c r="H77" s="32"/>
      <x:c r="I77" s="32" t="e">
        <x:f>IF(A77=1,Dashboard!$F$14,M76)</x:f>
      </x:c>
      <x:c r="J77" s="32" t="e">
        <x:f>IF(A77&lt;=Dashboard!$F$17,MIN(I77,$B$5),0)</x:f>
      </x:c>
      <x:c r="K77" s="32" t="e">
        <x:f>IF(A77&lt;=Dashboard!$F$17,MAX(0,I77-J77)*Dashboard!$F$6,0)</x:f>
      </x:c>
      <x:c r="L77" s="32" t="e">
        <x:f>IF(A77&lt;=Dashboard!$F$17,MIN(Dashboard!$F$10,MAX(0,I77-J77)+K77),0)</x:f>
      </x:c>
      <x:c r="M77" s="32" t="e">
        <x:f>IF(A77&lt;=Dashboard!$F$17,MAX(0,I77-J77-MAX(0,L77-K77)),0)</x:f>
      </x:c>
      <x:c r="N77" s="32" t="e">
        <x:f>IF(A77=1,K77,N76+K77)</x:f>
      </x:c>
      <x:c r="O77" s="32"/>
      <x:c r="P77" s="32" t="e">
        <x:f>IF(A77=1,Dashboard!$F$14,T76)</x:f>
      </x:c>
      <x:c r="Q77" s="32" t="e">
        <x:f>IF(A77&lt;=Dashboard!$F$17,MIN(P77,$B$6*52/12),0)</x:f>
      </x:c>
      <x:c r="R77" s="32" t="e">
        <x:f>IF(A77&lt;=Dashboard!$F$17,MAX(0,P77-Q77)*Dashboard!$F$6,0)</x:f>
      </x:c>
      <x:c r="S77" s="32" t="e">
        <x:f>IF(A77&lt;=Dashboard!$F$17,MIN(Dashboard!$F$10,MAX(0,P77-Q77)+R77),0)</x:f>
      </x:c>
      <x:c r="T77" s="32" t="e">
        <x:f>IF(A77&lt;=Dashboard!$F$17,MAX(0,P77-Q77-MAX(0,S77-R77)),0)</x:f>
      </x:c>
      <x:c r="U77" s="32" t="e">
        <x:f>IF(A77=1,R77,U76+R77)</x:f>
      </x:c>
      <x:c r="V77" s="32"/>
      <x:c r="W77" s="32" t="e">
        <x:f>IF(A77=1,Dashboard!$F$14,AA76)</x:f>
      </x:c>
      <x:c r="X77" s="32" t="e">
        <x:f>IF(AND(A77&lt;=Dashboard!$F$17,MOD(A77-1,12)=0),MIN(W77,$B$7),0)</x:f>
      </x:c>
      <x:c r="Y77" s="32" t="e">
        <x:f>IF(A77&lt;=Dashboard!$F$17,MAX(0,W77-X77)*Dashboard!$F$6,0)</x:f>
      </x:c>
      <x:c r="Z77" s="32" t="e">
        <x:f>IF(A77&lt;=Dashboard!$F$17,MIN(Dashboard!$F$10,MAX(0,W77-X77)+Y77),0)</x:f>
      </x:c>
      <x:c r="AA77" s="32" t="e">
        <x:f>IF(A77&lt;=Dashboard!$F$17,MAX(0,W77-X77-MAX(0,Z77-Y77)),0)</x:f>
      </x:c>
      <x:c r="AB77" s="32" t="e">
        <x:f>IF(A77=1,Y77,AB76+Y77)</x:f>
      </x:c>
      <x:c r="AC77" s="32"/>
      <x:c r="AD77" s="32" t="e">
        <x:f>IF(A77=1,MAX(0,Dashboard!$F$14-$B$8),AG76)</x:f>
      </x:c>
      <x:c r="AE77" s="32" t="n">
        <x:f>0</x:f>
        <x:v>0</x:v>
      </x:c>
      <x:c r="AF77" s="32" t="e">
        <x:f>IF(A77&lt;=Dashboard!$F$17,AD77*Dashboard!$F$6,0)</x:f>
      </x:c>
      <x:c r="AG77" s="32" t="e">
        <x:f>IF(A77&lt;=Dashboard!$F$17,MIN(Dashboard!$F$10,AD77+AF77),0)</x:f>
      </x:c>
      <x:c r="AH77" s="32" t="e">
        <x:f>IF(A77&lt;=Dashboard!$F$17,MAX(0,AD77-MAX(0,AG77-AF77)),0)</x:f>
      </x:c>
      <x:c r="AI77" s="32" t="e">
        <x:f>IF(A77=1,AF77,AI76+AF77)</x:f>
      </x:c>
      <x:c r="AJ77" s="33"/>
      <x:c r="AK77" s="33"/>
      <x:c r="AL77" s="33"/>
      <x:c r="AM77" s="33"/>
    </x:row>
    <x:row r="78">
      <x:c r="A78" s="33" t="n">
        <x:v>66</x:v>
      </x:c>
      <x:c r="B78" s="32" t="e">
        <x:f>IF(A78=1,Dashboard!$F$14,F77)</x:f>
      </x:c>
      <x:c r="C78" s="32" t="n">
        <x:f>0</x:f>
        <x:v>0</x:v>
      </x:c>
      <x:c r="D78" s="32" t="e">
        <x:f>IF(A78&lt;=Dashboard!$F$15,B78*Dashboard!$F$6,0)</x:f>
      </x:c>
      <x:c r="E78" s="32" t="e">
        <x:f>IF(A78&lt;=Dashboard!$F$15,MIN(Dashboard!$F$10,B78+D78),0)</x:f>
      </x:c>
      <x:c r="F78" s="32" t="e">
        <x:f>IF(A78&lt;=Dashboard!$F$15,MAX(0,B78-MAX(0,E78-D78)),0)</x:f>
      </x:c>
      <x:c r="G78" s="32" t="e">
        <x:f>IF(A78=1,D78,G77+D78)</x:f>
      </x:c>
      <x:c r="H78" s="32"/>
      <x:c r="I78" s="32" t="e">
        <x:f>IF(A78=1,Dashboard!$F$14,M77)</x:f>
      </x:c>
      <x:c r="J78" s="32" t="e">
        <x:f>IF(A78&lt;=Dashboard!$F$17,MIN(I78,$B$5),0)</x:f>
      </x:c>
      <x:c r="K78" s="32" t="e">
        <x:f>IF(A78&lt;=Dashboard!$F$17,MAX(0,I78-J78)*Dashboard!$F$6,0)</x:f>
      </x:c>
      <x:c r="L78" s="32" t="e">
        <x:f>IF(A78&lt;=Dashboard!$F$17,MIN(Dashboard!$F$10,MAX(0,I78-J78)+K78),0)</x:f>
      </x:c>
      <x:c r="M78" s="32" t="e">
        <x:f>IF(A78&lt;=Dashboard!$F$17,MAX(0,I78-J78-MAX(0,L78-K78)),0)</x:f>
      </x:c>
      <x:c r="N78" s="32" t="e">
        <x:f>IF(A78=1,K78,N77+K78)</x:f>
      </x:c>
      <x:c r="O78" s="32"/>
      <x:c r="P78" s="32" t="e">
        <x:f>IF(A78=1,Dashboard!$F$14,T77)</x:f>
      </x:c>
      <x:c r="Q78" s="32" t="e">
        <x:f>IF(A78&lt;=Dashboard!$F$17,MIN(P78,$B$6*52/12),0)</x:f>
      </x:c>
      <x:c r="R78" s="32" t="e">
        <x:f>IF(A78&lt;=Dashboard!$F$17,MAX(0,P78-Q78)*Dashboard!$F$6,0)</x:f>
      </x:c>
      <x:c r="S78" s="32" t="e">
        <x:f>IF(A78&lt;=Dashboard!$F$17,MIN(Dashboard!$F$10,MAX(0,P78-Q78)+R78),0)</x:f>
      </x:c>
      <x:c r="T78" s="32" t="e">
        <x:f>IF(A78&lt;=Dashboard!$F$17,MAX(0,P78-Q78-MAX(0,S78-R78)),0)</x:f>
      </x:c>
      <x:c r="U78" s="32" t="e">
        <x:f>IF(A78=1,R78,U77+R78)</x:f>
      </x:c>
      <x:c r="V78" s="32"/>
      <x:c r="W78" s="32" t="e">
        <x:f>IF(A78=1,Dashboard!$F$14,AA77)</x:f>
      </x:c>
      <x:c r="X78" s="32" t="e">
        <x:f>IF(AND(A78&lt;=Dashboard!$F$17,MOD(A78-1,12)=0),MIN(W78,$B$7),0)</x:f>
      </x:c>
      <x:c r="Y78" s="32" t="e">
        <x:f>IF(A78&lt;=Dashboard!$F$17,MAX(0,W78-X78)*Dashboard!$F$6,0)</x:f>
      </x:c>
      <x:c r="Z78" s="32" t="e">
        <x:f>IF(A78&lt;=Dashboard!$F$17,MIN(Dashboard!$F$10,MAX(0,W78-X78)+Y78),0)</x:f>
      </x:c>
      <x:c r="AA78" s="32" t="e">
        <x:f>IF(A78&lt;=Dashboard!$F$17,MAX(0,W78-X78-MAX(0,Z78-Y78)),0)</x:f>
      </x:c>
      <x:c r="AB78" s="32" t="e">
        <x:f>IF(A78=1,Y78,AB77+Y78)</x:f>
      </x:c>
      <x:c r="AC78" s="32"/>
      <x:c r="AD78" s="32" t="e">
        <x:f>IF(A78=1,MAX(0,Dashboard!$F$14-$B$8),AG77)</x:f>
      </x:c>
      <x:c r="AE78" s="32" t="n">
        <x:f>0</x:f>
        <x:v>0</x:v>
      </x:c>
      <x:c r="AF78" s="32" t="e">
        <x:f>IF(A78&lt;=Dashboard!$F$17,AD78*Dashboard!$F$6,0)</x:f>
      </x:c>
      <x:c r="AG78" s="32" t="e">
        <x:f>IF(A78&lt;=Dashboard!$F$17,MIN(Dashboard!$F$10,AD78+AF78),0)</x:f>
      </x:c>
      <x:c r="AH78" s="32" t="e">
        <x:f>IF(A78&lt;=Dashboard!$F$17,MAX(0,AD78-MAX(0,AG78-AF78)),0)</x:f>
      </x:c>
      <x:c r="AI78" s="32" t="e">
        <x:f>IF(A78=1,AF78,AI77+AF78)</x:f>
      </x:c>
      <x:c r="AJ78" s="33"/>
      <x:c r="AK78" s="33"/>
      <x:c r="AL78" s="33"/>
      <x:c r="AM78" s="33"/>
    </x:row>
    <x:row r="79">
      <x:c r="A79" s="33" t="n">
        <x:v>67</x:v>
      </x:c>
      <x:c r="B79" s="32" t="e">
        <x:f>IF(A79=1,Dashboard!$F$14,F78)</x:f>
      </x:c>
      <x:c r="C79" s="32" t="n">
        <x:f>0</x:f>
        <x:v>0</x:v>
      </x:c>
      <x:c r="D79" s="32" t="e">
        <x:f>IF(A79&lt;=Dashboard!$F$15,B79*Dashboard!$F$6,0)</x:f>
      </x:c>
      <x:c r="E79" s="32" t="e">
        <x:f>IF(A79&lt;=Dashboard!$F$15,MIN(Dashboard!$F$10,B79+D79),0)</x:f>
      </x:c>
      <x:c r="F79" s="32" t="e">
        <x:f>IF(A79&lt;=Dashboard!$F$15,MAX(0,B79-MAX(0,E79-D79)),0)</x:f>
      </x:c>
      <x:c r="G79" s="32" t="e">
        <x:f>IF(A79=1,D79,G78+D79)</x:f>
      </x:c>
      <x:c r="H79" s="32"/>
      <x:c r="I79" s="32" t="e">
        <x:f>IF(A79=1,Dashboard!$F$14,M78)</x:f>
      </x:c>
      <x:c r="J79" s="32" t="e">
        <x:f>IF(A79&lt;=Dashboard!$F$17,MIN(I79,$B$5),0)</x:f>
      </x:c>
      <x:c r="K79" s="32" t="e">
        <x:f>IF(A79&lt;=Dashboard!$F$17,MAX(0,I79-J79)*Dashboard!$F$6,0)</x:f>
      </x:c>
      <x:c r="L79" s="32" t="e">
        <x:f>IF(A79&lt;=Dashboard!$F$17,MIN(Dashboard!$F$10,MAX(0,I79-J79)+K79),0)</x:f>
      </x:c>
      <x:c r="M79" s="32" t="e">
        <x:f>IF(A79&lt;=Dashboard!$F$17,MAX(0,I79-J79-MAX(0,L79-K79)),0)</x:f>
      </x:c>
      <x:c r="N79" s="32" t="e">
        <x:f>IF(A79=1,K79,N78+K79)</x:f>
      </x:c>
      <x:c r="O79" s="32"/>
      <x:c r="P79" s="32" t="e">
        <x:f>IF(A79=1,Dashboard!$F$14,T78)</x:f>
      </x:c>
      <x:c r="Q79" s="32" t="e">
        <x:f>IF(A79&lt;=Dashboard!$F$17,MIN(P79,$B$6*52/12),0)</x:f>
      </x:c>
      <x:c r="R79" s="32" t="e">
        <x:f>IF(A79&lt;=Dashboard!$F$17,MAX(0,P79-Q79)*Dashboard!$F$6,0)</x:f>
      </x:c>
      <x:c r="S79" s="32" t="e">
        <x:f>IF(A79&lt;=Dashboard!$F$17,MIN(Dashboard!$F$10,MAX(0,P79-Q79)+R79),0)</x:f>
      </x:c>
      <x:c r="T79" s="32" t="e">
        <x:f>IF(A79&lt;=Dashboard!$F$17,MAX(0,P79-Q79-MAX(0,S79-R79)),0)</x:f>
      </x:c>
      <x:c r="U79" s="32" t="e">
        <x:f>IF(A79=1,R79,U78+R79)</x:f>
      </x:c>
      <x:c r="V79" s="32"/>
      <x:c r="W79" s="32" t="e">
        <x:f>IF(A79=1,Dashboard!$F$14,AA78)</x:f>
      </x:c>
      <x:c r="X79" s="32" t="e">
        <x:f>IF(AND(A79&lt;=Dashboard!$F$17,MOD(A79-1,12)=0),MIN(W79,$B$7),0)</x:f>
      </x:c>
      <x:c r="Y79" s="32" t="e">
        <x:f>IF(A79&lt;=Dashboard!$F$17,MAX(0,W79-X79)*Dashboard!$F$6,0)</x:f>
      </x:c>
      <x:c r="Z79" s="32" t="e">
        <x:f>IF(A79&lt;=Dashboard!$F$17,MIN(Dashboard!$F$10,MAX(0,W79-X79)+Y79),0)</x:f>
      </x:c>
      <x:c r="AA79" s="32" t="e">
        <x:f>IF(A79&lt;=Dashboard!$F$17,MAX(0,W79-X79-MAX(0,Z79-Y79)),0)</x:f>
      </x:c>
      <x:c r="AB79" s="32" t="e">
        <x:f>IF(A79=1,Y79,AB78+Y79)</x:f>
      </x:c>
      <x:c r="AC79" s="32"/>
      <x:c r="AD79" s="32" t="e">
        <x:f>IF(A79=1,MAX(0,Dashboard!$F$14-$B$8),AG78)</x:f>
      </x:c>
      <x:c r="AE79" s="32" t="n">
        <x:f>0</x:f>
        <x:v>0</x:v>
      </x:c>
      <x:c r="AF79" s="32" t="e">
        <x:f>IF(A79&lt;=Dashboard!$F$17,AD79*Dashboard!$F$6,0)</x:f>
      </x:c>
      <x:c r="AG79" s="32" t="e">
        <x:f>IF(A79&lt;=Dashboard!$F$17,MIN(Dashboard!$F$10,AD79+AF79),0)</x:f>
      </x:c>
      <x:c r="AH79" s="32" t="e">
        <x:f>IF(A79&lt;=Dashboard!$F$17,MAX(0,AD79-MAX(0,AG79-AF79)),0)</x:f>
      </x:c>
      <x:c r="AI79" s="32" t="e">
        <x:f>IF(A79=1,AF79,AI78+AF79)</x:f>
      </x:c>
      <x:c r="AJ79" s="33"/>
      <x:c r="AK79" s="33"/>
      <x:c r="AL79" s="33"/>
      <x:c r="AM79" s="33"/>
    </x:row>
    <x:row r="80">
      <x:c r="A80" s="33" t="n">
        <x:v>68</x:v>
      </x:c>
      <x:c r="B80" s="32" t="e">
        <x:f>IF(A80=1,Dashboard!$F$14,F79)</x:f>
      </x:c>
      <x:c r="C80" s="32" t="n">
        <x:f>0</x:f>
        <x:v>0</x:v>
      </x:c>
      <x:c r="D80" s="32" t="e">
        <x:f>IF(A80&lt;=Dashboard!$F$15,B80*Dashboard!$F$6,0)</x:f>
      </x:c>
      <x:c r="E80" s="32" t="e">
        <x:f>IF(A80&lt;=Dashboard!$F$15,MIN(Dashboard!$F$10,B80+D80),0)</x:f>
      </x:c>
      <x:c r="F80" s="32" t="e">
        <x:f>IF(A80&lt;=Dashboard!$F$15,MAX(0,B80-MAX(0,E80-D80)),0)</x:f>
      </x:c>
      <x:c r="G80" s="32" t="e">
        <x:f>IF(A80=1,D80,G79+D80)</x:f>
      </x:c>
      <x:c r="H80" s="32"/>
      <x:c r="I80" s="32" t="e">
        <x:f>IF(A80=1,Dashboard!$F$14,M79)</x:f>
      </x:c>
      <x:c r="J80" s="32" t="e">
        <x:f>IF(A80&lt;=Dashboard!$F$17,MIN(I80,$B$5),0)</x:f>
      </x:c>
      <x:c r="K80" s="32" t="e">
        <x:f>IF(A80&lt;=Dashboard!$F$17,MAX(0,I80-J80)*Dashboard!$F$6,0)</x:f>
      </x:c>
      <x:c r="L80" s="32" t="e">
        <x:f>IF(A80&lt;=Dashboard!$F$17,MIN(Dashboard!$F$10,MAX(0,I80-J80)+K80),0)</x:f>
      </x:c>
      <x:c r="M80" s="32" t="e">
        <x:f>IF(A80&lt;=Dashboard!$F$17,MAX(0,I80-J80-MAX(0,L80-K80)),0)</x:f>
      </x:c>
      <x:c r="N80" s="32" t="e">
        <x:f>IF(A80=1,K80,N79+K80)</x:f>
      </x:c>
      <x:c r="O80" s="32"/>
      <x:c r="P80" s="32" t="e">
        <x:f>IF(A80=1,Dashboard!$F$14,T79)</x:f>
      </x:c>
      <x:c r="Q80" s="32" t="e">
        <x:f>IF(A80&lt;=Dashboard!$F$17,MIN(P80,$B$6*52/12),0)</x:f>
      </x:c>
      <x:c r="R80" s="32" t="e">
        <x:f>IF(A80&lt;=Dashboard!$F$17,MAX(0,P80-Q80)*Dashboard!$F$6,0)</x:f>
      </x:c>
      <x:c r="S80" s="32" t="e">
        <x:f>IF(A80&lt;=Dashboard!$F$17,MIN(Dashboard!$F$10,MAX(0,P80-Q80)+R80),0)</x:f>
      </x:c>
      <x:c r="T80" s="32" t="e">
        <x:f>IF(A80&lt;=Dashboard!$F$17,MAX(0,P80-Q80-MAX(0,S80-R80)),0)</x:f>
      </x:c>
      <x:c r="U80" s="32" t="e">
        <x:f>IF(A80=1,R80,U79+R80)</x:f>
      </x:c>
      <x:c r="V80" s="32"/>
      <x:c r="W80" s="32" t="e">
        <x:f>IF(A80=1,Dashboard!$F$14,AA79)</x:f>
      </x:c>
      <x:c r="X80" s="32" t="e">
        <x:f>IF(AND(A80&lt;=Dashboard!$F$17,MOD(A80-1,12)=0),MIN(W80,$B$7),0)</x:f>
      </x:c>
      <x:c r="Y80" s="32" t="e">
        <x:f>IF(A80&lt;=Dashboard!$F$17,MAX(0,W80-X80)*Dashboard!$F$6,0)</x:f>
      </x:c>
      <x:c r="Z80" s="32" t="e">
        <x:f>IF(A80&lt;=Dashboard!$F$17,MIN(Dashboard!$F$10,MAX(0,W80-X80)+Y80),0)</x:f>
      </x:c>
      <x:c r="AA80" s="32" t="e">
        <x:f>IF(A80&lt;=Dashboard!$F$17,MAX(0,W80-X80-MAX(0,Z80-Y80)),0)</x:f>
      </x:c>
      <x:c r="AB80" s="32" t="e">
        <x:f>IF(A80=1,Y80,AB79+Y80)</x:f>
      </x:c>
      <x:c r="AC80" s="32"/>
      <x:c r="AD80" s="32" t="e">
        <x:f>IF(A80=1,MAX(0,Dashboard!$F$14-$B$8),AG79)</x:f>
      </x:c>
      <x:c r="AE80" s="32" t="n">
        <x:f>0</x:f>
        <x:v>0</x:v>
      </x:c>
      <x:c r="AF80" s="32" t="e">
        <x:f>IF(A80&lt;=Dashboard!$F$17,AD80*Dashboard!$F$6,0)</x:f>
      </x:c>
      <x:c r="AG80" s="32" t="e">
        <x:f>IF(A80&lt;=Dashboard!$F$17,MIN(Dashboard!$F$10,AD80+AF80),0)</x:f>
      </x:c>
      <x:c r="AH80" s="32" t="e">
        <x:f>IF(A80&lt;=Dashboard!$F$17,MAX(0,AD80-MAX(0,AG80-AF80)),0)</x:f>
      </x:c>
      <x:c r="AI80" s="32" t="e">
        <x:f>IF(A80=1,AF80,AI79+AF80)</x:f>
      </x:c>
      <x:c r="AJ80" s="33"/>
      <x:c r="AK80" s="33"/>
      <x:c r="AL80" s="33"/>
      <x:c r="AM80" s="33"/>
    </x:row>
    <x:row r="81">
      <x:c r="A81" s="33" t="n">
        <x:v>69</x:v>
      </x:c>
      <x:c r="B81" s="32" t="e">
        <x:f>IF(A81=1,Dashboard!$F$14,F80)</x:f>
      </x:c>
      <x:c r="C81" s="32" t="n">
        <x:f>0</x:f>
        <x:v>0</x:v>
      </x:c>
      <x:c r="D81" s="32" t="e">
        <x:f>IF(A81&lt;=Dashboard!$F$15,B81*Dashboard!$F$6,0)</x:f>
      </x:c>
      <x:c r="E81" s="32" t="e">
        <x:f>IF(A81&lt;=Dashboard!$F$15,MIN(Dashboard!$F$10,B81+D81),0)</x:f>
      </x:c>
      <x:c r="F81" s="32" t="e">
        <x:f>IF(A81&lt;=Dashboard!$F$15,MAX(0,B81-MAX(0,E81-D81)),0)</x:f>
      </x:c>
      <x:c r="G81" s="32" t="e">
        <x:f>IF(A81=1,D81,G80+D81)</x:f>
      </x:c>
      <x:c r="H81" s="32"/>
      <x:c r="I81" s="32" t="e">
        <x:f>IF(A81=1,Dashboard!$F$14,M80)</x:f>
      </x:c>
      <x:c r="J81" s="32" t="e">
        <x:f>IF(A81&lt;=Dashboard!$F$17,MIN(I81,$B$5),0)</x:f>
      </x:c>
      <x:c r="K81" s="32" t="e">
        <x:f>IF(A81&lt;=Dashboard!$F$17,MAX(0,I81-J81)*Dashboard!$F$6,0)</x:f>
      </x:c>
      <x:c r="L81" s="32" t="e">
        <x:f>IF(A81&lt;=Dashboard!$F$17,MIN(Dashboard!$F$10,MAX(0,I81-J81)+K81),0)</x:f>
      </x:c>
      <x:c r="M81" s="32" t="e">
        <x:f>IF(A81&lt;=Dashboard!$F$17,MAX(0,I81-J81-MAX(0,L81-K81)),0)</x:f>
      </x:c>
      <x:c r="N81" s="32" t="e">
        <x:f>IF(A81=1,K81,N80+K81)</x:f>
      </x:c>
      <x:c r="O81" s="32"/>
      <x:c r="P81" s="32" t="e">
        <x:f>IF(A81=1,Dashboard!$F$14,T80)</x:f>
      </x:c>
      <x:c r="Q81" s="32" t="e">
        <x:f>IF(A81&lt;=Dashboard!$F$17,MIN(P81,$B$6*52/12),0)</x:f>
      </x:c>
      <x:c r="R81" s="32" t="e">
        <x:f>IF(A81&lt;=Dashboard!$F$17,MAX(0,P81-Q81)*Dashboard!$F$6,0)</x:f>
      </x:c>
      <x:c r="S81" s="32" t="e">
        <x:f>IF(A81&lt;=Dashboard!$F$17,MIN(Dashboard!$F$10,MAX(0,P81-Q81)+R81),0)</x:f>
      </x:c>
      <x:c r="T81" s="32" t="e">
        <x:f>IF(A81&lt;=Dashboard!$F$17,MAX(0,P81-Q81-MAX(0,S81-R81)),0)</x:f>
      </x:c>
      <x:c r="U81" s="32" t="e">
        <x:f>IF(A81=1,R81,U80+R81)</x:f>
      </x:c>
      <x:c r="V81" s="32"/>
      <x:c r="W81" s="32" t="e">
        <x:f>IF(A81=1,Dashboard!$F$14,AA80)</x:f>
      </x:c>
      <x:c r="X81" s="32" t="e">
        <x:f>IF(AND(A81&lt;=Dashboard!$F$17,MOD(A81-1,12)=0),MIN(W81,$B$7),0)</x:f>
      </x:c>
      <x:c r="Y81" s="32" t="e">
        <x:f>IF(A81&lt;=Dashboard!$F$17,MAX(0,W81-X81)*Dashboard!$F$6,0)</x:f>
      </x:c>
      <x:c r="Z81" s="32" t="e">
        <x:f>IF(A81&lt;=Dashboard!$F$17,MIN(Dashboard!$F$10,MAX(0,W81-X81)+Y81),0)</x:f>
      </x:c>
      <x:c r="AA81" s="32" t="e">
        <x:f>IF(A81&lt;=Dashboard!$F$17,MAX(0,W81-X81-MAX(0,Z81-Y81)),0)</x:f>
      </x:c>
      <x:c r="AB81" s="32" t="e">
        <x:f>IF(A81=1,Y81,AB80+Y81)</x:f>
      </x:c>
      <x:c r="AC81" s="32"/>
      <x:c r="AD81" s="32" t="e">
        <x:f>IF(A81=1,MAX(0,Dashboard!$F$14-$B$8),AG80)</x:f>
      </x:c>
      <x:c r="AE81" s="32" t="n">
        <x:f>0</x:f>
        <x:v>0</x:v>
      </x:c>
      <x:c r="AF81" s="32" t="e">
        <x:f>IF(A81&lt;=Dashboard!$F$17,AD81*Dashboard!$F$6,0)</x:f>
      </x:c>
      <x:c r="AG81" s="32" t="e">
        <x:f>IF(A81&lt;=Dashboard!$F$17,MIN(Dashboard!$F$10,AD81+AF81),0)</x:f>
      </x:c>
      <x:c r="AH81" s="32" t="e">
        <x:f>IF(A81&lt;=Dashboard!$F$17,MAX(0,AD81-MAX(0,AG81-AF81)),0)</x:f>
      </x:c>
      <x:c r="AI81" s="32" t="e">
        <x:f>IF(A81=1,AF81,AI80+AF81)</x:f>
      </x:c>
      <x:c r="AJ81" s="33"/>
      <x:c r="AK81" s="33"/>
      <x:c r="AL81" s="33"/>
      <x:c r="AM81" s="33"/>
    </x:row>
    <x:row r="82">
      <x:c r="A82" s="33" t="n">
        <x:v>70</x:v>
      </x:c>
      <x:c r="B82" s="32" t="e">
        <x:f>IF(A82=1,Dashboard!$F$14,F81)</x:f>
      </x:c>
      <x:c r="C82" s="32" t="n">
        <x:f>0</x:f>
        <x:v>0</x:v>
      </x:c>
      <x:c r="D82" s="32" t="e">
        <x:f>IF(A82&lt;=Dashboard!$F$15,B82*Dashboard!$F$6,0)</x:f>
      </x:c>
      <x:c r="E82" s="32" t="e">
        <x:f>IF(A82&lt;=Dashboard!$F$15,MIN(Dashboard!$F$10,B82+D82),0)</x:f>
      </x:c>
      <x:c r="F82" s="32" t="e">
        <x:f>IF(A82&lt;=Dashboard!$F$15,MAX(0,B82-MAX(0,E82-D82)),0)</x:f>
      </x:c>
      <x:c r="G82" s="32" t="e">
        <x:f>IF(A82=1,D82,G81+D82)</x:f>
      </x:c>
      <x:c r="H82" s="32"/>
      <x:c r="I82" s="32" t="e">
        <x:f>IF(A82=1,Dashboard!$F$14,M81)</x:f>
      </x:c>
      <x:c r="J82" s="32" t="e">
        <x:f>IF(A82&lt;=Dashboard!$F$17,MIN(I82,$B$5),0)</x:f>
      </x:c>
      <x:c r="K82" s="32" t="e">
        <x:f>IF(A82&lt;=Dashboard!$F$17,MAX(0,I82-J82)*Dashboard!$F$6,0)</x:f>
      </x:c>
      <x:c r="L82" s="32" t="e">
        <x:f>IF(A82&lt;=Dashboard!$F$17,MIN(Dashboard!$F$10,MAX(0,I82-J82)+K82),0)</x:f>
      </x:c>
      <x:c r="M82" s="32" t="e">
        <x:f>IF(A82&lt;=Dashboard!$F$17,MAX(0,I82-J82-MAX(0,L82-K82)),0)</x:f>
      </x:c>
      <x:c r="N82" s="32" t="e">
        <x:f>IF(A82=1,K82,N81+K82)</x:f>
      </x:c>
      <x:c r="O82" s="32"/>
      <x:c r="P82" s="32" t="e">
        <x:f>IF(A82=1,Dashboard!$F$14,T81)</x:f>
      </x:c>
      <x:c r="Q82" s="32" t="e">
        <x:f>IF(A82&lt;=Dashboard!$F$17,MIN(P82,$B$6*52/12),0)</x:f>
      </x:c>
      <x:c r="R82" s="32" t="e">
        <x:f>IF(A82&lt;=Dashboard!$F$17,MAX(0,P82-Q82)*Dashboard!$F$6,0)</x:f>
      </x:c>
      <x:c r="S82" s="32" t="e">
        <x:f>IF(A82&lt;=Dashboard!$F$17,MIN(Dashboard!$F$10,MAX(0,P82-Q82)+R82),0)</x:f>
      </x:c>
      <x:c r="T82" s="32" t="e">
        <x:f>IF(A82&lt;=Dashboard!$F$17,MAX(0,P82-Q82-MAX(0,S82-R82)),0)</x:f>
      </x:c>
      <x:c r="U82" s="32" t="e">
        <x:f>IF(A82=1,R82,U81+R82)</x:f>
      </x:c>
      <x:c r="V82" s="32"/>
      <x:c r="W82" s="32" t="e">
        <x:f>IF(A82=1,Dashboard!$F$14,AA81)</x:f>
      </x:c>
      <x:c r="X82" s="32" t="e">
        <x:f>IF(AND(A82&lt;=Dashboard!$F$17,MOD(A82-1,12)=0),MIN(W82,$B$7),0)</x:f>
      </x:c>
      <x:c r="Y82" s="32" t="e">
        <x:f>IF(A82&lt;=Dashboard!$F$17,MAX(0,W82-X82)*Dashboard!$F$6,0)</x:f>
      </x:c>
      <x:c r="Z82" s="32" t="e">
        <x:f>IF(A82&lt;=Dashboard!$F$17,MIN(Dashboard!$F$10,MAX(0,W82-X82)+Y82),0)</x:f>
      </x:c>
      <x:c r="AA82" s="32" t="e">
        <x:f>IF(A82&lt;=Dashboard!$F$17,MAX(0,W82-X82-MAX(0,Z82-Y82)),0)</x:f>
      </x:c>
      <x:c r="AB82" s="32" t="e">
        <x:f>IF(A82=1,Y82,AB81+Y82)</x:f>
      </x:c>
      <x:c r="AC82" s="32"/>
      <x:c r="AD82" s="32" t="e">
        <x:f>IF(A82=1,MAX(0,Dashboard!$F$14-$B$8),AG81)</x:f>
      </x:c>
      <x:c r="AE82" s="32" t="n">
        <x:f>0</x:f>
        <x:v>0</x:v>
      </x:c>
      <x:c r="AF82" s="32" t="e">
        <x:f>IF(A82&lt;=Dashboard!$F$17,AD82*Dashboard!$F$6,0)</x:f>
      </x:c>
      <x:c r="AG82" s="32" t="e">
        <x:f>IF(A82&lt;=Dashboard!$F$17,MIN(Dashboard!$F$10,AD82+AF82),0)</x:f>
      </x:c>
      <x:c r="AH82" s="32" t="e">
        <x:f>IF(A82&lt;=Dashboard!$F$17,MAX(0,AD82-MAX(0,AG82-AF82)),0)</x:f>
      </x:c>
      <x:c r="AI82" s="32" t="e">
        <x:f>IF(A82=1,AF82,AI81+AF82)</x:f>
      </x:c>
      <x:c r="AJ82" s="33"/>
      <x:c r="AK82" s="33"/>
      <x:c r="AL82" s="33"/>
      <x:c r="AM82" s="33"/>
    </x:row>
    <x:row r="83">
      <x:c r="A83" s="33" t="n">
        <x:v>71</x:v>
      </x:c>
      <x:c r="B83" s="32" t="e">
        <x:f>IF(A83=1,Dashboard!$F$14,F82)</x:f>
      </x:c>
      <x:c r="C83" s="32" t="n">
        <x:f>0</x:f>
        <x:v>0</x:v>
      </x:c>
      <x:c r="D83" s="32" t="e">
        <x:f>IF(A83&lt;=Dashboard!$F$15,B83*Dashboard!$F$6,0)</x:f>
      </x:c>
      <x:c r="E83" s="32" t="e">
        <x:f>IF(A83&lt;=Dashboard!$F$15,MIN(Dashboard!$F$10,B83+D83),0)</x:f>
      </x:c>
      <x:c r="F83" s="32" t="e">
        <x:f>IF(A83&lt;=Dashboard!$F$15,MAX(0,B83-MAX(0,E83-D83)),0)</x:f>
      </x:c>
      <x:c r="G83" s="32" t="e">
        <x:f>IF(A83=1,D83,G82+D83)</x:f>
      </x:c>
      <x:c r="H83" s="32"/>
      <x:c r="I83" s="32" t="e">
        <x:f>IF(A83=1,Dashboard!$F$14,M82)</x:f>
      </x:c>
      <x:c r="J83" s="32" t="e">
        <x:f>IF(A83&lt;=Dashboard!$F$17,MIN(I83,$B$5),0)</x:f>
      </x:c>
      <x:c r="K83" s="32" t="e">
        <x:f>IF(A83&lt;=Dashboard!$F$17,MAX(0,I83-J83)*Dashboard!$F$6,0)</x:f>
      </x:c>
      <x:c r="L83" s="32" t="e">
        <x:f>IF(A83&lt;=Dashboard!$F$17,MIN(Dashboard!$F$10,MAX(0,I83-J83)+K83),0)</x:f>
      </x:c>
      <x:c r="M83" s="32" t="e">
        <x:f>IF(A83&lt;=Dashboard!$F$17,MAX(0,I83-J83-MAX(0,L83-K83)),0)</x:f>
      </x:c>
      <x:c r="N83" s="32" t="e">
        <x:f>IF(A83=1,K83,N82+K83)</x:f>
      </x:c>
      <x:c r="O83" s="32"/>
      <x:c r="P83" s="32" t="e">
        <x:f>IF(A83=1,Dashboard!$F$14,T82)</x:f>
      </x:c>
      <x:c r="Q83" s="32" t="e">
        <x:f>IF(A83&lt;=Dashboard!$F$17,MIN(P83,$B$6*52/12),0)</x:f>
      </x:c>
      <x:c r="R83" s="32" t="e">
        <x:f>IF(A83&lt;=Dashboard!$F$17,MAX(0,P83-Q83)*Dashboard!$F$6,0)</x:f>
      </x:c>
      <x:c r="S83" s="32" t="e">
        <x:f>IF(A83&lt;=Dashboard!$F$17,MIN(Dashboard!$F$10,MAX(0,P83-Q83)+R83),0)</x:f>
      </x:c>
      <x:c r="T83" s="32" t="e">
        <x:f>IF(A83&lt;=Dashboard!$F$17,MAX(0,P83-Q83-MAX(0,S83-R83)),0)</x:f>
      </x:c>
      <x:c r="U83" s="32" t="e">
        <x:f>IF(A83=1,R83,U82+R83)</x:f>
      </x:c>
      <x:c r="V83" s="32"/>
      <x:c r="W83" s="32" t="e">
        <x:f>IF(A83=1,Dashboard!$F$14,AA82)</x:f>
      </x:c>
      <x:c r="X83" s="32" t="e">
        <x:f>IF(AND(A83&lt;=Dashboard!$F$17,MOD(A83-1,12)=0),MIN(W83,$B$7),0)</x:f>
      </x:c>
      <x:c r="Y83" s="32" t="e">
        <x:f>IF(A83&lt;=Dashboard!$F$17,MAX(0,W83-X83)*Dashboard!$F$6,0)</x:f>
      </x:c>
      <x:c r="Z83" s="32" t="e">
        <x:f>IF(A83&lt;=Dashboard!$F$17,MIN(Dashboard!$F$10,MAX(0,W83-X83)+Y83),0)</x:f>
      </x:c>
      <x:c r="AA83" s="32" t="e">
        <x:f>IF(A83&lt;=Dashboard!$F$17,MAX(0,W83-X83-MAX(0,Z83-Y83)),0)</x:f>
      </x:c>
      <x:c r="AB83" s="32" t="e">
        <x:f>IF(A83=1,Y83,AB82+Y83)</x:f>
      </x:c>
      <x:c r="AC83" s="32"/>
      <x:c r="AD83" s="32" t="e">
        <x:f>IF(A83=1,MAX(0,Dashboard!$F$14-$B$8),AG82)</x:f>
      </x:c>
      <x:c r="AE83" s="32" t="n">
        <x:f>0</x:f>
        <x:v>0</x:v>
      </x:c>
      <x:c r="AF83" s="32" t="e">
        <x:f>IF(A83&lt;=Dashboard!$F$17,AD83*Dashboard!$F$6,0)</x:f>
      </x:c>
      <x:c r="AG83" s="32" t="e">
        <x:f>IF(A83&lt;=Dashboard!$F$17,MIN(Dashboard!$F$10,AD83+AF83),0)</x:f>
      </x:c>
      <x:c r="AH83" s="32" t="e">
        <x:f>IF(A83&lt;=Dashboard!$F$17,MAX(0,AD83-MAX(0,AG83-AF83)),0)</x:f>
      </x:c>
      <x:c r="AI83" s="32" t="e">
        <x:f>IF(A83=1,AF83,AI82+AF83)</x:f>
      </x:c>
      <x:c r="AJ83" s="33"/>
      <x:c r="AK83" s="33"/>
      <x:c r="AL83" s="33"/>
      <x:c r="AM83" s="33"/>
    </x:row>
    <x:row r="84">
      <x:c r="A84" s="33" t="n">
        <x:v>72</x:v>
      </x:c>
      <x:c r="B84" s="32" t="e">
        <x:f>IF(A84=1,Dashboard!$F$14,F83)</x:f>
      </x:c>
      <x:c r="C84" s="32" t="n">
        <x:f>0</x:f>
        <x:v>0</x:v>
      </x:c>
      <x:c r="D84" s="32" t="e">
        <x:f>IF(A84&lt;=Dashboard!$F$15,B84*Dashboard!$F$6,0)</x:f>
      </x:c>
      <x:c r="E84" s="32" t="e">
        <x:f>IF(A84&lt;=Dashboard!$F$15,MIN(Dashboard!$F$10,B84+D84),0)</x:f>
      </x:c>
      <x:c r="F84" s="32" t="e">
        <x:f>IF(A84&lt;=Dashboard!$F$15,MAX(0,B84-MAX(0,E84-D84)),0)</x:f>
      </x:c>
      <x:c r="G84" s="32" t="e">
        <x:f>IF(A84=1,D84,G83+D84)</x:f>
      </x:c>
      <x:c r="H84" s="32"/>
      <x:c r="I84" s="32" t="e">
        <x:f>IF(A84=1,Dashboard!$F$14,M83)</x:f>
      </x:c>
      <x:c r="J84" s="32" t="e">
        <x:f>IF(A84&lt;=Dashboard!$F$17,MIN(I84,$B$5),0)</x:f>
      </x:c>
      <x:c r="K84" s="32" t="e">
        <x:f>IF(A84&lt;=Dashboard!$F$17,MAX(0,I84-J84)*Dashboard!$F$6,0)</x:f>
      </x:c>
      <x:c r="L84" s="32" t="e">
        <x:f>IF(A84&lt;=Dashboard!$F$17,MIN(Dashboard!$F$10,MAX(0,I84-J84)+K84),0)</x:f>
      </x:c>
      <x:c r="M84" s="32" t="e">
        <x:f>IF(A84&lt;=Dashboard!$F$17,MAX(0,I84-J84-MAX(0,L84-K84)),0)</x:f>
      </x:c>
      <x:c r="N84" s="32" t="e">
        <x:f>IF(A84=1,K84,N83+K84)</x:f>
      </x:c>
      <x:c r="O84" s="32"/>
      <x:c r="P84" s="32" t="e">
        <x:f>IF(A84=1,Dashboard!$F$14,T83)</x:f>
      </x:c>
      <x:c r="Q84" s="32" t="e">
        <x:f>IF(A84&lt;=Dashboard!$F$17,MIN(P84,$B$6*52/12),0)</x:f>
      </x:c>
      <x:c r="R84" s="32" t="e">
        <x:f>IF(A84&lt;=Dashboard!$F$17,MAX(0,P84-Q84)*Dashboard!$F$6,0)</x:f>
      </x:c>
      <x:c r="S84" s="32" t="e">
        <x:f>IF(A84&lt;=Dashboard!$F$17,MIN(Dashboard!$F$10,MAX(0,P84-Q84)+R84),0)</x:f>
      </x:c>
      <x:c r="T84" s="32" t="e">
        <x:f>IF(A84&lt;=Dashboard!$F$17,MAX(0,P84-Q84-MAX(0,S84-R84)),0)</x:f>
      </x:c>
      <x:c r="U84" s="32" t="e">
        <x:f>IF(A84=1,R84,U83+R84)</x:f>
      </x:c>
      <x:c r="V84" s="32"/>
      <x:c r="W84" s="32" t="e">
        <x:f>IF(A84=1,Dashboard!$F$14,AA83)</x:f>
      </x:c>
      <x:c r="X84" s="32" t="e">
        <x:f>IF(AND(A84&lt;=Dashboard!$F$17,MOD(A84-1,12)=0),MIN(W84,$B$7),0)</x:f>
      </x:c>
      <x:c r="Y84" s="32" t="e">
        <x:f>IF(A84&lt;=Dashboard!$F$17,MAX(0,W84-X84)*Dashboard!$F$6,0)</x:f>
      </x:c>
      <x:c r="Z84" s="32" t="e">
        <x:f>IF(A84&lt;=Dashboard!$F$17,MIN(Dashboard!$F$10,MAX(0,W84-X84)+Y84),0)</x:f>
      </x:c>
      <x:c r="AA84" s="32" t="e">
        <x:f>IF(A84&lt;=Dashboard!$F$17,MAX(0,W84-X84-MAX(0,Z84-Y84)),0)</x:f>
      </x:c>
      <x:c r="AB84" s="32" t="e">
        <x:f>IF(A84=1,Y84,AB83+Y84)</x:f>
      </x:c>
      <x:c r="AC84" s="32"/>
      <x:c r="AD84" s="32" t="e">
        <x:f>IF(A84=1,MAX(0,Dashboard!$F$14-$B$8),AG83)</x:f>
      </x:c>
      <x:c r="AE84" s="32" t="n">
        <x:f>0</x:f>
        <x:v>0</x:v>
      </x:c>
      <x:c r="AF84" s="32" t="e">
        <x:f>IF(A84&lt;=Dashboard!$F$17,AD84*Dashboard!$F$6,0)</x:f>
      </x:c>
      <x:c r="AG84" s="32" t="e">
        <x:f>IF(A84&lt;=Dashboard!$F$17,MIN(Dashboard!$F$10,AD84+AF84),0)</x:f>
      </x:c>
      <x:c r="AH84" s="32" t="e">
        <x:f>IF(A84&lt;=Dashboard!$F$17,MAX(0,AD84-MAX(0,AG84-AF84)),0)</x:f>
      </x:c>
      <x:c r="AI84" s="32" t="e">
        <x:f>IF(A84=1,AF84,AI83+AF84)</x:f>
      </x:c>
      <x:c r="AJ84" s="33"/>
      <x:c r="AK84" s="33"/>
      <x:c r="AL84" s="33"/>
      <x:c r="AM84" s="33"/>
    </x:row>
    <x:row r="85">
      <x:c r="A85" s="33" t="n">
        <x:v>73</x:v>
      </x:c>
      <x:c r="B85" s="32" t="e">
        <x:f>IF(A85=1,Dashboard!$F$14,F84)</x:f>
      </x:c>
      <x:c r="C85" s="32" t="n">
        <x:f>0</x:f>
        <x:v>0</x:v>
      </x:c>
      <x:c r="D85" s="32" t="e">
        <x:f>IF(A85&lt;=Dashboard!$F$15,B85*Dashboard!$F$6,0)</x:f>
      </x:c>
      <x:c r="E85" s="32" t="e">
        <x:f>IF(A85&lt;=Dashboard!$F$15,MIN(Dashboard!$F$10,B85+D85),0)</x:f>
      </x:c>
      <x:c r="F85" s="32" t="e">
        <x:f>IF(A85&lt;=Dashboard!$F$15,MAX(0,B85-MAX(0,E85-D85)),0)</x:f>
      </x:c>
      <x:c r="G85" s="32" t="e">
        <x:f>IF(A85=1,D85,G84+D85)</x:f>
      </x:c>
      <x:c r="H85" s="32"/>
      <x:c r="I85" s="32" t="e">
        <x:f>IF(A85=1,Dashboard!$F$14,M84)</x:f>
      </x:c>
      <x:c r="J85" s="32" t="e">
        <x:f>IF(A85&lt;=Dashboard!$F$17,MIN(I85,$B$5),0)</x:f>
      </x:c>
      <x:c r="K85" s="32" t="e">
        <x:f>IF(A85&lt;=Dashboard!$F$17,MAX(0,I85-J85)*Dashboard!$F$6,0)</x:f>
      </x:c>
      <x:c r="L85" s="32" t="e">
        <x:f>IF(A85&lt;=Dashboard!$F$17,MIN(Dashboard!$F$10,MAX(0,I85-J85)+K85),0)</x:f>
      </x:c>
      <x:c r="M85" s="32" t="e">
        <x:f>IF(A85&lt;=Dashboard!$F$17,MAX(0,I85-J85-MAX(0,L85-K85)),0)</x:f>
      </x:c>
      <x:c r="N85" s="32" t="e">
        <x:f>IF(A85=1,K85,N84+K85)</x:f>
      </x:c>
      <x:c r="O85" s="32"/>
      <x:c r="P85" s="32" t="e">
        <x:f>IF(A85=1,Dashboard!$F$14,T84)</x:f>
      </x:c>
      <x:c r="Q85" s="32" t="e">
        <x:f>IF(A85&lt;=Dashboard!$F$17,MIN(P85,$B$6*52/12),0)</x:f>
      </x:c>
      <x:c r="R85" s="32" t="e">
        <x:f>IF(A85&lt;=Dashboard!$F$17,MAX(0,P85-Q85)*Dashboard!$F$6,0)</x:f>
      </x:c>
      <x:c r="S85" s="32" t="e">
        <x:f>IF(A85&lt;=Dashboard!$F$17,MIN(Dashboard!$F$10,MAX(0,P85-Q85)+R85),0)</x:f>
      </x:c>
      <x:c r="T85" s="32" t="e">
        <x:f>IF(A85&lt;=Dashboard!$F$17,MAX(0,P85-Q85-MAX(0,S85-R85)),0)</x:f>
      </x:c>
      <x:c r="U85" s="32" t="e">
        <x:f>IF(A85=1,R85,U84+R85)</x:f>
      </x:c>
      <x:c r="V85" s="32"/>
      <x:c r="W85" s="32" t="e">
        <x:f>IF(A85=1,Dashboard!$F$14,AA84)</x:f>
      </x:c>
      <x:c r="X85" s="32" t="e">
        <x:f>IF(AND(A85&lt;=Dashboard!$F$17,MOD(A85-1,12)=0),MIN(W85,$B$7),0)</x:f>
      </x:c>
      <x:c r="Y85" s="32" t="e">
        <x:f>IF(A85&lt;=Dashboard!$F$17,MAX(0,W85-X85)*Dashboard!$F$6,0)</x:f>
      </x:c>
      <x:c r="Z85" s="32" t="e">
        <x:f>IF(A85&lt;=Dashboard!$F$17,MIN(Dashboard!$F$10,MAX(0,W85-X85)+Y85),0)</x:f>
      </x:c>
      <x:c r="AA85" s="32" t="e">
        <x:f>IF(A85&lt;=Dashboard!$F$17,MAX(0,W85-X85-MAX(0,Z85-Y85)),0)</x:f>
      </x:c>
      <x:c r="AB85" s="32" t="e">
        <x:f>IF(A85=1,Y85,AB84+Y85)</x:f>
      </x:c>
      <x:c r="AC85" s="32"/>
      <x:c r="AD85" s="32" t="e">
        <x:f>IF(A85=1,MAX(0,Dashboard!$F$14-$B$8),AG84)</x:f>
      </x:c>
      <x:c r="AE85" s="32" t="n">
        <x:f>0</x:f>
        <x:v>0</x:v>
      </x:c>
      <x:c r="AF85" s="32" t="e">
        <x:f>IF(A85&lt;=Dashboard!$F$17,AD85*Dashboard!$F$6,0)</x:f>
      </x:c>
      <x:c r="AG85" s="32" t="e">
        <x:f>IF(A85&lt;=Dashboard!$F$17,MIN(Dashboard!$F$10,AD85+AF85),0)</x:f>
      </x:c>
      <x:c r="AH85" s="32" t="e">
        <x:f>IF(A85&lt;=Dashboard!$F$17,MAX(0,AD85-MAX(0,AG85-AF85)),0)</x:f>
      </x:c>
      <x:c r="AI85" s="32" t="e">
        <x:f>IF(A85=1,AF85,AI84+AF85)</x:f>
      </x:c>
      <x:c r="AJ85" s="33"/>
      <x:c r="AK85" s="33"/>
      <x:c r="AL85" s="33"/>
      <x:c r="AM85" s="33"/>
    </x:row>
    <x:row r="86">
      <x:c r="A86" s="33" t="n">
        <x:v>74</x:v>
      </x:c>
      <x:c r="B86" s="32" t="e">
        <x:f>IF(A86=1,Dashboard!$F$14,F85)</x:f>
      </x:c>
      <x:c r="C86" s="32" t="n">
        <x:f>0</x:f>
        <x:v>0</x:v>
      </x:c>
      <x:c r="D86" s="32" t="e">
        <x:f>IF(A86&lt;=Dashboard!$F$15,B86*Dashboard!$F$6,0)</x:f>
      </x:c>
      <x:c r="E86" s="32" t="e">
        <x:f>IF(A86&lt;=Dashboard!$F$15,MIN(Dashboard!$F$10,B86+D86),0)</x:f>
      </x:c>
      <x:c r="F86" s="32" t="e">
        <x:f>IF(A86&lt;=Dashboard!$F$15,MAX(0,B86-MAX(0,E86-D86)),0)</x:f>
      </x:c>
      <x:c r="G86" s="32" t="e">
        <x:f>IF(A86=1,D86,G85+D86)</x:f>
      </x:c>
      <x:c r="H86" s="32"/>
      <x:c r="I86" s="32" t="e">
        <x:f>IF(A86=1,Dashboard!$F$14,M85)</x:f>
      </x:c>
      <x:c r="J86" s="32" t="e">
        <x:f>IF(A86&lt;=Dashboard!$F$17,MIN(I86,$B$5),0)</x:f>
      </x:c>
      <x:c r="K86" s="32" t="e">
        <x:f>IF(A86&lt;=Dashboard!$F$17,MAX(0,I86-J86)*Dashboard!$F$6,0)</x:f>
      </x:c>
      <x:c r="L86" s="32" t="e">
        <x:f>IF(A86&lt;=Dashboard!$F$17,MIN(Dashboard!$F$10,MAX(0,I86-J86)+K86),0)</x:f>
      </x:c>
      <x:c r="M86" s="32" t="e">
        <x:f>IF(A86&lt;=Dashboard!$F$17,MAX(0,I86-J86-MAX(0,L86-K86)),0)</x:f>
      </x:c>
      <x:c r="N86" s="32" t="e">
        <x:f>IF(A86=1,K86,N85+K86)</x:f>
      </x:c>
      <x:c r="O86" s="32"/>
      <x:c r="P86" s="32" t="e">
        <x:f>IF(A86=1,Dashboard!$F$14,T85)</x:f>
      </x:c>
      <x:c r="Q86" s="32" t="e">
        <x:f>IF(A86&lt;=Dashboard!$F$17,MIN(P86,$B$6*52/12),0)</x:f>
      </x:c>
      <x:c r="R86" s="32" t="e">
        <x:f>IF(A86&lt;=Dashboard!$F$17,MAX(0,P86-Q86)*Dashboard!$F$6,0)</x:f>
      </x:c>
      <x:c r="S86" s="32" t="e">
        <x:f>IF(A86&lt;=Dashboard!$F$17,MIN(Dashboard!$F$10,MAX(0,P86-Q86)+R86),0)</x:f>
      </x:c>
      <x:c r="T86" s="32" t="e">
        <x:f>IF(A86&lt;=Dashboard!$F$17,MAX(0,P86-Q86-MAX(0,S86-R86)),0)</x:f>
      </x:c>
      <x:c r="U86" s="32" t="e">
        <x:f>IF(A86=1,R86,U85+R86)</x:f>
      </x:c>
      <x:c r="V86" s="32"/>
      <x:c r="W86" s="32" t="e">
        <x:f>IF(A86=1,Dashboard!$F$14,AA85)</x:f>
      </x:c>
      <x:c r="X86" s="32" t="e">
        <x:f>IF(AND(A86&lt;=Dashboard!$F$17,MOD(A86-1,12)=0),MIN(W86,$B$7),0)</x:f>
      </x:c>
      <x:c r="Y86" s="32" t="e">
        <x:f>IF(A86&lt;=Dashboard!$F$17,MAX(0,W86-X86)*Dashboard!$F$6,0)</x:f>
      </x:c>
      <x:c r="Z86" s="32" t="e">
        <x:f>IF(A86&lt;=Dashboard!$F$17,MIN(Dashboard!$F$10,MAX(0,W86-X86)+Y86),0)</x:f>
      </x:c>
      <x:c r="AA86" s="32" t="e">
        <x:f>IF(A86&lt;=Dashboard!$F$17,MAX(0,W86-X86-MAX(0,Z86-Y86)),0)</x:f>
      </x:c>
      <x:c r="AB86" s="32" t="e">
        <x:f>IF(A86=1,Y86,AB85+Y86)</x:f>
      </x:c>
      <x:c r="AC86" s="32"/>
      <x:c r="AD86" s="32" t="e">
        <x:f>IF(A86=1,MAX(0,Dashboard!$F$14-$B$8),AG85)</x:f>
      </x:c>
      <x:c r="AE86" s="32" t="n">
        <x:f>0</x:f>
        <x:v>0</x:v>
      </x:c>
      <x:c r="AF86" s="32" t="e">
        <x:f>IF(A86&lt;=Dashboard!$F$17,AD86*Dashboard!$F$6,0)</x:f>
      </x:c>
      <x:c r="AG86" s="32" t="e">
        <x:f>IF(A86&lt;=Dashboard!$F$17,MIN(Dashboard!$F$10,AD86+AF86),0)</x:f>
      </x:c>
      <x:c r="AH86" s="32" t="e">
        <x:f>IF(A86&lt;=Dashboard!$F$17,MAX(0,AD86-MAX(0,AG86-AF86)),0)</x:f>
      </x:c>
      <x:c r="AI86" s="32" t="e">
        <x:f>IF(A86=1,AF86,AI85+AF86)</x:f>
      </x:c>
      <x:c r="AJ86" s="33"/>
      <x:c r="AK86" s="33"/>
      <x:c r="AL86" s="33"/>
      <x:c r="AM86" s="33"/>
    </x:row>
    <x:row r="87">
      <x:c r="A87" s="33" t="n">
        <x:v>75</x:v>
      </x:c>
      <x:c r="B87" s="32" t="e">
        <x:f>IF(A87=1,Dashboard!$F$14,F86)</x:f>
      </x:c>
      <x:c r="C87" s="32" t="n">
        <x:f>0</x:f>
        <x:v>0</x:v>
      </x:c>
      <x:c r="D87" s="32" t="e">
        <x:f>IF(A87&lt;=Dashboard!$F$15,B87*Dashboard!$F$6,0)</x:f>
      </x:c>
      <x:c r="E87" s="32" t="e">
        <x:f>IF(A87&lt;=Dashboard!$F$15,MIN(Dashboard!$F$10,B87+D87),0)</x:f>
      </x:c>
      <x:c r="F87" s="32" t="e">
        <x:f>IF(A87&lt;=Dashboard!$F$15,MAX(0,B87-MAX(0,E87-D87)),0)</x:f>
      </x:c>
      <x:c r="G87" s="32" t="e">
        <x:f>IF(A87=1,D87,G86+D87)</x:f>
      </x:c>
      <x:c r="H87" s="32"/>
      <x:c r="I87" s="32" t="e">
        <x:f>IF(A87=1,Dashboard!$F$14,M86)</x:f>
      </x:c>
      <x:c r="J87" s="32" t="e">
        <x:f>IF(A87&lt;=Dashboard!$F$17,MIN(I87,$B$5),0)</x:f>
      </x:c>
      <x:c r="K87" s="32" t="e">
        <x:f>IF(A87&lt;=Dashboard!$F$17,MAX(0,I87-J87)*Dashboard!$F$6,0)</x:f>
      </x:c>
      <x:c r="L87" s="32" t="e">
        <x:f>IF(A87&lt;=Dashboard!$F$17,MIN(Dashboard!$F$10,MAX(0,I87-J87)+K87),0)</x:f>
      </x:c>
      <x:c r="M87" s="32" t="e">
        <x:f>IF(A87&lt;=Dashboard!$F$17,MAX(0,I87-J87-MAX(0,L87-K87)),0)</x:f>
      </x:c>
      <x:c r="N87" s="32" t="e">
        <x:f>IF(A87=1,K87,N86+K87)</x:f>
      </x:c>
      <x:c r="O87" s="32"/>
      <x:c r="P87" s="32" t="e">
        <x:f>IF(A87=1,Dashboard!$F$14,T86)</x:f>
      </x:c>
      <x:c r="Q87" s="32" t="e">
        <x:f>IF(A87&lt;=Dashboard!$F$17,MIN(P87,$B$6*52/12),0)</x:f>
      </x:c>
      <x:c r="R87" s="32" t="e">
        <x:f>IF(A87&lt;=Dashboard!$F$17,MAX(0,P87-Q87)*Dashboard!$F$6,0)</x:f>
      </x:c>
      <x:c r="S87" s="32" t="e">
        <x:f>IF(A87&lt;=Dashboard!$F$17,MIN(Dashboard!$F$10,MAX(0,P87-Q87)+R87),0)</x:f>
      </x:c>
      <x:c r="T87" s="32" t="e">
        <x:f>IF(A87&lt;=Dashboard!$F$17,MAX(0,P87-Q87-MAX(0,S87-R87)),0)</x:f>
      </x:c>
      <x:c r="U87" s="32" t="e">
        <x:f>IF(A87=1,R87,U86+R87)</x:f>
      </x:c>
      <x:c r="V87" s="32"/>
      <x:c r="W87" s="32" t="e">
        <x:f>IF(A87=1,Dashboard!$F$14,AA86)</x:f>
      </x:c>
      <x:c r="X87" s="32" t="e">
        <x:f>IF(AND(A87&lt;=Dashboard!$F$17,MOD(A87-1,12)=0),MIN(W87,$B$7),0)</x:f>
      </x:c>
      <x:c r="Y87" s="32" t="e">
        <x:f>IF(A87&lt;=Dashboard!$F$17,MAX(0,W87-X87)*Dashboard!$F$6,0)</x:f>
      </x:c>
      <x:c r="Z87" s="32" t="e">
        <x:f>IF(A87&lt;=Dashboard!$F$17,MIN(Dashboard!$F$10,MAX(0,W87-X87)+Y87),0)</x:f>
      </x:c>
      <x:c r="AA87" s="32" t="e">
        <x:f>IF(A87&lt;=Dashboard!$F$17,MAX(0,W87-X87-MAX(0,Z87-Y87)),0)</x:f>
      </x:c>
      <x:c r="AB87" s="32" t="e">
        <x:f>IF(A87=1,Y87,AB86+Y87)</x:f>
      </x:c>
      <x:c r="AC87" s="32"/>
      <x:c r="AD87" s="32" t="e">
        <x:f>IF(A87=1,MAX(0,Dashboard!$F$14-$B$8),AG86)</x:f>
      </x:c>
      <x:c r="AE87" s="32" t="n">
        <x:f>0</x:f>
        <x:v>0</x:v>
      </x:c>
      <x:c r="AF87" s="32" t="e">
        <x:f>IF(A87&lt;=Dashboard!$F$17,AD87*Dashboard!$F$6,0)</x:f>
      </x:c>
      <x:c r="AG87" s="32" t="e">
        <x:f>IF(A87&lt;=Dashboard!$F$17,MIN(Dashboard!$F$10,AD87+AF87),0)</x:f>
      </x:c>
      <x:c r="AH87" s="32" t="e">
        <x:f>IF(A87&lt;=Dashboard!$F$17,MAX(0,AD87-MAX(0,AG87-AF87)),0)</x:f>
      </x:c>
      <x:c r="AI87" s="32" t="e">
        <x:f>IF(A87=1,AF87,AI86+AF87)</x:f>
      </x:c>
      <x:c r="AJ87" s="33"/>
      <x:c r="AK87" s="33"/>
      <x:c r="AL87" s="33"/>
      <x:c r="AM87" s="33"/>
    </x:row>
    <x:row r="88">
      <x:c r="A88" s="33" t="n">
        <x:v>76</x:v>
      </x:c>
      <x:c r="B88" s="32" t="e">
        <x:f>IF(A88=1,Dashboard!$F$14,F87)</x:f>
      </x:c>
      <x:c r="C88" s="32" t="n">
        <x:f>0</x:f>
        <x:v>0</x:v>
      </x:c>
      <x:c r="D88" s="32" t="e">
        <x:f>IF(A88&lt;=Dashboard!$F$15,B88*Dashboard!$F$6,0)</x:f>
      </x:c>
      <x:c r="E88" s="32" t="e">
        <x:f>IF(A88&lt;=Dashboard!$F$15,MIN(Dashboard!$F$10,B88+D88),0)</x:f>
      </x:c>
      <x:c r="F88" s="32" t="e">
        <x:f>IF(A88&lt;=Dashboard!$F$15,MAX(0,B88-MAX(0,E88-D88)),0)</x:f>
      </x:c>
      <x:c r="G88" s="32" t="e">
        <x:f>IF(A88=1,D88,G87+D88)</x:f>
      </x:c>
      <x:c r="H88" s="32"/>
      <x:c r="I88" s="32" t="e">
        <x:f>IF(A88=1,Dashboard!$F$14,M87)</x:f>
      </x:c>
      <x:c r="J88" s="32" t="e">
        <x:f>IF(A88&lt;=Dashboard!$F$17,MIN(I88,$B$5),0)</x:f>
      </x:c>
      <x:c r="K88" s="32" t="e">
        <x:f>IF(A88&lt;=Dashboard!$F$17,MAX(0,I88-J88)*Dashboard!$F$6,0)</x:f>
      </x:c>
      <x:c r="L88" s="32" t="e">
        <x:f>IF(A88&lt;=Dashboard!$F$17,MIN(Dashboard!$F$10,MAX(0,I88-J88)+K88),0)</x:f>
      </x:c>
      <x:c r="M88" s="32" t="e">
        <x:f>IF(A88&lt;=Dashboard!$F$17,MAX(0,I88-J88-MAX(0,L88-K88)),0)</x:f>
      </x:c>
      <x:c r="N88" s="32" t="e">
        <x:f>IF(A88=1,K88,N87+K88)</x:f>
      </x:c>
      <x:c r="O88" s="32"/>
      <x:c r="P88" s="32" t="e">
        <x:f>IF(A88=1,Dashboard!$F$14,T87)</x:f>
      </x:c>
      <x:c r="Q88" s="32" t="e">
        <x:f>IF(A88&lt;=Dashboard!$F$17,MIN(P88,$B$6*52/12),0)</x:f>
      </x:c>
      <x:c r="R88" s="32" t="e">
        <x:f>IF(A88&lt;=Dashboard!$F$17,MAX(0,P88-Q88)*Dashboard!$F$6,0)</x:f>
      </x:c>
      <x:c r="S88" s="32" t="e">
        <x:f>IF(A88&lt;=Dashboard!$F$17,MIN(Dashboard!$F$10,MAX(0,P88-Q88)+R88),0)</x:f>
      </x:c>
      <x:c r="T88" s="32" t="e">
        <x:f>IF(A88&lt;=Dashboard!$F$17,MAX(0,P88-Q88-MAX(0,S88-R88)),0)</x:f>
      </x:c>
      <x:c r="U88" s="32" t="e">
        <x:f>IF(A88=1,R88,U87+R88)</x:f>
      </x:c>
      <x:c r="V88" s="32"/>
      <x:c r="W88" s="32" t="e">
        <x:f>IF(A88=1,Dashboard!$F$14,AA87)</x:f>
      </x:c>
      <x:c r="X88" s="32" t="e">
        <x:f>IF(AND(A88&lt;=Dashboard!$F$17,MOD(A88-1,12)=0),MIN(W88,$B$7),0)</x:f>
      </x:c>
      <x:c r="Y88" s="32" t="e">
        <x:f>IF(A88&lt;=Dashboard!$F$17,MAX(0,W88-X88)*Dashboard!$F$6,0)</x:f>
      </x:c>
      <x:c r="Z88" s="32" t="e">
        <x:f>IF(A88&lt;=Dashboard!$F$17,MIN(Dashboard!$F$10,MAX(0,W88-X88)+Y88),0)</x:f>
      </x:c>
      <x:c r="AA88" s="32" t="e">
        <x:f>IF(A88&lt;=Dashboard!$F$17,MAX(0,W88-X88-MAX(0,Z88-Y88)),0)</x:f>
      </x:c>
      <x:c r="AB88" s="32" t="e">
        <x:f>IF(A88=1,Y88,AB87+Y88)</x:f>
      </x:c>
      <x:c r="AC88" s="32"/>
      <x:c r="AD88" s="32" t="e">
        <x:f>IF(A88=1,MAX(0,Dashboard!$F$14-$B$8),AG87)</x:f>
      </x:c>
      <x:c r="AE88" s="32" t="n">
        <x:f>0</x:f>
        <x:v>0</x:v>
      </x:c>
      <x:c r="AF88" s="32" t="e">
        <x:f>IF(A88&lt;=Dashboard!$F$17,AD88*Dashboard!$F$6,0)</x:f>
      </x:c>
      <x:c r="AG88" s="32" t="e">
        <x:f>IF(A88&lt;=Dashboard!$F$17,MIN(Dashboard!$F$10,AD88+AF88),0)</x:f>
      </x:c>
      <x:c r="AH88" s="32" t="e">
        <x:f>IF(A88&lt;=Dashboard!$F$17,MAX(0,AD88-MAX(0,AG88-AF88)),0)</x:f>
      </x:c>
      <x:c r="AI88" s="32" t="e">
        <x:f>IF(A88=1,AF88,AI87+AF88)</x:f>
      </x:c>
      <x:c r="AJ88" s="33"/>
      <x:c r="AK88" s="33"/>
      <x:c r="AL88" s="33"/>
      <x:c r="AM88" s="33"/>
    </x:row>
    <x:row r="89">
      <x:c r="A89" s="33" t="n">
        <x:v>77</x:v>
      </x:c>
      <x:c r="B89" s="32" t="e">
        <x:f>IF(A89=1,Dashboard!$F$14,F88)</x:f>
      </x:c>
      <x:c r="C89" s="32" t="n">
        <x:f>0</x:f>
        <x:v>0</x:v>
      </x:c>
      <x:c r="D89" s="32" t="e">
        <x:f>IF(A89&lt;=Dashboard!$F$15,B89*Dashboard!$F$6,0)</x:f>
      </x:c>
      <x:c r="E89" s="32" t="e">
        <x:f>IF(A89&lt;=Dashboard!$F$15,MIN(Dashboard!$F$10,B89+D89),0)</x:f>
      </x:c>
      <x:c r="F89" s="32" t="e">
        <x:f>IF(A89&lt;=Dashboard!$F$15,MAX(0,B89-MAX(0,E89-D89)),0)</x:f>
      </x:c>
      <x:c r="G89" s="32" t="e">
        <x:f>IF(A89=1,D89,G88+D89)</x:f>
      </x:c>
      <x:c r="H89" s="32"/>
      <x:c r="I89" s="32" t="e">
        <x:f>IF(A89=1,Dashboard!$F$14,M88)</x:f>
      </x:c>
      <x:c r="J89" s="32" t="e">
        <x:f>IF(A89&lt;=Dashboard!$F$17,MIN(I89,$B$5),0)</x:f>
      </x:c>
      <x:c r="K89" s="32" t="e">
        <x:f>IF(A89&lt;=Dashboard!$F$17,MAX(0,I89-J89)*Dashboard!$F$6,0)</x:f>
      </x:c>
      <x:c r="L89" s="32" t="e">
        <x:f>IF(A89&lt;=Dashboard!$F$17,MIN(Dashboard!$F$10,MAX(0,I89-J89)+K89),0)</x:f>
      </x:c>
      <x:c r="M89" s="32" t="e">
        <x:f>IF(A89&lt;=Dashboard!$F$17,MAX(0,I89-J89-MAX(0,L89-K89)),0)</x:f>
      </x:c>
      <x:c r="N89" s="32" t="e">
        <x:f>IF(A89=1,K89,N88+K89)</x:f>
      </x:c>
      <x:c r="O89" s="32"/>
      <x:c r="P89" s="32" t="e">
        <x:f>IF(A89=1,Dashboard!$F$14,T88)</x:f>
      </x:c>
      <x:c r="Q89" s="32" t="e">
        <x:f>IF(A89&lt;=Dashboard!$F$17,MIN(P89,$B$6*52/12),0)</x:f>
      </x:c>
      <x:c r="R89" s="32" t="e">
        <x:f>IF(A89&lt;=Dashboard!$F$17,MAX(0,P89-Q89)*Dashboard!$F$6,0)</x:f>
      </x:c>
      <x:c r="S89" s="32" t="e">
        <x:f>IF(A89&lt;=Dashboard!$F$17,MIN(Dashboard!$F$10,MAX(0,P89-Q89)+R89),0)</x:f>
      </x:c>
      <x:c r="T89" s="32" t="e">
        <x:f>IF(A89&lt;=Dashboard!$F$17,MAX(0,P89-Q89-MAX(0,S89-R89)),0)</x:f>
      </x:c>
      <x:c r="U89" s="32" t="e">
        <x:f>IF(A89=1,R89,U88+R89)</x:f>
      </x:c>
      <x:c r="V89" s="32"/>
      <x:c r="W89" s="32" t="e">
        <x:f>IF(A89=1,Dashboard!$F$14,AA88)</x:f>
      </x:c>
      <x:c r="X89" s="32" t="e">
        <x:f>IF(AND(A89&lt;=Dashboard!$F$17,MOD(A89-1,12)=0),MIN(W89,$B$7),0)</x:f>
      </x:c>
      <x:c r="Y89" s="32" t="e">
        <x:f>IF(A89&lt;=Dashboard!$F$17,MAX(0,W89-X89)*Dashboard!$F$6,0)</x:f>
      </x:c>
      <x:c r="Z89" s="32" t="e">
        <x:f>IF(A89&lt;=Dashboard!$F$17,MIN(Dashboard!$F$10,MAX(0,W89-X89)+Y89),0)</x:f>
      </x:c>
      <x:c r="AA89" s="32" t="e">
        <x:f>IF(A89&lt;=Dashboard!$F$17,MAX(0,W89-X89-MAX(0,Z89-Y89)),0)</x:f>
      </x:c>
      <x:c r="AB89" s="32" t="e">
        <x:f>IF(A89=1,Y89,AB88+Y89)</x:f>
      </x:c>
      <x:c r="AC89" s="32"/>
      <x:c r="AD89" s="32" t="e">
        <x:f>IF(A89=1,MAX(0,Dashboard!$F$14-$B$8),AG88)</x:f>
      </x:c>
      <x:c r="AE89" s="32" t="n">
        <x:f>0</x:f>
        <x:v>0</x:v>
      </x:c>
      <x:c r="AF89" s="32" t="e">
        <x:f>IF(A89&lt;=Dashboard!$F$17,AD89*Dashboard!$F$6,0)</x:f>
      </x:c>
      <x:c r="AG89" s="32" t="e">
        <x:f>IF(A89&lt;=Dashboard!$F$17,MIN(Dashboard!$F$10,AD89+AF89),0)</x:f>
      </x:c>
      <x:c r="AH89" s="32" t="e">
        <x:f>IF(A89&lt;=Dashboard!$F$17,MAX(0,AD89-MAX(0,AG89-AF89)),0)</x:f>
      </x:c>
      <x:c r="AI89" s="32" t="e">
        <x:f>IF(A89=1,AF89,AI88+AF89)</x:f>
      </x:c>
      <x:c r="AJ89" s="33"/>
      <x:c r="AK89" s="33"/>
      <x:c r="AL89" s="33"/>
      <x:c r="AM89" s="33"/>
    </x:row>
    <x:row r="90">
      <x:c r="A90" s="33" t="n">
        <x:v>78</x:v>
      </x:c>
      <x:c r="B90" s="32" t="e">
        <x:f>IF(A90=1,Dashboard!$F$14,F89)</x:f>
      </x:c>
      <x:c r="C90" s="32" t="n">
        <x:f>0</x:f>
        <x:v>0</x:v>
      </x:c>
      <x:c r="D90" s="32" t="e">
        <x:f>IF(A90&lt;=Dashboard!$F$15,B90*Dashboard!$F$6,0)</x:f>
      </x:c>
      <x:c r="E90" s="32" t="e">
        <x:f>IF(A90&lt;=Dashboard!$F$15,MIN(Dashboard!$F$10,B90+D90),0)</x:f>
      </x:c>
      <x:c r="F90" s="32" t="e">
        <x:f>IF(A90&lt;=Dashboard!$F$15,MAX(0,B90-MAX(0,E90-D90)),0)</x:f>
      </x:c>
      <x:c r="G90" s="32" t="e">
        <x:f>IF(A90=1,D90,G89+D90)</x:f>
      </x:c>
      <x:c r="H90" s="32"/>
      <x:c r="I90" s="32" t="e">
        <x:f>IF(A90=1,Dashboard!$F$14,M89)</x:f>
      </x:c>
      <x:c r="J90" s="32" t="e">
        <x:f>IF(A90&lt;=Dashboard!$F$17,MIN(I90,$B$5),0)</x:f>
      </x:c>
      <x:c r="K90" s="32" t="e">
        <x:f>IF(A90&lt;=Dashboard!$F$17,MAX(0,I90-J90)*Dashboard!$F$6,0)</x:f>
      </x:c>
      <x:c r="L90" s="32" t="e">
        <x:f>IF(A90&lt;=Dashboard!$F$17,MIN(Dashboard!$F$10,MAX(0,I90-J90)+K90),0)</x:f>
      </x:c>
      <x:c r="M90" s="32" t="e">
        <x:f>IF(A90&lt;=Dashboard!$F$17,MAX(0,I90-J90-MAX(0,L90-K90)),0)</x:f>
      </x:c>
      <x:c r="N90" s="32" t="e">
        <x:f>IF(A90=1,K90,N89+K90)</x:f>
      </x:c>
      <x:c r="O90" s="32"/>
      <x:c r="P90" s="32" t="e">
        <x:f>IF(A90=1,Dashboard!$F$14,T89)</x:f>
      </x:c>
      <x:c r="Q90" s="32" t="e">
        <x:f>IF(A90&lt;=Dashboard!$F$17,MIN(P90,$B$6*52/12),0)</x:f>
      </x:c>
      <x:c r="R90" s="32" t="e">
        <x:f>IF(A90&lt;=Dashboard!$F$17,MAX(0,P90-Q90)*Dashboard!$F$6,0)</x:f>
      </x:c>
      <x:c r="S90" s="32" t="e">
        <x:f>IF(A90&lt;=Dashboard!$F$17,MIN(Dashboard!$F$10,MAX(0,P90-Q90)+R90),0)</x:f>
      </x:c>
      <x:c r="T90" s="32" t="e">
        <x:f>IF(A90&lt;=Dashboard!$F$17,MAX(0,P90-Q90-MAX(0,S90-R90)),0)</x:f>
      </x:c>
      <x:c r="U90" s="32" t="e">
        <x:f>IF(A90=1,R90,U89+R90)</x:f>
      </x:c>
      <x:c r="V90" s="32"/>
      <x:c r="W90" s="32" t="e">
        <x:f>IF(A90=1,Dashboard!$F$14,AA89)</x:f>
      </x:c>
      <x:c r="X90" s="32" t="e">
        <x:f>IF(AND(A90&lt;=Dashboard!$F$17,MOD(A90-1,12)=0),MIN(W90,$B$7),0)</x:f>
      </x:c>
      <x:c r="Y90" s="32" t="e">
        <x:f>IF(A90&lt;=Dashboard!$F$17,MAX(0,W90-X90)*Dashboard!$F$6,0)</x:f>
      </x:c>
      <x:c r="Z90" s="32" t="e">
        <x:f>IF(A90&lt;=Dashboard!$F$17,MIN(Dashboard!$F$10,MAX(0,W90-X90)+Y90),0)</x:f>
      </x:c>
      <x:c r="AA90" s="32" t="e">
        <x:f>IF(A90&lt;=Dashboard!$F$17,MAX(0,W90-X90-MAX(0,Z90-Y90)),0)</x:f>
      </x:c>
      <x:c r="AB90" s="32" t="e">
        <x:f>IF(A90=1,Y90,AB89+Y90)</x:f>
      </x:c>
      <x:c r="AC90" s="32"/>
      <x:c r="AD90" s="32" t="e">
        <x:f>IF(A90=1,MAX(0,Dashboard!$F$14-$B$8),AG89)</x:f>
      </x:c>
      <x:c r="AE90" s="32" t="n">
        <x:f>0</x:f>
        <x:v>0</x:v>
      </x:c>
      <x:c r="AF90" s="32" t="e">
        <x:f>IF(A90&lt;=Dashboard!$F$17,AD90*Dashboard!$F$6,0)</x:f>
      </x:c>
      <x:c r="AG90" s="32" t="e">
        <x:f>IF(A90&lt;=Dashboard!$F$17,MIN(Dashboard!$F$10,AD90+AF90),0)</x:f>
      </x:c>
      <x:c r="AH90" s="32" t="e">
        <x:f>IF(A90&lt;=Dashboard!$F$17,MAX(0,AD90-MAX(0,AG90-AF90)),0)</x:f>
      </x:c>
      <x:c r="AI90" s="32" t="e">
        <x:f>IF(A90=1,AF90,AI89+AF90)</x:f>
      </x:c>
      <x:c r="AJ90" s="33"/>
      <x:c r="AK90" s="33"/>
      <x:c r="AL90" s="33"/>
      <x:c r="AM90" s="33"/>
    </x:row>
    <x:row r="91">
      <x:c r="A91" s="33" t="n">
        <x:v>79</x:v>
      </x:c>
      <x:c r="B91" s="32" t="e">
        <x:f>IF(A91=1,Dashboard!$F$14,F90)</x:f>
      </x:c>
      <x:c r="C91" s="32" t="n">
        <x:f>0</x:f>
        <x:v>0</x:v>
      </x:c>
      <x:c r="D91" s="32" t="e">
        <x:f>IF(A91&lt;=Dashboard!$F$15,B91*Dashboard!$F$6,0)</x:f>
      </x:c>
      <x:c r="E91" s="32" t="e">
        <x:f>IF(A91&lt;=Dashboard!$F$15,MIN(Dashboard!$F$10,B91+D91),0)</x:f>
      </x:c>
      <x:c r="F91" s="32" t="e">
        <x:f>IF(A91&lt;=Dashboard!$F$15,MAX(0,B91-MAX(0,E91-D91)),0)</x:f>
      </x:c>
      <x:c r="G91" s="32" t="e">
        <x:f>IF(A91=1,D91,G90+D91)</x:f>
      </x:c>
      <x:c r="H91" s="32"/>
      <x:c r="I91" s="32" t="e">
        <x:f>IF(A91=1,Dashboard!$F$14,M90)</x:f>
      </x:c>
      <x:c r="J91" s="32" t="e">
        <x:f>IF(A91&lt;=Dashboard!$F$17,MIN(I91,$B$5),0)</x:f>
      </x:c>
      <x:c r="K91" s="32" t="e">
        <x:f>IF(A91&lt;=Dashboard!$F$17,MAX(0,I91-J91)*Dashboard!$F$6,0)</x:f>
      </x:c>
      <x:c r="L91" s="32" t="e">
        <x:f>IF(A91&lt;=Dashboard!$F$17,MIN(Dashboard!$F$10,MAX(0,I91-J91)+K91),0)</x:f>
      </x:c>
      <x:c r="M91" s="32" t="e">
        <x:f>IF(A91&lt;=Dashboard!$F$17,MAX(0,I91-J91-MAX(0,L91-K91)),0)</x:f>
      </x:c>
      <x:c r="N91" s="32" t="e">
        <x:f>IF(A91=1,K91,N90+K91)</x:f>
      </x:c>
      <x:c r="O91" s="32"/>
      <x:c r="P91" s="32" t="e">
        <x:f>IF(A91=1,Dashboard!$F$14,T90)</x:f>
      </x:c>
      <x:c r="Q91" s="32" t="e">
        <x:f>IF(A91&lt;=Dashboard!$F$17,MIN(P91,$B$6*52/12),0)</x:f>
      </x:c>
      <x:c r="R91" s="32" t="e">
        <x:f>IF(A91&lt;=Dashboard!$F$17,MAX(0,P91-Q91)*Dashboard!$F$6,0)</x:f>
      </x:c>
      <x:c r="S91" s="32" t="e">
        <x:f>IF(A91&lt;=Dashboard!$F$17,MIN(Dashboard!$F$10,MAX(0,P91-Q91)+R91),0)</x:f>
      </x:c>
      <x:c r="T91" s="32" t="e">
        <x:f>IF(A91&lt;=Dashboard!$F$17,MAX(0,P91-Q91-MAX(0,S91-R91)),0)</x:f>
      </x:c>
      <x:c r="U91" s="32" t="e">
        <x:f>IF(A91=1,R91,U90+R91)</x:f>
      </x:c>
      <x:c r="V91" s="32"/>
      <x:c r="W91" s="32" t="e">
        <x:f>IF(A91=1,Dashboard!$F$14,AA90)</x:f>
      </x:c>
      <x:c r="X91" s="32" t="e">
        <x:f>IF(AND(A91&lt;=Dashboard!$F$17,MOD(A91-1,12)=0),MIN(W91,$B$7),0)</x:f>
      </x:c>
      <x:c r="Y91" s="32" t="e">
        <x:f>IF(A91&lt;=Dashboard!$F$17,MAX(0,W91-X91)*Dashboard!$F$6,0)</x:f>
      </x:c>
      <x:c r="Z91" s="32" t="e">
        <x:f>IF(A91&lt;=Dashboard!$F$17,MIN(Dashboard!$F$10,MAX(0,W91-X91)+Y91),0)</x:f>
      </x:c>
      <x:c r="AA91" s="32" t="e">
        <x:f>IF(A91&lt;=Dashboard!$F$17,MAX(0,W91-X91-MAX(0,Z91-Y91)),0)</x:f>
      </x:c>
      <x:c r="AB91" s="32" t="e">
        <x:f>IF(A91=1,Y91,AB90+Y91)</x:f>
      </x:c>
      <x:c r="AC91" s="32"/>
      <x:c r="AD91" s="32" t="e">
        <x:f>IF(A91=1,MAX(0,Dashboard!$F$14-$B$8),AG90)</x:f>
      </x:c>
      <x:c r="AE91" s="32" t="n">
        <x:f>0</x:f>
        <x:v>0</x:v>
      </x:c>
      <x:c r="AF91" s="32" t="e">
        <x:f>IF(A91&lt;=Dashboard!$F$17,AD91*Dashboard!$F$6,0)</x:f>
      </x:c>
      <x:c r="AG91" s="32" t="e">
        <x:f>IF(A91&lt;=Dashboard!$F$17,MIN(Dashboard!$F$10,AD91+AF91),0)</x:f>
      </x:c>
      <x:c r="AH91" s="32" t="e">
        <x:f>IF(A91&lt;=Dashboard!$F$17,MAX(0,AD91-MAX(0,AG91-AF91)),0)</x:f>
      </x:c>
      <x:c r="AI91" s="32" t="e">
        <x:f>IF(A91=1,AF91,AI90+AF91)</x:f>
      </x:c>
      <x:c r="AJ91" s="33"/>
      <x:c r="AK91" s="33"/>
      <x:c r="AL91" s="33"/>
      <x:c r="AM91" s="33"/>
    </x:row>
    <x:row r="92">
      <x:c r="A92" s="33" t="n">
        <x:v>80</x:v>
      </x:c>
      <x:c r="B92" s="32" t="e">
        <x:f>IF(A92=1,Dashboard!$F$14,F91)</x:f>
      </x:c>
      <x:c r="C92" s="32" t="n">
        <x:f>0</x:f>
        <x:v>0</x:v>
      </x:c>
      <x:c r="D92" s="32" t="e">
        <x:f>IF(A92&lt;=Dashboard!$F$15,B92*Dashboard!$F$6,0)</x:f>
      </x:c>
      <x:c r="E92" s="32" t="e">
        <x:f>IF(A92&lt;=Dashboard!$F$15,MIN(Dashboard!$F$10,B92+D92),0)</x:f>
      </x:c>
      <x:c r="F92" s="32" t="e">
        <x:f>IF(A92&lt;=Dashboard!$F$15,MAX(0,B92-MAX(0,E92-D92)),0)</x:f>
      </x:c>
      <x:c r="G92" s="32" t="e">
        <x:f>IF(A92=1,D92,G91+D92)</x:f>
      </x:c>
      <x:c r="H92" s="32"/>
      <x:c r="I92" s="32" t="e">
        <x:f>IF(A92=1,Dashboard!$F$14,M91)</x:f>
      </x:c>
      <x:c r="J92" s="32" t="e">
        <x:f>IF(A92&lt;=Dashboard!$F$17,MIN(I92,$B$5),0)</x:f>
      </x:c>
      <x:c r="K92" s="32" t="e">
        <x:f>IF(A92&lt;=Dashboard!$F$17,MAX(0,I92-J92)*Dashboard!$F$6,0)</x:f>
      </x:c>
      <x:c r="L92" s="32" t="e">
        <x:f>IF(A92&lt;=Dashboard!$F$17,MIN(Dashboard!$F$10,MAX(0,I92-J92)+K92),0)</x:f>
      </x:c>
      <x:c r="M92" s="32" t="e">
        <x:f>IF(A92&lt;=Dashboard!$F$17,MAX(0,I92-J92-MAX(0,L92-K92)),0)</x:f>
      </x:c>
      <x:c r="N92" s="32" t="e">
        <x:f>IF(A92=1,K92,N91+K92)</x:f>
      </x:c>
      <x:c r="O92" s="32"/>
      <x:c r="P92" s="32" t="e">
        <x:f>IF(A92=1,Dashboard!$F$14,T91)</x:f>
      </x:c>
      <x:c r="Q92" s="32" t="e">
        <x:f>IF(A92&lt;=Dashboard!$F$17,MIN(P92,$B$6*52/12),0)</x:f>
      </x:c>
      <x:c r="R92" s="32" t="e">
        <x:f>IF(A92&lt;=Dashboard!$F$17,MAX(0,P92-Q92)*Dashboard!$F$6,0)</x:f>
      </x:c>
      <x:c r="S92" s="32" t="e">
        <x:f>IF(A92&lt;=Dashboard!$F$17,MIN(Dashboard!$F$10,MAX(0,P92-Q92)+R92),0)</x:f>
      </x:c>
      <x:c r="T92" s="32" t="e">
        <x:f>IF(A92&lt;=Dashboard!$F$17,MAX(0,P92-Q92-MAX(0,S92-R92)),0)</x:f>
      </x:c>
      <x:c r="U92" s="32" t="e">
        <x:f>IF(A92=1,R92,U91+R92)</x:f>
      </x:c>
      <x:c r="V92" s="32"/>
      <x:c r="W92" s="32" t="e">
        <x:f>IF(A92=1,Dashboard!$F$14,AA91)</x:f>
      </x:c>
      <x:c r="X92" s="32" t="e">
        <x:f>IF(AND(A92&lt;=Dashboard!$F$17,MOD(A92-1,12)=0),MIN(W92,$B$7),0)</x:f>
      </x:c>
      <x:c r="Y92" s="32" t="e">
        <x:f>IF(A92&lt;=Dashboard!$F$17,MAX(0,W92-X92)*Dashboard!$F$6,0)</x:f>
      </x:c>
      <x:c r="Z92" s="32" t="e">
        <x:f>IF(A92&lt;=Dashboard!$F$17,MIN(Dashboard!$F$10,MAX(0,W92-X92)+Y92),0)</x:f>
      </x:c>
      <x:c r="AA92" s="32" t="e">
        <x:f>IF(A92&lt;=Dashboard!$F$17,MAX(0,W92-X92-MAX(0,Z92-Y92)),0)</x:f>
      </x:c>
      <x:c r="AB92" s="32" t="e">
        <x:f>IF(A92=1,Y92,AB91+Y92)</x:f>
      </x:c>
      <x:c r="AC92" s="32"/>
      <x:c r="AD92" s="32" t="e">
        <x:f>IF(A92=1,MAX(0,Dashboard!$F$14-$B$8),AG91)</x:f>
      </x:c>
      <x:c r="AE92" s="32" t="n">
        <x:f>0</x:f>
        <x:v>0</x:v>
      </x:c>
      <x:c r="AF92" s="32" t="e">
        <x:f>IF(A92&lt;=Dashboard!$F$17,AD92*Dashboard!$F$6,0)</x:f>
      </x:c>
      <x:c r="AG92" s="32" t="e">
        <x:f>IF(A92&lt;=Dashboard!$F$17,MIN(Dashboard!$F$10,AD92+AF92),0)</x:f>
      </x:c>
      <x:c r="AH92" s="32" t="e">
        <x:f>IF(A92&lt;=Dashboard!$F$17,MAX(0,AD92-MAX(0,AG92-AF92)),0)</x:f>
      </x:c>
      <x:c r="AI92" s="32" t="e">
        <x:f>IF(A92=1,AF92,AI91+AF92)</x:f>
      </x:c>
      <x:c r="AJ92" s="33"/>
      <x:c r="AK92" s="33"/>
      <x:c r="AL92" s="33"/>
      <x:c r="AM92" s="33"/>
    </x:row>
    <x:row r="93">
      <x:c r="A93" s="33" t="n">
        <x:v>81</x:v>
      </x:c>
      <x:c r="B93" s="32" t="e">
        <x:f>IF(A93=1,Dashboard!$F$14,F92)</x:f>
      </x:c>
      <x:c r="C93" s="32" t="n">
        <x:f>0</x:f>
        <x:v>0</x:v>
      </x:c>
      <x:c r="D93" s="32" t="e">
        <x:f>IF(A93&lt;=Dashboard!$F$15,B93*Dashboard!$F$6,0)</x:f>
      </x:c>
      <x:c r="E93" s="32" t="e">
        <x:f>IF(A93&lt;=Dashboard!$F$15,MIN(Dashboard!$F$10,B93+D93),0)</x:f>
      </x:c>
      <x:c r="F93" s="32" t="e">
        <x:f>IF(A93&lt;=Dashboard!$F$15,MAX(0,B93-MAX(0,E93-D93)),0)</x:f>
      </x:c>
      <x:c r="G93" s="32" t="e">
        <x:f>IF(A93=1,D93,G92+D93)</x:f>
      </x:c>
      <x:c r="H93" s="32"/>
      <x:c r="I93" s="32" t="e">
        <x:f>IF(A93=1,Dashboard!$F$14,M92)</x:f>
      </x:c>
      <x:c r="J93" s="32" t="e">
        <x:f>IF(A93&lt;=Dashboard!$F$17,MIN(I93,$B$5),0)</x:f>
      </x:c>
      <x:c r="K93" s="32" t="e">
        <x:f>IF(A93&lt;=Dashboard!$F$17,MAX(0,I93-J93)*Dashboard!$F$6,0)</x:f>
      </x:c>
      <x:c r="L93" s="32" t="e">
        <x:f>IF(A93&lt;=Dashboard!$F$17,MIN(Dashboard!$F$10,MAX(0,I93-J93)+K93),0)</x:f>
      </x:c>
      <x:c r="M93" s="32" t="e">
        <x:f>IF(A93&lt;=Dashboard!$F$17,MAX(0,I93-J93-MAX(0,L93-K93)),0)</x:f>
      </x:c>
      <x:c r="N93" s="32" t="e">
        <x:f>IF(A93=1,K93,N92+K93)</x:f>
      </x:c>
      <x:c r="O93" s="32"/>
      <x:c r="P93" s="32" t="e">
        <x:f>IF(A93=1,Dashboard!$F$14,T92)</x:f>
      </x:c>
      <x:c r="Q93" s="32" t="e">
        <x:f>IF(A93&lt;=Dashboard!$F$17,MIN(P93,$B$6*52/12),0)</x:f>
      </x:c>
      <x:c r="R93" s="32" t="e">
        <x:f>IF(A93&lt;=Dashboard!$F$17,MAX(0,P93-Q93)*Dashboard!$F$6,0)</x:f>
      </x:c>
      <x:c r="S93" s="32" t="e">
        <x:f>IF(A93&lt;=Dashboard!$F$17,MIN(Dashboard!$F$10,MAX(0,P93-Q93)+R93),0)</x:f>
      </x:c>
      <x:c r="T93" s="32" t="e">
        <x:f>IF(A93&lt;=Dashboard!$F$17,MAX(0,P93-Q93-MAX(0,S93-R93)),0)</x:f>
      </x:c>
      <x:c r="U93" s="32" t="e">
        <x:f>IF(A93=1,R93,U92+R93)</x:f>
      </x:c>
      <x:c r="V93" s="32"/>
      <x:c r="W93" s="32" t="e">
        <x:f>IF(A93=1,Dashboard!$F$14,AA92)</x:f>
      </x:c>
      <x:c r="X93" s="32" t="e">
        <x:f>IF(AND(A93&lt;=Dashboard!$F$17,MOD(A93-1,12)=0),MIN(W93,$B$7),0)</x:f>
      </x:c>
      <x:c r="Y93" s="32" t="e">
        <x:f>IF(A93&lt;=Dashboard!$F$17,MAX(0,W93-X93)*Dashboard!$F$6,0)</x:f>
      </x:c>
      <x:c r="Z93" s="32" t="e">
        <x:f>IF(A93&lt;=Dashboard!$F$17,MIN(Dashboard!$F$10,MAX(0,W93-X93)+Y93),0)</x:f>
      </x:c>
      <x:c r="AA93" s="32" t="e">
        <x:f>IF(A93&lt;=Dashboard!$F$17,MAX(0,W93-X93-MAX(0,Z93-Y93)),0)</x:f>
      </x:c>
      <x:c r="AB93" s="32" t="e">
        <x:f>IF(A93=1,Y93,AB92+Y93)</x:f>
      </x:c>
      <x:c r="AC93" s="32"/>
      <x:c r="AD93" s="32" t="e">
        <x:f>IF(A93=1,MAX(0,Dashboard!$F$14-$B$8),AG92)</x:f>
      </x:c>
      <x:c r="AE93" s="32" t="n">
        <x:f>0</x:f>
        <x:v>0</x:v>
      </x:c>
      <x:c r="AF93" s="32" t="e">
        <x:f>IF(A93&lt;=Dashboard!$F$17,AD93*Dashboard!$F$6,0)</x:f>
      </x:c>
      <x:c r="AG93" s="32" t="e">
        <x:f>IF(A93&lt;=Dashboard!$F$17,MIN(Dashboard!$F$10,AD93+AF93),0)</x:f>
      </x:c>
      <x:c r="AH93" s="32" t="e">
        <x:f>IF(A93&lt;=Dashboard!$F$17,MAX(0,AD93-MAX(0,AG93-AF93)),0)</x:f>
      </x:c>
      <x:c r="AI93" s="32" t="e">
        <x:f>IF(A93=1,AF93,AI92+AF93)</x:f>
      </x:c>
      <x:c r="AJ93" s="33"/>
      <x:c r="AK93" s="33"/>
      <x:c r="AL93" s="33"/>
      <x:c r="AM93" s="33"/>
    </x:row>
    <x:row r="94">
      <x:c r="A94" s="33" t="n">
        <x:v>82</x:v>
      </x:c>
      <x:c r="B94" s="32" t="e">
        <x:f>IF(A94=1,Dashboard!$F$14,F93)</x:f>
      </x:c>
      <x:c r="C94" s="32" t="n">
        <x:f>0</x:f>
        <x:v>0</x:v>
      </x:c>
      <x:c r="D94" s="32" t="e">
        <x:f>IF(A94&lt;=Dashboard!$F$15,B94*Dashboard!$F$6,0)</x:f>
      </x:c>
      <x:c r="E94" s="32" t="e">
        <x:f>IF(A94&lt;=Dashboard!$F$15,MIN(Dashboard!$F$10,B94+D94),0)</x:f>
      </x:c>
      <x:c r="F94" s="32" t="e">
        <x:f>IF(A94&lt;=Dashboard!$F$15,MAX(0,B94-MAX(0,E94-D94)),0)</x:f>
      </x:c>
      <x:c r="G94" s="32" t="e">
        <x:f>IF(A94=1,D94,G93+D94)</x:f>
      </x:c>
      <x:c r="H94" s="32"/>
      <x:c r="I94" s="32" t="e">
        <x:f>IF(A94=1,Dashboard!$F$14,M93)</x:f>
      </x:c>
      <x:c r="J94" s="32" t="e">
        <x:f>IF(A94&lt;=Dashboard!$F$17,MIN(I94,$B$5),0)</x:f>
      </x:c>
      <x:c r="K94" s="32" t="e">
        <x:f>IF(A94&lt;=Dashboard!$F$17,MAX(0,I94-J94)*Dashboard!$F$6,0)</x:f>
      </x:c>
      <x:c r="L94" s="32" t="e">
        <x:f>IF(A94&lt;=Dashboard!$F$17,MIN(Dashboard!$F$10,MAX(0,I94-J94)+K94),0)</x:f>
      </x:c>
      <x:c r="M94" s="32" t="e">
        <x:f>IF(A94&lt;=Dashboard!$F$17,MAX(0,I94-J94-MAX(0,L94-K94)),0)</x:f>
      </x:c>
      <x:c r="N94" s="32" t="e">
        <x:f>IF(A94=1,K94,N93+K94)</x:f>
      </x:c>
      <x:c r="O94" s="32"/>
      <x:c r="P94" s="32" t="e">
        <x:f>IF(A94=1,Dashboard!$F$14,T93)</x:f>
      </x:c>
      <x:c r="Q94" s="32" t="e">
        <x:f>IF(A94&lt;=Dashboard!$F$17,MIN(P94,$B$6*52/12),0)</x:f>
      </x:c>
      <x:c r="R94" s="32" t="e">
        <x:f>IF(A94&lt;=Dashboard!$F$17,MAX(0,P94-Q94)*Dashboard!$F$6,0)</x:f>
      </x:c>
      <x:c r="S94" s="32" t="e">
        <x:f>IF(A94&lt;=Dashboard!$F$17,MIN(Dashboard!$F$10,MAX(0,P94-Q94)+R94),0)</x:f>
      </x:c>
      <x:c r="T94" s="32" t="e">
        <x:f>IF(A94&lt;=Dashboard!$F$17,MAX(0,P94-Q94-MAX(0,S94-R94)),0)</x:f>
      </x:c>
      <x:c r="U94" s="32" t="e">
        <x:f>IF(A94=1,R94,U93+R94)</x:f>
      </x:c>
      <x:c r="V94" s="32"/>
      <x:c r="W94" s="32" t="e">
        <x:f>IF(A94=1,Dashboard!$F$14,AA93)</x:f>
      </x:c>
      <x:c r="X94" s="32" t="e">
        <x:f>IF(AND(A94&lt;=Dashboard!$F$17,MOD(A94-1,12)=0),MIN(W94,$B$7),0)</x:f>
      </x:c>
      <x:c r="Y94" s="32" t="e">
        <x:f>IF(A94&lt;=Dashboard!$F$17,MAX(0,W94-X94)*Dashboard!$F$6,0)</x:f>
      </x:c>
      <x:c r="Z94" s="32" t="e">
        <x:f>IF(A94&lt;=Dashboard!$F$17,MIN(Dashboard!$F$10,MAX(0,W94-X94)+Y94),0)</x:f>
      </x:c>
      <x:c r="AA94" s="32" t="e">
        <x:f>IF(A94&lt;=Dashboard!$F$17,MAX(0,W94-X94-MAX(0,Z94-Y94)),0)</x:f>
      </x:c>
      <x:c r="AB94" s="32" t="e">
        <x:f>IF(A94=1,Y94,AB93+Y94)</x:f>
      </x:c>
      <x:c r="AC94" s="32"/>
      <x:c r="AD94" s="32" t="e">
        <x:f>IF(A94=1,MAX(0,Dashboard!$F$14-$B$8),AG93)</x:f>
      </x:c>
      <x:c r="AE94" s="32" t="n">
        <x:f>0</x:f>
        <x:v>0</x:v>
      </x:c>
      <x:c r="AF94" s="32" t="e">
        <x:f>IF(A94&lt;=Dashboard!$F$17,AD94*Dashboard!$F$6,0)</x:f>
      </x:c>
      <x:c r="AG94" s="32" t="e">
        <x:f>IF(A94&lt;=Dashboard!$F$17,MIN(Dashboard!$F$10,AD94+AF94),0)</x:f>
      </x:c>
      <x:c r="AH94" s="32" t="e">
        <x:f>IF(A94&lt;=Dashboard!$F$17,MAX(0,AD94-MAX(0,AG94-AF94)),0)</x:f>
      </x:c>
      <x:c r="AI94" s="32" t="e">
        <x:f>IF(A94=1,AF94,AI93+AF94)</x:f>
      </x:c>
      <x:c r="AJ94" s="33"/>
      <x:c r="AK94" s="33"/>
      <x:c r="AL94" s="33"/>
      <x:c r="AM94" s="33"/>
    </x:row>
    <x:row r="95">
      <x:c r="A95" s="33" t="n">
        <x:v>83</x:v>
      </x:c>
      <x:c r="B95" s="32" t="e">
        <x:f>IF(A95=1,Dashboard!$F$14,F94)</x:f>
      </x:c>
      <x:c r="C95" s="32" t="n">
        <x:f>0</x:f>
        <x:v>0</x:v>
      </x:c>
      <x:c r="D95" s="32" t="e">
        <x:f>IF(A95&lt;=Dashboard!$F$15,B95*Dashboard!$F$6,0)</x:f>
      </x:c>
      <x:c r="E95" s="32" t="e">
        <x:f>IF(A95&lt;=Dashboard!$F$15,MIN(Dashboard!$F$10,B95+D95),0)</x:f>
      </x:c>
      <x:c r="F95" s="32" t="e">
        <x:f>IF(A95&lt;=Dashboard!$F$15,MAX(0,B95-MAX(0,E95-D95)),0)</x:f>
      </x:c>
      <x:c r="G95" s="32" t="e">
        <x:f>IF(A95=1,D95,G94+D95)</x:f>
      </x:c>
      <x:c r="H95" s="32"/>
      <x:c r="I95" s="32" t="e">
        <x:f>IF(A95=1,Dashboard!$F$14,M94)</x:f>
      </x:c>
      <x:c r="J95" s="32" t="e">
        <x:f>IF(A95&lt;=Dashboard!$F$17,MIN(I95,$B$5),0)</x:f>
      </x:c>
      <x:c r="K95" s="32" t="e">
        <x:f>IF(A95&lt;=Dashboard!$F$17,MAX(0,I95-J95)*Dashboard!$F$6,0)</x:f>
      </x:c>
      <x:c r="L95" s="32" t="e">
        <x:f>IF(A95&lt;=Dashboard!$F$17,MIN(Dashboard!$F$10,MAX(0,I95-J95)+K95),0)</x:f>
      </x:c>
      <x:c r="M95" s="32" t="e">
        <x:f>IF(A95&lt;=Dashboard!$F$17,MAX(0,I95-J95-MAX(0,L95-K95)),0)</x:f>
      </x:c>
      <x:c r="N95" s="32" t="e">
        <x:f>IF(A95=1,K95,N94+K95)</x:f>
      </x:c>
      <x:c r="O95" s="32"/>
      <x:c r="P95" s="32" t="e">
        <x:f>IF(A95=1,Dashboard!$F$14,T94)</x:f>
      </x:c>
      <x:c r="Q95" s="32" t="e">
        <x:f>IF(A95&lt;=Dashboard!$F$17,MIN(P95,$B$6*52/12),0)</x:f>
      </x:c>
      <x:c r="R95" s="32" t="e">
        <x:f>IF(A95&lt;=Dashboard!$F$17,MAX(0,P95-Q95)*Dashboard!$F$6,0)</x:f>
      </x:c>
      <x:c r="S95" s="32" t="e">
        <x:f>IF(A95&lt;=Dashboard!$F$17,MIN(Dashboard!$F$10,MAX(0,P95-Q95)+R95),0)</x:f>
      </x:c>
      <x:c r="T95" s="32" t="e">
        <x:f>IF(A95&lt;=Dashboard!$F$17,MAX(0,P95-Q95-MAX(0,S95-R95)),0)</x:f>
      </x:c>
      <x:c r="U95" s="32" t="e">
        <x:f>IF(A95=1,R95,U94+R95)</x:f>
      </x:c>
      <x:c r="V95" s="32"/>
      <x:c r="W95" s="32" t="e">
        <x:f>IF(A95=1,Dashboard!$F$14,AA94)</x:f>
      </x:c>
      <x:c r="X95" s="32" t="e">
        <x:f>IF(AND(A95&lt;=Dashboard!$F$17,MOD(A95-1,12)=0),MIN(W95,$B$7),0)</x:f>
      </x:c>
      <x:c r="Y95" s="32" t="e">
        <x:f>IF(A95&lt;=Dashboard!$F$17,MAX(0,W95-X95)*Dashboard!$F$6,0)</x:f>
      </x:c>
      <x:c r="Z95" s="32" t="e">
        <x:f>IF(A95&lt;=Dashboard!$F$17,MIN(Dashboard!$F$10,MAX(0,W95-X95)+Y95),0)</x:f>
      </x:c>
      <x:c r="AA95" s="32" t="e">
        <x:f>IF(A95&lt;=Dashboard!$F$17,MAX(0,W95-X95-MAX(0,Z95-Y95)),0)</x:f>
      </x:c>
      <x:c r="AB95" s="32" t="e">
        <x:f>IF(A95=1,Y95,AB94+Y95)</x:f>
      </x:c>
      <x:c r="AC95" s="32"/>
      <x:c r="AD95" s="32" t="e">
        <x:f>IF(A95=1,MAX(0,Dashboard!$F$14-$B$8),AG94)</x:f>
      </x:c>
      <x:c r="AE95" s="32" t="n">
        <x:f>0</x:f>
        <x:v>0</x:v>
      </x:c>
      <x:c r="AF95" s="32" t="e">
        <x:f>IF(A95&lt;=Dashboard!$F$17,AD95*Dashboard!$F$6,0)</x:f>
      </x:c>
      <x:c r="AG95" s="32" t="e">
        <x:f>IF(A95&lt;=Dashboard!$F$17,MIN(Dashboard!$F$10,AD95+AF95),0)</x:f>
      </x:c>
      <x:c r="AH95" s="32" t="e">
        <x:f>IF(A95&lt;=Dashboard!$F$17,MAX(0,AD95-MAX(0,AG95-AF95)),0)</x:f>
      </x:c>
      <x:c r="AI95" s="32" t="e">
        <x:f>IF(A95=1,AF95,AI94+AF95)</x:f>
      </x:c>
      <x:c r="AJ95" s="33"/>
      <x:c r="AK95" s="33"/>
      <x:c r="AL95" s="33"/>
      <x:c r="AM95" s="33"/>
    </x:row>
    <x:row r="96">
      <x:c r="A96" s="33" t="n">
        <x:v>84</x:v>
      </x:c>
      <x:c r="B96" s="32" t="e">
        <x:f>IF(A96=1,Dashboard!$F$14,F95)</x:f>
      </x:c>
      <x:c r="C96" s="32" t="n">
        <x:f>0</x:f>
        <x:v>0</x:v>
      </x:c>
      <x:c r="D96" s="32" t="e">
        <x:f>IF(A96&lt;=Dashboard!$F$15,B96*Dashboard!$F$6,0)</x:f>
      </x:c>
      <x:c r="E96" s="32" t="e">
        <x:f>IF(A96&lt;=Dashboard!$F$15,MIN(Dashboard!$F$10,B96+D96),0)</x:f>
      </x:c>
      <x:c r="F96" s="32" t="e">
        <x:f>IF(A96&lt;=Dashboard!$F$15,MAX(0,B96-MAX(0,E96-D96)),0)</x:f>
      </x:c>
      <x:c r="G96" s="32" t="e">
        <x:f>IF(A96=1,D96,G95+D96)</x:f>
      </x:c>
      <x:c r="H96" s="32"/>
      <x:c r="I96" s="32" t="e">
        <x:f>IF(A96=1,Dashboard!$F$14,M95)</x:f>
      </x:c>
      <x:c r="J96" s="32" t="e">
        <x:f>IF(A96&lt;=Dashboard!$F$17,MIN(I96,$B$5),0)</x:f>
      </x:c>
      <x:c r="K96" s="32" t="e">
        <x:f>IF(A96&lt;=Dashboard!$F$17,MAX(0,I96-J96)*Dashboard!$F$6,0)</x:f>
      </x:c>
      <x:c r="L96" s="32" t="e">
        <x:f>IF(A96&lt;=Dashboard!$F$17,MIN(Dashboard!$F$10,MAX(0,I96-J96)+K96),0)</x:f>
      </x:c>
      <x:c r="M96" s="32" t="e">
        <x:f>IF(A96&lt;=Dashboard!$F$17,MAX(0,I96-J96-MAX(0,L96-K96)),0)</x:f>
      </x:c>
      <x:c r="N96" s="32" t="e">
        <x:f>IF(A96=1,K96,N95+K96)</x:f>
      </x:c>
      <x:c r="O96" s="32"/>
      <x:c r="P96" s="32" t="e">
        <x:f>IF(A96=1,Dashboard!$F$14,T95)</x:f>
      </x:c>
      <x:c r="Q96" s="32" t="e">
        <x:f>IF(A96&lt;=Dashboard!$F$17,MIN(P96,$B$6*52/12),0)</x:f>
      </x:c>
      <x:c r="R96" s="32" t="e">
        <x:f>IF(A96&lt;=Dashboard!$F$17,MAX(0,P96-Q96)*Dashboard!$F$6,0)</x:f>
      </x:c>
      <x:c r="S96" s="32" t="e">
        <x:f>IF(A96&lt;=Dashboard!$F$17,MIN(Dashboard!$F$10,MAX(0,P96-Q96)+R96),0)</x:f>
      </x:c>
      <x:c r="T96" s="32" t="e">
        <x:f>IF(A96&lt;=Dashboard!$F$17,MAX(0,P96-Q96-MAX(0,S96-R96)),0)</x:f>
      </x:c>
      <x:c r="U96" s="32" t="e">
        <x:f>IF(A96=1,R96,U95+R96)</x:f>
      </x:c>
      <x:c r="V96" s="32"/>
      <x:c r="W96" s="32" t="e">
        <x:f>IF(A96=1,Dashboard!$F$14,AA95)</x:f>
      </x:c>
      <x:c r="X96" s="32" t="e">
        <x:f>IF(AND(A96&lt;=Dashboard!$F$17,MOD(A96-1,12)=0),MIN(W96,$B$7),0)</x:f>
      </x:c>
      <x:c r="Y96" s="32" t="e">
        <x:f>IF(A96&lt;=Dashboard!$F$17,MAX(0,W96-X96)*Dashboard!$F$6,0)</x:f>
      </x:c>
      <x:c r="Z96" s="32" t="e">
        <x:f>IF(A96&lt;=Dashboard!$F$17,MIN(Dashboard!$F$10,MAX(0,W96-X96)+Y96),0)</x:f>
      </x:c>
      <x:c r="AA96" s="32" t="e">
        <x:f>IF(A96&lt;=Dashboard!$F$17,MAX(0,W96-X96-MAX(0,Z96-Y96)),0)</x:f>
      </x:c>
      <x:c r="AB96" s="32" t="e">
        <x:f>IF(A96=1,Y96,AB95+Y96)</x:f>
      </x:c>
      <x:c r="AC96" s="32"/>
      <x:c r="AD96" s="32" t="e">
        <x:f>IF(A96=1,MAX(0,Dashboard!$F$14-$B$8),AG95)</x:f>
      </x:c>
      <x:c r="AE96" s="32" t="n">
        <x:f>0</x:f>
        <x:v>0</x:v>
      </x:c>
      <x:c r="AF96" s="32" t="e">
        <x:f>IF(A96&lt;=Dashboard!$F$17,AD96*Dashboard!$F$6,0)</x:f>
      </x:c>
      <x:c r="AG96" s="32" t="e">
        <x:f>IF(A96&lt;=Dashboard!$F$17,MIN(Dashboard!$F$10,AD96+AF96),0)</x:f>
      </x:c>
      <x:c r="AH96" s="32" t="e">
        <x:f>IF(A96&lt;=Dashboard!$F$17,MAX(0,AD96-MAX(0,AG96-AF96)),0)</x:f>
      </x:c>
      <x:c r="AI96" s="32" t="e">
        <x:f>IF(A96=1,AF96,AI95+AF96)</x:f>
      </x:c>
      <x:c r="AJ96" s="33"/>
      <x:c r="AK96" s="33"/>
      <x:c r="AL96" s="33"/>
      <x:c r="AM96" s="33"/>
    </x:row>
    <x:row r="97">
      <x:c r="A97" s="33" t="n">
        <x:v>85</x:v>
      </x:c>
      <x:c r="B97" s="32" t="e">
        <x:f>IF(A97=1,Dashboard!$F$14,F96)</x:f>
      </x:c>
      <x:c r="C97" s="32" t="n">
        <x:f>0</x:f>
        <x:v>0</x:v>
      </x:c>
      <x:c r="D97" s="32" t="e">
        <x:f>IF(A97&lt;=Dashboard!$F$15,B97*Dashboard!$F$6,0)</x:f>
      </x:c>
      <x:c r="E97" s="32" t="e">
        <x:f>IF(A97&lt;=Dashboard!$F$15,MIN(Dashboard!$F$10,B97+D97),0)</x:f>
      </x:c>
      <x:c r="F97" s="32" t="e">
        <x:f>IF(A97&lt;=Dashboard!$F$15,MAX(0,B97-MAX(0,E97-D97)),0)</x:f>
      </x:c>
      <x:c r="G97" s="32" t="e">
        <x:f>IF(A97=1,D97,G96+D97)</x:f>
      </x:c>
      <x:c r="H97" s="32"/>
      <x:c r="I97" s="32" t="e">
        <x:f>IF(A97=1,Dashboard!$F$14,M96)</x:f>
      </x:c>
      <x:c r="J97" s="32" t="e">
        <x:f>IF(A97&lt;=Dashboard!$F$17,MIN(I97,$B$5),0)</x:f>
      </x:c>
      <x:c r="K97" s="32" t="e">
        <x:f>IF(A97&lt;=Dashboard!$F$17,MAX(0,I97-J97)*Dashboard!$F$6,0)</x:f>
      </x:c>
      <x:c r="L97" s="32" t="e">
        <x:f>IF(A97&lt;=Dashboard!$F$17,MIN(Dashboard!$F$10,MAX(0,I97-J97)+K97),0)</x:f>
      </x:c>
      <x:c r="M97" s="32" t="e">
        <x:f>IF(A97&lt;=Dashboard!$F$17,MAX(0,I97-J97-MAX(0,L97-K97)),0)</x:f>
      </x:c>
      <x:c r="N97" s="32" t="e">
        <x:f>IF(A97=1,K97,N96+K97)</x:f>
      </x:c>
      <x:c r="O97" s="32"/>
      <x:c r="P97" s="32" t="e">
        <x:f>IF(A97=1,Dashboard!$F$14,T96)</x:f>
      </x:c>
      <x:c r="Q97" s="32" t="e">
        <x:f>IF(A97&lt;=Dashboard!$F$17,MIN(P97,$B$6*52/12),0)</x:f>
      </x:c>
      <x:c r="R97" s="32" t="e">
        <x:f>IF(A97&lt;=Dashboard!$F$17,MAX(0,P97-Q97)*Dashboard!$F$6,0)</x:f>
      </x:c>
      <x:c r="S97" s="32" t="e">
        <x:f>IF(A97&lt;=Dashboard!$F$17,MIN(Dashboard!$F$10,MAX(0,P97-Q97)+R97),0)</x:f>
      </x:c>
      <x:c r="T97" s="32" t="e">
        <x:f>IF(A97&lt;=Dashboard!$F$17,MAX(0,P97-Q97-MAX(0,S97-R97)),0)</x:f>
      </x:c>
      <x:c r="U97" s="32" t="e">
        <x:f>IF(A97=1,R97,U96+R97)</x:f>
      </x:c>
      <x:c r="V97" s="32"/>
      <x:c r="W97" s="32" t="e">
        <x:f>IF(A97=1,Dashboard!$F$14,AA96)</x:f>
      </x:c>
      <x:c r="X97" s="32" t="e">
        <x:f>IF(AND(A97&lt;=Dashboard!$F$17,MOD(A97-1,12)=0),MIN(W97,$B$7),0)</x:f>
      </x:c>
      <x:c r="Y97" s="32" t="e">
        <x:f>IF(A97&lt;=Dashboard!$F$17,MAX(0,W97-X97)*Dashboard!$F$6,0)</x:f>
      </x:c>
      <x:c r="Z97" s="32" t="e">
        <x:f>IF(A97&lt;=Dashboard!$F$17,MIN(Dashboard!$F$10,MAX(0,W97-X97)+Y97),0)</x:f>
      </x:c>
      <x:c r="AA97" s="32" t="e">
        <x:f>IF(A97&lt;=Dashboard!$F$17,MAX(0,W97-X97-MAX(0,Z97-Y97)),0)</x:f>
      </x:c>
      <x:c r="AB97" s="32" t="e">
        <x:f>IF(A97=1,Y97,AB96+Y97)</x:f>
      </x:c>
      <x:c r="AC97" s="32"/>
      <x:c r="AD97" s="32" t="e">
        <x:f>IF(A97=1,MAX(0,Dashboard!$F$14-$B$8),AG96)</x:f>
      </x:c>
      <x:c r="AE97" s="32" t="n">
        <x:f>0</x:f>
        <x:v>0</x:v>
      </x:c>
      <x:c r="AF97" s="32" t="e">
        <x:f>IF(A97&lt;=Dashboard!$F$17,AD97*Dashboard!$F$6,0)</x:f>
      </x:c>
      <x:c r="AG97" s="32" t="e">
        <x:f>IF(A97&lt;=Dashboard!$F$17,MIN(Dashboard!$F$10,AD97+AF97),0)</x:f>
      </x:c>
      <x:c r="AH97" s="32" t="e">
        <x:f>IF(A97&lt;=Dashboard!$F$17,MAX(0,AD97-MAX(0,AG97-AF97)),0)</x:f>
      </x:c>
      <x:c r="AI97" s="32" t="e">
        <x:f>IF(A97=1,AF97,AI96+AF97)</x:f>
      </x:c>
      <x:c r="AJ97" s="33"/>
      <x:c r="AK97" s="33"/>
      <x:c r="AL97" s="33"/>
      <x:c r="AM97" s="33"/>
    </x:row>
    <x:row r="98">
      <x:c r="A98" s="33" t="n">
        <x:v>86</x:v>
      </x:c>
      <x:c r="B98" s="32" t="e">
        <x:f>IF(A98=1,Dashboard!$F$14,F97)</x:f>
      </x:c>
      <x:c r="C98" s="32" t="n">
        <x:f>0</x:f>
        <x:v>0</x:v>
      </x:c>
      <x:c r="D98" s="32" t="e">
        <x:f>IF(A98&lt;=Dashboard!$F$15,B98*Dashboard!$F$6,0)</x:f>
      </x:c>
      <x:c r="E98" s="32" t="e">
        <x:f>IF(A98&lt;=Dashboard!$F$15,MIN(Dashboard!$F$10,B98+D98),0)</x:f>
      </x:c>
      <x:c r="F98" s="32" t="e">
        <x:f>IF(A98&lt;=Dashboard!$F$15,MAX(0,B98-MAX(0,E98-D98)),0)</x:f>
      </x:c>
      <x:c r="G98" s="32" t="e">
        <x:f>IF(A98=1,D98,G97+D98)</x:f>
      </x:c>
      <x:c r="H98" s="32"/>
      <x:c r="I98" s="32" t="e">
        <x:f>IF(A98=1,Dashboard!$F$14,M97)</x:f>
      </x:c>
      <x:c r="J98" s="32" t="e">
        <x:f>IF(A98&lt;=Dashboard!$F$17,MIN(I98,$B$5),0)</x:f>
      </x:c>
      <x:c r="K98" s="32" t="e">
        <x:f>IF(A98&lt;=Dashboard!$F$17,MAX(0,I98-J98)*Dashboard!$F$6,0)</x:f>
      </x:c>
      <x:c r="L98" s="32" t="e">
        <x:f>IF(A98&lt;=Dashboard!$F$17,MIN(Dashboard!$F$10,MAX(0,I98-J98)+K98),0)</x:f>
      </x:c>
      <x:c r="M98" s="32" t="e">
        <x:f>IF(A98&lt;=Dashboard!$F$17,MAX(0,I98-J98-MAX(0,L98-K98)),0)</x:f>
      </x:c>
      <x:c r="N98" s="32" t="e">
        <x:f>IF(A98=1,K98,N97+K98)</x:f>
      </x:c>
      <x:c r="O98" s="32"/>
      <x:c r="P98" s="32" t="e">
        <x:f>IF(A98=1,Dashboard!$F$14,T97)</x:f>
      </x:c>
      <x:c r="Q98" s="32" t="e">
        <x:f>IF(A98&lt;=Dashboard!$F$17,MIN(P98,$B$6*52/12),0)</x:f>
      </x:c>
      <x:c r="R98" s="32" t="e">
        <x:f>IF(A98&lt;=Dashboard!$F$17,MAX(0,P98-Q98)*Dashboard!$F$6,0)</x:f>
      </x:c>
      <x:c r="S98" s="32" t="e">
        <x:f>IF(A98&lt;=Dashboard!$F$17,MIN(Dashboard!$F$10,MAX(0,P98-Q98)+R98),0)</x:f>
      </x:c>
      <x:c r="T98" s="32" t="e">
        <x:f>IF(A98&lt;=Dashboard!$F$17,MAX(0,P98-Q98-MAX(0,S98-R98)),0)</x:f>
      </x:c>
      <x:c r="U98" s="32" t="e">
        <x:f>IF(A98=1,R98,U97+R98)</x:f>
      </x:c>
      <x:c r="V98" s="32"/>
      <x:c r="W98" s="32" t="e">
        <x:f>IF(A98=1,Dashboard!$F$14,AA97)</x:f>
      </x:c>
      <x:c r="X98" s="32" t="e">
        <x:f>IF(AND(A98&lt;=Dashboard!$F$17,MOD(A98-1,12)=0),MIN(W98,$B$7),0)</x:f>
      </x:c>
      <x:c r="Y98" s="32" t="e">
        <x:f>IF(A98&lt;=Dashboard!$F$17,MAX(0,W98-X98)*Dashboard!$F$6,0)</x:f>
      </x:c>
      <x:c r="Z98" s="32" t="e">
        <x:f>IF(A98&lt;=Dashboard!$F$17,MIN(Dashboard!$F$10,MAX(0,W98-X98)+Y98),0)</x:f>
      </x:c>
      <x:c r="AA98" s="32" t="e">
        <x:f>IF(A98&lt;=Dashboard!$F$17,MAX(0,W98-X98-MAX(0,Z98-Y98)),0)</x:f>
      </x:c>
      <x:c r="AB98" s="32" t="e">
        <x:f>IF(A98=1,Y98,AB97+Y98)</x:f>
      </x:c>
      <x:c r="AC98" s="32"/>
      <x:c r="AD98" s="32" t="e">
        <x:f>IF(A98=1,MAX(0,Dashboard!$F$14-$B$8),AG97)</x:f>
      </x:c>
      <x:c r="AE98" s="32" t="n">
        <x:f>0</x:f>
        <x:v>0</x:v>
      </x:c>
      <x:c r="AF98" s="32" t="e">
        <x:f>IF(A98&lt;=Dashboard!$F$17,AD98*Dashboard!$F$6,0)</x:f>
      </x:c>
      <x:c r="AG98" s="32" t="e">
        <x:f>IF(A98&lt;=Dashboard!$F$17,MIN(Dashboard!$F$10,AD98+AF98),0)</x:f>
      </x:c>
      <x:c r="AH98" s="32" t="e">
        <x:f>IF(A98&lt;=Dashboard!$F$17,MAX(0,AD98-MAX(0,AG98-AF98)),0)</x:f>
      </x:c>
      <x:c r="AI98" s="32" t="e">
        <x:f>IF(A98=1,AF98,AI97+AF98)</x:f>
      </x:c>
      <x:c r="AJ98" s="33"/>
      <x:c r="AK98" s="33"/>
      <x:c r="AL98" s="33"/>
      <x:c r="AM98" s="33"/>
    </x:row>
    <x:row r="99">
      <x:c r="A99" s="33" t="n">
        <x:v>87</x:v>
      </x:c>
      <x:c r="B99" s="32" t="e">
        <x:f>IF(A99=1,Dashboard!$F$14,F98)</x:f>
      </x:c>
      <x:c r="C99" s="32" t="n">
        <x:f>0</x:f>
        <x:v>0</x:v>
      </x:c>
      <x:c r="D99" s="32" t="e">
        <x:f>IF(A99&lt;=Dashboard!$F$15,B99*Dashboard!$F$6,0)</x:f>
      </x:c>
      <x:c r="E99" s="32" t="e">
        <x:f>IF(A99&lt;=Dashboard!$F$15,MIN(Dashboard!$F$10,B99+D99),0)</x:f>
      </x:c>
      <x:c r="F99" s="32" t="e">
        <x:f>IF(A99&lt;=Dashboard!$F$15,MAX(0,B99-MAX(0,E99-D99)),0)</x:f>
      </x:c>
      <x:c r="G99" s="32" t="e">
        <x:f>IF(A99=1,D99,G98+D99)</x:f>
      </x:c>
      <x:c r="H99" s="32"/>
      <x:c r="I99" s="32" t="e">
        <x:f>IF(A99=1,Dashboard!$F$14,M98)</x:f>
      </x:c>
      <x:c r="J99" s="32" t="e">
        <x:f>IF(A99&lt;=Dashboard!$F$17,MIN(I99,$B$5),0)</x:f>
      </x:c>
      <x:c r="K99" s="32" t="e">
        <x:f>IF(A99&lt;=Dashboard!$F$17,MAX(0,I99-J99)*Dashboard!$F$6,0)</x:f>
      </x:c>
      <x:c r="L99" s="32" t="e">
        <x:f>IF(A99&lt;=Dashboard!$F$17,MIN(Dashboard!$F$10,MAX(0,I99-J99)+K99),0)</x:f>
      </x:c>
      <x:c r="M99" s="32" t="e">
        <x:f>IF(A99&lt;=Dashboard!$F$17,MAX(0,I99-J99-MAX(0,L99-K99)),0)</x:f>
      </x:c>
      <x:c r="N99" s="32" t="e">
        <x:f>IF(A99=1,K99,N98+K99)</x:f>
      </x:c>
      <x:c r="O99" s="32"/>
      <x:c r="P99" s="32" t="e">
        <x:f>IF(A99=1,Dashboard!$F$14,T98)</x:f>
      </x:c>
      <x:c r="Q99" s="32" t="e">
        <x:f>IF(A99&lt;=Dashboard!$F$17,MIN(P99,$B$6*52/12),0)</x:f>
      </x:c>
      <x:c r="R99" s="32" t="e">
        <x:f>IF(A99&lt;=Dashboard!$F$17,MAX(0,P99-Q99)*Dashboard!$F$6,0)</x:f>
      </x:c>
      <x:c r="S99" s="32" t="e">
        <x:f>IF(A99&lt;=Dashboard!$F$17,MIN(Dashboard!$F$10,MAX(0,P99-Q99)+R99),0)</x:f>
      </x:c>
      <x:c r="T99" s="32" t="e">
        <x:f>IF(A99&lt;=Dashboard!$F$17,MAX(0,P99-Q99-MAX(0,S99-R99)),0)</x:f>
      </x:c>
      <x:c r="U99" s="32" t="e">
        <x:f>IF(A99=1,R99,U98+R99)</x:f>
      </x:c>
      <x:c r="V99" s="32"/>
      <x:c r="W99" s="32" t="e">
        <x:f>IF(A99=1,Dashboard!$F$14,AA98)</x:f>
      </x:c>
      <x:c r="X99" s="32" t="e">
        <x:f>IF(AND(A99&lt;=Dashboard!$F$17,MOD(A99-1,12)=0),MIN(W99,$B$7),0)</x:f>
      </x:c>
      <x:c r="Y99" s="32" t="e">
        <x:f>IF(A99&lt;=Dashboard!$F$17,MAX(0,W99-X99)*Dashboard!$F$6,0)</x:f>
      </x:c>
      <x:c r="Z99" s="32" t="e">
        <x:f>IF(A99&lt;=Dashboard!$F$17,MIN(Dashboard!$F$10,MAX(0,W99-X99)+Y99),0)</x:f>
      </x:c>
      <x:c r="AA99" s="32" t="e">
        <x:f>IF(A99&lt;=Dashboard!$F$17,MAX(0,W99-X99-MAX(0,Z99-Y99)),0)</x:f>
      </x:c>
      <x:c r="AB99" s="32" t="e">
        <x:f>IF(A99=1,Y99,AB98+Y99)</x:f>
      </x:c>
      <x:c r="AC99" s="32"/>
      <x:c r="AD99" s="32" t="e">
        <x:f>IF(A99=1,MAX(0,Dashboard!$F$14-$B$8),AG98)</x:f>
      </x:c>
      <x:c r="AE99" s="32" t="n">
        <x:f>0</x:f>
        <x:v>0</x:v>
      </x:c>
      <x:c r="AF99" s="32" t="e">
        <x:f>IF(A99&lt;=Dashboard!$F$17,AD99*Dashboard!$F$6,0)</x:f>
      </x:c>
      <x:c r="AG99" s="32" t="e">
        <x:f>IF(A99&lt;=Dashboard!$F$17,MIN(Dashboard!$F$10,AD99+AF99),0)</x:f>
      </x:c>
      <x:c r="AH99" s="32" t="e">
        <x:f>IF(A99&lt;=Dashboard!$F$17,MAX(0,AD99-MAX(0,AG99-AF99)),0)</x:f>
      </x:c>
      <x:c r="AI99" s="32" t="e">
        <x:f>IF(A99=1,AF99,AI98+AF99)</x:f>
      </x:c>
      <x:c r="AJ99" s="33"/>
      <x:c r="AK99" s="33"/>
      <x:c r="AL99" s="33"/>
      <x:c r="AM99" s="33"/>
    </x:row>
    <x:row r="100">
      <x:c r="A100" s="33" t="n">
        <x:v>88</x:v>
      </x:c>
      <x:c r="B100" s="32" t="e">
        <x:f>IF(A100=1,Dashboard!$F$14,F99)</x:f>
      </x:c>
      <x:c r="C100" s="32" t="n">
        <x:f>0</x:f>
        <x:v>0</x:v>
      </x:c>
      <x:c r="D100" s="32" t="e">
        <x:f>IF(A100&lt;=Dashboard!$F$15,B100*Dashboard!$F$6,0)</x:f>
      </x:c>
      <x:c r="E100" s="32" t="e">
        <x:f>IF(A100&lt;=Dashboard!$F$15,MIN(Dashboard!$F$10,B100+D100),0)</x:f>
      </x:c>
      <x:c r="F100" s="32" t="e">
        <x:f>IF(A100&lt;=Dashboard!$F$15,MAX(0,B100-MAX(0,E100-D100)),0)</x:f>
      </x:c>
      <x:c r="G100" s="32" t="e">
        <x:f>IF(A100=1,D100,G99+D100)</x:f>
      </x:c>
      <x:c r="H100" s="32"/>
      <x:c r="I100" s="32" t="e">
        <x:f>IF(A100=1,Dashboard!$F$14,M99)</x:f>
      </x:c>
      <x:c r="J100" s="32" t="e">
        <x:f>IF(A100&lt;=Dashboard!$F$17,MIN(I100,$B$5),0)</x:f>
      </x:c>
      <x:c r="K100" s="32" t="e">
        <x:f>IF(A100&lt;=Dashboard!$F$17,MAX(0,I100-J100)*Dashboard!$F$6,0)</x:f>
      </x:c>
      <x:c r="L100" s="32" t="e">
        <x:f>IF(A100&lt;=Dashboard!$F$17,MIN(Dashboard!$F$10,MAX(0,I100-J100)+K100),0)</x:f>
      </x:c>
      <x:c r="M100" s="32" t="e">
        <x:f>IF(A100&lt;=Dashboard!$F$17,MAX(0,I100-J100-MAX(0,L100-K100)),0)</x:f>
      </x:c>
      <x:c r="N100" s="32" t="e">
        <x:f>IF(A100=1,K100,N99+K100)</x:f>
      </x:c>
      <x:c r="O100" s="32"/>
      <x:c r="P100" s="32" t="e">
        <x:f>IF(A100=1,Dashboard!$F$14,T99)</x:f>
      </x:c>
      <x:c r="Q100" s="32" t="e">
        <x:f>IF(A100&lt;=Dashboard!$F$17,MIN(P100,$B$6*52/12),0)</x:f>
      </x:c>
      <x:c r="R100" s="32" t="e">
        <x:f>IF(A100&lt;=Dashboard!$F$17,MAX(0,P100-Q100)*Dashboard!$F$6,0)</x:f>
      </x:c>
      <x:c r="S100" s="32" t="e">
        <x:f>IF(A100&lt;=Dashboard!$F$17,MIN(Dashboard!$F$10,MAX(0,P100-Q100)+R100),0)</x:f>
      </x:c>
      <x:c r="T100" s="32" t="e">
        <x:f>IF(A100&lt;=Dashboard!$F$17,MAX(0,P100-Q100-MAX(0,S100-R100)),0)</x:f>
      </x:c>
      <x:c r="U100" s="32" t="e">
        <x:f>IF(A100=1,R100,U99+R100)</x:f>
      </x:c>
      <x:c r="V100" s="32"/>
      <x:c r="W100" s="32" t="e">
        <x:f>IF(A100=1,Dashboard!$F$14,AA99)</x:f>
      </x:c>
      <x:c r="X100" s="32" t="e">
        <x:f>IF(AND(A100&lt;=Dashboard!$F$17,MOD(A100-1,12)=0),MIN(W100,$B$7),0)</x:f>
      </x:c>
      <x:c r="Y100" s="32" t="e">
        <x:f>IF(A100&lt;=Dashboard!$F$17,MAX(0,W100-X100)*Dashboard!$F$6,0)</x:f>
      </x:c>
      <x:c r="Z100" s="32" t="e">
        <x:f>IF(A100&lt;=Dashboard!$F$17,MIN(Dashboard!$F$10,MAX(0,W100-X100)+Y100),0)</x:f>
      </x:c>
      <x:c r="AA100" s="32" t="e">
        <x:f>IF(A100&lt;=Dashboard!$F$17,MAX(0,W100-X100-MAX(0,Z100-Y100)),0)</x:f>
      </x:c>
      <x:c r="AB100" s="32" t="e">
        <x:f>IF(A100=1,Y100,AB99+Y100)</x:f>
      </x:c>
      <x:c r="AC100" s="32"/>
      <x:c r="AD100" s="32" t="e">
        <x:f>IF(A100=1,MAX(0,Dashboard!$F$14-$B$8),AG99)</x:f>
      </x:c>
      <x:c r="AE100" s="32" t="n">
        <x:f>0</x:f>
        <x:v>0</x:v>
      </x:c>
      <x:c r="AF100" s="32" t="e">
        <x:f>IF(A100&lt;=Dashboard!$F$17,AD100*Dashboard!$F$6,0)</x:f>
      </x:c>
      <x:c r="AG100" s="32" t="e">
        <x:f>IF(A100&lt;=Dashboard!$F$17,MIN(Dashboard!$F$10,AD100+AF100),0)</x:f>
      </x:c>
      <x:c r="AH100" s="32" t="e">
        <x:f>IF(A100&lt;=Dashboard!$F$17,MAX(0,AD100-MAX(0,AG100-AF100)),0)</x:f>
      </x:c>
      <x:c r="AI100" s="32" t="e">
        <x:f>IF(A100=1,AF100,AI99+AF100)</x:f>
      </x:c>
      <x:c r="AJ100" s="33"/>
      <x:c r="AK100" s="33"/>
      <x:c r="AL100" s="33"/>
      <x:c r="AM100" s="33"/>
    </x:row>
    <x:row r="101">
      <x:c r="A101" s="33" t="n">
        <x:v>89</x:v>
      </x:c>
      <x:c r="B101" s="32" t="e">
        <x:f>IF(A101=1,Dashboard!$F$14,F100)</x:f>
      </x:c>
      <x:c r="C101" s="32" t="n">
        <x:f>0</x:f>
        <x:v>0</x:v>
      </x:c>
      <x:c r="D101" s="32" t="e">
        <x:f>IF(A101&lt;=Dashboard!$F$15,B101*Dashboard!$F$6,0)</x:f>
      </x:c>
      <x:c r="E101" s="32" t="e">
        <x:f>IF(A101&lt;=Dashboard!$F$15,MIN(Dashboard!$F$10,B101+D101),0)</x:f>
      </x:c>
      <x:c r="F101" s="32" t="e">
        <x:f>IF(A101&lt;=Dashboard!$F$15,MAX(0,B101-MAX(0,E101-D101)),0)</x:f>
      </x:c>
      <x:c r="G101" s="32" t="e">
        <x:f>IF(A101=1,D101,G100+D101)</x:f>
      </x:c>
      <x:c r="H101" s="32"/>
      <x:c r="I101" s="32" t="e">
        <x:f>IF(A101=1,Dashboard!$F$14,M100)</x:f>
      </x:c>
      <x:c r="J101" s="32" t="e">
        <x:f>IF(A101&lt;=Dashboard!$F$17,MIN(I101,$B$5),0)</x:f>
      </x:c>
      <x:c r="K101" s="32" t="e">
        <x:f>IF(A101&lt;=Dashboard!$F$17,MAX(0,I101-J101)*Dashboard!$F$6,0)</x:f>
      </x:c>
      <x:c r="L101" s="32" t="e">
        <x:f>IF(A101&lt;=Dashboard!$F$17,MIN(Dashboard!$F$10,MAX(0,I101-J101)+K101),0)</x:f>
      </x:c>
      <x:c r="M101" s="32" t="e">
        <x:f>IF(A101&lt;=Dashboard!$F$17,MAX(0,I101-J101-MAX(0,L101-K101)),0)</x:f>
      </x:c>
      <x:c r="N101" s="32" t="e">
        <x:f>IF(A101=1,K101,N100+K101)</x:f>
      </x:c>
      <x:c r="O101" s="32"/>
      <x:c r="P101" s="32" t="e">
        <x:f>IF(A101=1,Dashboard!$F$14,T100)</x:f>
      </x:c>
      <x:c r="Q101" s="32" t="e">
        <x:f>IF(A101&lt;=Dashboard!$F$17,MIN(P101,$B$6*52/12),0)</x:f>
      </x:c>
      <x:c r="R101" s="32" t="e">
        <x:f>IF(A101&lt;=Dashboard!$F$17,MAX(0,P101-Q101)*Dashboard!$F$6,0)</x:f>
      </x:c>
      <x:c r="S101" s="32" t="e">
        <x:f>IF(A101&lt;=Dashboard!$F$17,MIN(Dashboard!$F$10,MAX(0,P101-Q101)+R101),0)</x:f>
      </x:c>
      <x:c r="T101" s="32" t="e">
        <x:f>IF(A101&lt;=Dashboard!$F$17,MAX(0,P101-Q101-MAX(0,S101-R101)),0)</x:f>
      </x:c>
      <x:c r="U101" s="32" t="e">
        <x:f>IF(A101=1,R101,U100+R101)</x:f>
      </x:c>
      <x:c r="V101" s="32"/>
      <x:c r="W101" s="32" t="e">
        <x:f>IF(A101=1,Dashboard!$F$14,AA100)</x:f>
      </x:c>
      <x:c r="X101" s="32" t="e">
        <x:f>IF(AND(A101&lt;=Dashboard!$F$17,MOD(A101-1,12)=0),MIN(W101,$B$7),0)</x:f>
      </x:c>
      <x:c r="Y101" s="32" t="e">
        <x:f>IF(A101&lt;=Dashboard!$F$17,MAX(0,W101-X101)*Dashboard!$F$6,0)</x:f>
      </x:c>
      <x:c r="Z101" s="32" t="e">
        <x:f>IF(A101&lt;=Dashboard!$F$17,MIN(Dashboard!$F$10,MAX(0,W101-X101)+Y101),0)</x:f>
      </x:c>
      <x:c r="AA101" s="32" t="e">
        <x:f>IF(A101&lt;=Dashboard!$F$17,MAX(0,W101-X101-MAX(0,Z101-Y101)),0)</x:f>
      </x:c>
      <x:c r="AB101" s="32" t="e">
        <x:f>IF(A101=1,Y101,AB100+Y101)</x:f>
      </x:c>
      <x:c r="AC101" s="32"/>
      <x:c r="AD101" s="32" t="e">
        <x:f>IF(A101=1,MAX(0,Dashboard!$F$14-$B$8),AG100)</x:f>
      </x:c>
      <x:c r="AE101" s="32" t="n">
        <x:f>0</x:f>
        <x:v>0</x:v>
      </x:c>
      <x:c r="AF101" s="32" t="e">
        <x:f>IF(A101&lt;=Dashboard!$F$17,AD101*Dashboard!$F$6,0)</x:f>
      </x:c>
      <x:c r="AG101" s="32" t="e">
        <x:f>IF(A101&lt;=Dashboard!$F$17,MIN(Dashboard!$F$10,AD101+AF101),0)</x:f>
      </x:c>
      <x:c r="AH101" s="32" t="e">
        <x:f>IF(A101&lt;=Dashboard!$F$17,MAX(0,AD101-MAX(0,AG101-AF101)),0)</x:f>
      </x:c>
      <x:c r="AI101" s="32" t="e">
        <x:f>IF(A101=1,AF101,AI100+AF101)</x:f>
      </x:c>
      <x:c r="AJ101" s="33"/>
      <x:c r="AK101" s="33"/>
      <x:c r="AL101" s="33"/>
      <x:c r="AM101" s="33"/>
    </x:row>
    <x:row r="102">
      <x:c r="A102" s="33" t="n">
        <x:v>90</x:v>
      </x:c>
      <x:c r="B102" s="32" t="e">
        <x:f>IF(A102=1,Dashboard!$F$14,F101)</x:f>
      </x:c>
      <x:c r="C102" s="32" t="n">
        <x:f>0</x:f>
        <x:v>0</x:v>
      </x:c>
      <x:c r="D102" s="32" t="e">
        <x:f>IF(A102&lt;=Dashboard!$F$15,B102*Dashboard!$F$6,0)</x:f>
      </x:c>
      <x:c r="E102" s="32" t="e">
        <x:f>IF(A102&lt;=Dashboard!$F$15,MIN(Dashboard!$F$10,B102+D102),0)</x:f>
      </x:c>
      <x:c r="F102" s="32" t="e">
        <x:f>IF(A102&lt;=Dashboard!$F$15,MAX(0,B102-MAX(0,E102-D102)),0)</x:f>
      </x:c>
      <x:c r="G102" s="32" t="e">
        <x:f>IF(A102=1,D102,G101+D102)</x:f>
      </x:c>
      <x:c r="H102" s="32"/>
      <x:c r="I102" s="32" t="e">
        <x:f>IF(A102=1,Dashboard!$F$14,M101)</x:f>
      </x:c>
      <x:c r="J102" s="32" t="e">
        <x:f>IF(A102&lt;=Dashboard!$F$17,MIN(I102,$B$5),0)</x:f>
      </x:c>
      <x:c r="K102" s="32" t="e">
        <x:f>IF(A102&lt;=Dashboard!$F$17,MAX(0,I102-J102)*Dashboard!$F$6,0)</x:f>
      </x:c>
      <x:c r="L102" s="32" t="e">
        <x:f>IF(A102&lt;=Dashboard!$F$17,MIN(Dashboard!$F$10,MAX(0,I102-J102)+K102),0)</x:f>
      </x:c>
      <x:c r="M102" s="32" t="e">
        <x:f>IF(A102&lt;=Dashboard!$F$17,MAX(0,I102-J102-MAX(0,L102-K102)),0)</x:f>
      </x:c>
      <x:c r="N102" s="32" t="e">
        <x:f>IF(A102=1,K102,N101+K102)</x:f>
      </x:c>
      <x:c r="O102" s="32"/>
      <x:c r="P102" s="32" t="e">
        <x:f>IF(A102=1,Dashboard!$F$14,T101)</x:f>
      </x:c>
      <x:c r="Q102" s="32" t="e">
        <x:f>IF(A102&lt;=Dashboard!$F$17,MIN(P102,$B$6*52/12),0)</x:f>
      </x:c>
      <x:c r="R102" s="32" t="e">
        <x:f>IF(A102&lt;=Dashboard!$F$17,MAX(0,P102-Q102)*Dashboard!$F$6,0)</x:f>
      </x:c>
      <x:c r="S102" s="32" t="e">
        <x:f>IF(A102&lt;=Dashboard!$F$17,MIN(Dashboard!$F$10,MAX(0,P102-Q102)+R102),0)</x:f>
      </x:c>
      <x:c r="T102" s="32" t="e">
        <x:f>IF(A102&lt;=Dashboard!$F$17,MAX(0,P102-Q102-MAX(0,S102-R102)),0)</x:f>
      </x:c>
      <x:c r="U102" s="32" t="e">
        <x:f>IF(A102=1,R102,U101+R102)</x:f>
      </x:c>
      <x:c r="V102" s="32"/>
      <x:c r="W102" s="32" t="e">
        <x:f>IF(A102=1,Dashboard!$F$14,AA101)</x:f>
      </x:c>
      <x:c r="X102" s="32" t="e">
        <x:f>IF(AND(A102&lt;=Dashboard!$F$17,MOD(A102-1,12)=0),MIN(W102,$B$7),0)</x:f>
      </x:c>
      <x:c r="Y102" s="32" t="e">
        <x:f>IF(A102&lt;=Dashboard!$F$17,MAX(0,W102-X102)*Dashboard!$F$6,0)</x:f>
      </x:c>
      <x:c r="Z102" s="32" t="e">
        <x:f>IF(A102&lt;=Dashboard!$F$17,MIN(Dashboard!$F$10,MAX(0,W102-X102)+Y102),0)</x:f>
      </x:c>
      <x:c r="AA102" s="32" t="e">
        <x:f>IF(A102&lt;=Dashboard!$F$17,MAX(0,W102-X102-MAX(0,Z102-Y102)),0)</x:f>
      </x:c>
      <x:c r="AB102" s="32" t="e">
        <x:f>IF(A102=1,Y102,AB101+Y102)</x:f>
      </x:c>
      <x:c r="AC102" s="32"/>
      <x:c r="AD102" s="32" t="e">
        <x:f>IF(A102=1,MAX(0,Dashboard!$F$14-$B$8),AG101)</x:f>
      </x:c>
      <x:c r="AE102" s="32" t="n">
        <x:f>0</x:f>
        <x:v>0</x:v>
      </x:c>
      <x:c r="AF102" s="32" t="e">
        <x:f>IF(A102&lt;=Dashboard!$F$17,AD102*Dashboard!$F$6,0)</x:f>
      </x:c>
      <x:c r="AG102" s="32" t="e">
        <x:f>IF(A102&lt;=Dashboard!$F$17,MIN(Dashboard!$F$10,AD102+AF102),0)</x:f>
      </x:c>
      <x:c r="AH102" s="32" t="e">
        <x:f>IF(A102&lt;=Dashboard!$F$17,MAX(0,AD102-MAX(0,AG102-AF102)),0)</x:f>
      </x:c>
      <x:c r="AI102" s="32" t="e">
        <x:f>IF(A102=1,AF102,AI101+AF102)</x:f>
      </x:c>
      <x:c r="AJ102" s="33"/>
      <x:c r="AK102" s="33"/>
      <x:c r="AL102" s="33"/>
      <x:c r="AM102" s="33"/>
    </x:row>
    <x:row r="103">
      <x:c r="A103" s="33" t="n">
        <x:v>91</x:v>
      </x:c>
      <x:c r="B103" s="32" t="e">
        <x:f>IF(A103=1,Dashboard!$F$14,F102)</x:f>
      </x:c>
      <x:c r="C103" s="32" t="n">
        <x:f>0</x:f>
        <x:v>0</x:v>
      </x:c>
      <x:c r="D103" s="32" t="e">
        <x:f>IF(A103&lt;=Dashboard!$F$15,B103*Dashboard!$F$6,0)</x:f>
      </x:c>
      <x:c r="E103" s="32" t="e">
        <x:f>IF(A103&lt;=Dashboard!$F$15,MIN(Dashboard!$F$10,B103+D103),0)</x:f>
      </x:c>
      <x:c r="F103" s="32" t="e">
        <x:f>IF(A103&lt;=Dashboard!$F$15,MAX(0,B103-MAX(0,E103-D103)),0)</x:f>
      </x:c>
      <x:c r="G103" s="32" t="e">
        <x:f>IF(A103=1,D103,G102+D103)</x:f>
      </x:c>
      <x:c r="H103" s="32"/>
      <x:c r="I103" s="32" t="e">
        <x:f>IF(A103=1,Dashboard!$F$14,M102)</x:f>
      </x:c>
      <x:c r="J103" s="32" t="e">
        <x:f>IF(A103&lt;=Dashboard!$F$17,MIN(I103,$B$5),0)</x:f>
      </x:c>
      <x:c r="K103" s="32" t="e">
        <x:f>IF(A103&lt;=Dashboard!$F$17,MAX(0,I103-J103)*Dashboard!$F$6,0)</x:f>
      </x:c>
      <x:c r="L103" s="32" t="e">
        <x:f>IF(A103&lt;=Dashboard!$F$17,MIN(Dashboard!$F$10,MAX(0,I103-J103)+K103),0)</x:f>
      </x:c>
      <x:c r="M103" s="32" t="e">
        <x:f>IF(A103&lt;=Dashboard!$F$17,MAX(0,I103-J103-MAX(0,L103-K103)),0)</x:f>
      </x:c>
      <x:c r="N103" s="32" t="e">
        <x:f>IF(A103=1,K103,N102+K103)</x:f>
      </x:c>
      <x:c r="O103" s="32"/>
      <x:c r="P103" s="32" t="e">
        <x:f>IF(A103=1,Dashboard!$F$14,T102)</x:f>
      </x:c>
      <x:c r="Q103" s="32" t="e">
        <x:f>IF(A103&lt;=Dashboard!$F$17,MIN(P103,$B$6*52/12),0)</x:f>
      </x:c>
      <x:c r="R103" s="32" t="e">
        <x:f>IF(A103&lt;=Dashboard!$F$17,MAX(0,P103-Q103)*Dashboard!$F$6,0)</x:f>
      </x:c>
      <x:c r="S103" s="32" t="e">
        <x:f>IF(A103&lt;=Dashboard!$F$17,MIN(Dashboard!$F$10,MAX(0,P103-Q103)+R103),0)</x:f>
      </x:c>
      <x:c r="T103" s="32" t="e">
        <x:f>IF(A103&lt;=Dashboard!$F$17,MAX(0,P103-Q103-MAX(0,S103-R103)),0)</x:f>
      </x:c>
      <x:c r="U103" s="32" t="e">
        <x:f>IF(A103=1,R103,U102+R103)</x:f>
      </x:c>
      <x:c r="V103" s="32"/>
      <x:c r="W103" s="32" t="e">
        <x:f>IF(A103=1,Dashboard!$F$14,AA102)</x:f>
      </x:c>
      <x:c r="X103" s="32" t="e">
        <x:f>IF(AND(A103&lt;=Dashboard!$F$17,MOD(A103-1,12)=0),MIN(W103,$B$7),0)</x:f>
      </x:c>
      <x:c r="Y103" s="32" t="e">
        <x:f>IF(A103&lt;=Dashboard!$F$17,MAX(0,W103-X103)*Dashboard!$F$6,0)</x:f>
      </x:c>
      <x:c r="Z103" s="32" t="e">
        <x:f>IF(A103&lt;=Dashboard!$F$17,MIN(Dashboard!$F$10,MAX(0,W103-X103)+Y103),0)</x:f>
      </x:c>
      <x:c r="AA103" s="32" t="e">
        <x:f>IF(A103&lt;=Dashboard!$F$17,MAX(0,W103-X103-MAX(0,Z103-Y103)),0)</x:f>
      </x:c>
      <x:c r="AB103" s="32" t="e">
        <x:f>IF(A103=1,Y103,AB102+Y103)</x:f>
      </x:c>
      <x:c r="AC103" s="32"/>
      <x:c r="AD103" s="32" t="e">
        <x:f>IF(A103=1,MAX(0,Dashboard!$F$14-$B$8),AG102)</x:f>
      </x:c>
      <x:c r="AE103" s="32" t="n">
        <x:f>0</x:f>
        <x:v>0</x:v>
      </x:c>
      <x:c r="AF103" s="32" t="e">
        <x:f>IF(A103&lt;=Dashboard!$F$17,AD103*Dashboard!$F$6,0)</x:f>
      </x:c>
      <x:c r="AG103" s="32" t="e">
        <x:f>IF(A103&lt;=Dashboard!$F$17,MIN(Dashboard!$F$10,AD103+AF103),0)</x:f>
      </x:c>
      <x:c r="AH103" s="32" t="e">
        <x:f>IF(A103&lt;=Dashboard!$F$17,MAX(0,AD103-MAX(0,AG103-AF103)),0)</x:f>
      </x:c>
      <x:c r="AI103" s="32" t="e">
        <x:f>IF(A103=1,AF103,AI102+AF103)</x:f>
      </x:c>
      <x:c r="AJ103" s="33"/>
      <x:c r="AK103" s="33"/>
      <x:c r="AL103" s="33"/>
      <x:c r="AM103" s="33"/>
    </x:row>
    <x:row r="104">
      <x:c r="A104" s="33" t="n">
        <x:v>92</x:v>
      </x:c>
      <x:c r="B104" s="32" t="e">
        <x:f>IF(A104=1,Dashboard!$F$14,F103)</x:f>
      </x:c>
      <x:c r="C104" s="32" t="n">
        <x:f>0</x:f>
        <x:v>0</x:v>
      </x:c>
      <x:c r="D104" s="32" t="e">
        <x:f>IF(A104&lt;=Dashboard!$F$15,B104*Dashboard!$F$6,0)</x:f>
      </x:c>
      <x:c r="E104" s="32" t="e">
        <x:f>IF(A104&lt;=Dashboard!$F$15,MIN(Dashboard!$F$10,B104+D104),0)</x:f>
      </x:c>
      <x:c r="F104" s="32" t="e">
        <x:f>IF(A104&lt;=Dashboard!$F$15,MAX(0,B104-MAX(0,E104-D104)),0)</x:f>
      </x:c>
      <x:c r="G104" s="32" t="e">
        <x:f>IF(A104=1,D104,G103+D104)</x:f>
      </x:c>
      <x:c r="H104" s="32"/>
      <x:c r="I104" s="32" t="e">
        <x:f>IF(A104=1,Dashboard!$F$14,M103)</x:f>
      </x:c>
      <x:c r="J104" s="32" t="e">
        <x:f>IF(A104&lt;=Dashboard!$F$17,MIN(I104,$B$5),0)</x:f>
      </x:c>
      <x:c r="K104" s="32" t="e">
        <x:f>IF(A104&lt;=Dashboard!$F$17,MAX(0,I104-J104)*Dashboard!$F$6,0)</x:f>
      </x:c>
      <x:c r="L104" s="32" t="e">
        <x:f>IF(A104&lt;=Dashboard!$F$17,MIN(Dashboard!$F$10,MAX(0,I104-J104)+K104),0)</x:f>
      </x:c>
      <x:c r="M104" s="32" t="e">
        <x:f>IF(A104&lt;=Dashboard!$F$17,MAX(0,I104-J104-MAX(0,L104-K104)),0)</x:f>
      </x:c>
      <x:c r="N104" s="32" t="e">
        <x:f>IF(A104=1,K104,N103+K104)</x:f>
      </x:c>
      <x:c r="O104" s="32"/>
      <x:c r="P104" s="32" t="e">
        <x:f>IF(A104=1,Dashboard!$F$14,T103)</x:f>
      </x:c>
      <x:c r="Q104" s="32" t="e">
        <x:f>IF(A104&lt;=Dashboard!$F$17,MIN(P104,$B$6*52/12),0)</x:f>
      </x:c>
      <x:c r="R104" s="32" t="e">
        <x:f>IF(A104&lt;=Dashboard!$F$17,MAX(0,P104-Q104)*Dashboard!$F$6,0)</x:f>
      </x:c>
      <x:c r="S104" s="32" t="e">
        <x:f>IF(A104&lt;=Dashboard!$F$17,MIN(Dashboard!$F$10,MAX(0,P104-Q104)+R104),0)</x:f>
      </x:c>
      <x:c r="T104" s="32" t="e">
        <x:f>IF(A104&lt;=Dashboard!$F$17,MAX(0,P104-Q104-MAX(0,S104-R104)),0)</x:f>
      </x:c>
      <x:c r="U104" s="32" t="e">
        <x:f>IF(A104=1,R104,U103+R104)</x:f>
      </x:c>
      <x:c r="V104" s="32"/>
      <x:c r="W104" s="32" t="e">
        <x:f>IF(A104=1,Dashboard!$F$14,AA103)</x:f>
      </x:c>
      <x:c r="X104" s="32" t="e">
        <x:f>IF(AND(A104&lt;=Dashboard!$F$17,MOD(A104-1,12)=0),MIN(W104,$B$7),0)</x:f>
      </x:c>
      <x:c r="Y104" s="32" t="e">
        <x:f>IF(A104&lt;=Dashboard!$F$17,MAX(0,W104-X104)*Dashboard!$F$6,0)</x:f>
      </x:c>
      <x:c r="Z104" s="32" t="e">
        <x:f>IF(A104&lt;=Dashboard!$F$17,MIN(Dashboard!$F$10,MAX(0,W104-X104)+Y104),0)</x:f>
      </x:c>
      <x:c r="AA104" s="32" t="e">
        <x:f>IF(A104&lt;=Dashboard!$F$17,MAX(0,W104-X104-MAX(0,Z104-Y104)),0)</x:f>
      </x:c>
      <x:c r="AB104" s="32" t="e">
        <x:f>IF(A104=1,Y104,AB103+Y104)</x:f>
      </x:c>
      <x:c r="AC104" s="32"/>
      <x:c r="AD104" s="32" t="e">
        <x:f>IF(A104=1,MAX(0,Dashboard!$F$14-$B$8),AG103)</x:f>
      </x:c>
      <x:c r="AE104" s="32" t="n">
        <x:f>0</x:f>
        <x:v>0</x:v>
      </x:c>
      <x:c r="AF104" s="32" t="e">
        <x:f>IF(A104&lt;=Dashboard!$F$17,AD104*Dashboard!$F$6,0)</x:f>
      </x:c>
      <x:c r="AG104" s="32" t="e">
        <x:f>IF(A104&lt;=Dashboard!$F$17,MIN(Dashboard!$F$10,AD104+AF104),0)</x:f>
      </x:c>
      <x:c r="AH104" s="32" t="e">
        <x:f>IF(A104&lt;=Dashboard!$F$17,MAX(0,AD104-MAX(0,AG104-AF104)),0)</x:f>
      </x:c>
      <x:c r="AI104" s="32" t="e">
        <x:f>IF(A104=1,AF104,AI103+AF104)</x:f>
      </x:c>
      <x:c r="AJ104" s="33"/>
      <x:c r="AK104" s="33"/>
      <x:c r="AL104" s="33"/>
      <x:c r="AM104" s="33"/>
    </x:row>
    <x:row r="105">
      <x:c r="A105" s="33" t="n">
        <x:v>93</x:v>
      </x:c>
      <x:c r="B105" s="32" t="e">
        <x:f>IF(A105=1,Dashboard!$F$14,F104)</x:f>
      </x:c>
      <x:c r="C105" s="32" t="n">
        <x:f>0</x:f>
        <x:v>0</x:v>
      </x:c>
      <x:c r="D105" s="32" t="e">
        <x:f>IF(A105&lt;=Dashboard!$F$15,B105*Dashboard!$F$6,0)</x:f>
      </x:c>
      <x:c r="E105" s="32" t="e">
        <x:f>IF(A105&lt;=Dashboard!$F$15,MIN(Dashboard!$F$10,B105+D105),0)</x:f>
      </x:c>
      <x:c r="F105" s="32" t="e">
        <x:f>IF(A105&lt;=Dashboard!$F$15,MAX(0,B105-MAX(0,E105-D105)),0)</x:f>
      </x:c>
      <x:c r="G105" s="32" t="e">
        <x:f>IF(A105=1,D105,G104+D105)</x:f>
      </x:c>
      <x:c r="H105" s="32"/>
      <x:c r="I105" s="32" t="e">
        <x:f>IF(A105=1,Dashboard!$F$14,M104)</x:f>
      </x:c>
      <x:c r="J105" s="32" t="e">
        <x:f>IF(A105&lt;=Dashboard!$F$17,MIN(I105,$B$5),0)</x:f>
      </x:c>
      <x:c r="K105" s="32" t="e">
        <x:f>IF(A105&lt;=Dashboard!$F$17,MAX(0,I105-J105)*Dashboard!$F$6,0)</x:f>
      </x:c>
      <x:c r="L105" s="32" t="e">
        <x:f>IF(A105&lt;=Dashboard!$F$17,MIN(Dashboard!$F$10,MAX(0,I105-J105)+K105),0)</x:f>
      </x:c>
      <x:c r="M105" s="32" t="e">
        <x:f>IF(A105&lt;=Dashboard!$F$17,MAX(0,I105-J105-MAX(0,L105-K105)),0)</x:f>
      </x:c>
      <x:c r="N105" s="32" t="e">
        <x:f>IF(A105=1,K105,N104+K105)</x:f>
      </x:c>
      <x:c r="O105" s="32"/>
      <x:c r="P105" s="32" t="e">
        <x:f>IF(A105=1,Dashboard!$F$14,T104)</x:f>
      </x:c>
      <x:c r="Q105" s="32" t="e">
        <x:f>IF(A105&lt;=Dashboard!$F$17,MIN(P105,$B$6*52/12),0)</x:f>
      </x:c>
      <x:c r="R105" s="32" t="e">
        <x:f>IF(A105&lt;=Dashboard!$F$17,MAX(0,P105-Q105)*Dashboard!$F$6,0)</x:f>
      </x:c>
      <x:c r="S105" s="32" t="e">
        <x:f>IF(A105&lt;=Dashboard!$F$17,MIN(Dashboard!$F$10,MAX(0,P105-Q105)+R105),0)</x:f>
      </x:c>
      <x:c r="T105" s="32" t="e">
        <x:f>IF(A105&lt;=Dashboard!$F$17,MAX(0,P105-Q105-MAX(0,S105-R105)),0)</x:f>
      </x:c>
      <x:c r="U105" s="32" t="e">
        <x:f>IF(A105=1,R105,U104+R105)</x:f>
      </x:c>
      <x:c r="V105" s="32"/>
      <x:c r="W105" s="32" t="e">
        <x:f>IF(A105=1,Dashboard!$F$14,AA104)</x:f>
      </x:c>
      <x:c r="X105" s="32" t="e">
        <x:f>IF(AND(A105&lt;=Dashboard!$F$17,MOD(A105-1,12)=0),MIN(W105,$B$7),0)</x:f>
      </x:c>
      <x:c r="Y105" s="32" t="e">
        <x:f>IF(A105&lt;=Dashboard!$F$17,MAX(0,W105-X105)*Dashboard!$F$6,0)</x:f>
      </x:c>
      <x:c r="Z105" s="32" t="e">
        <x:f>IF(A105&lt;=Dashboard!$F$17,MIN(Dashboard!$F$10,MAX(0,W105-X105)+Y105),0)</x:f>
      </x:c>
      <x:c r="AA105" s="32" t="e">
        <x:f>IF(A105&lt;=Dashboard!$F$17,MAX(0,W105-X105-MAX(0,Z105-Y105)),0)</x:f>
      </x:c>
      <x:c r="AB105" s="32" t="e">
        <x:f>IF(A105=1,Y105,AB104+Y105)</x:f>
      </x:c>
      <x:c r="AC105" s="32"/>
      <x:c r="AD105" s="32" t="e">
        <x:f>IF(A105=1,MAX(0,Dashboard!$F$14-$B$8),AG104)</x:f>
      </x:c>
      <x:c r="AE105" s="32" t="n">
        <x:f>0</x:f>
        <x:v>0</x:v>
      </x:c>
      <x:c r="AF105" s="32" t="e">
        <x:f>IF(A105&lt;=Dashboard!$F$17,AD105*Dashboard!$F$6,0)</x:f>
      </x:c>
      <x:c r="AG105" s="32" t="e">
        <x:f>IF(A105&lt;=Dashboard!$F$17,MIN(Dashboard!$F$10,AD105+AF105),0)</x:f>
      </x:c>
      <x:c r="AH105" s="32" t="e">
        <x:f>IF(A105&lt;=Dashboard!$F$17,MAX(0,AD105-MAX(0,AG105-AF105)),0)</x:f>
      </x:c>
      <x:c r="AI105" s="32" t="e">
        <x:f>IF(A105=1,AF105,AI104+AF105)</x:f>
      </x:c>
      <x:c r="AJ105" s="33"/>
      <x:c r="AK105" s="33"/>
      <x:c r="AL105" s="33"/>
      <x:c r="AM105" s="33"/>
    </x:row>
    <x:row r="106">
      <x:c r="A106" s="33" t="n">
        <x:v>94</x:v>
      </x:c>
      <x:c r="B106" s="32" t="e">
        <x:f>IF(A106=1,Dashboard!$F$14,F105)</x:f>
      </x:c>
      <x:c r="C106" s="32" t="n">
        <x:f>0</x:f>
        <x:v>0</x:v>
      </x:c>
      <x:c r="D106" s="32" t="e">
        <x:f>IF(A106&lt;=Dashboard!$F$15,B106*Dashboard!$F$6,0)</x:f>
      </x:c>
      <x:c r="E106" s="32" t="e">
        <x:f>IF(A106&lt;=Dashboard!$F$15,MIN(Dashboard!$F$10,B106+D106),0)</x:f>
      </x:c>
      <x:c r="F106" s="32" t="e">
        <x:f>IF(A106&lt;=Dashboard!$F$15,MAX(0,B106-MAX(0,E106-D106)),0)</x:f>
      </x:c>
      <x:c r="G106" s="32" t="e">
        <x:f>IF(A106=1,D106,G105+D106)</x:f>
      </x:c>
      <x:c r="H106" s="32"/>
      <x:c r="I106" s="32" t="e">
        <x:f>IF(A106=1,Dashboard!$F$14,M105)</x:f>
      </x:c>
      <x:c r="J106" s="32" t="e">
        <x:f>IF(A106&lt;=Dashboard!$F$17,MIN(I106,$B$5),0)</x:f>
      </x:c>
      <x:c r="K106" s="32" t="e">
        <x:f>IF(A106&lt;=Dashboard!$F$17,MAX(0,I106-J106)*Dashboard!$F$6,0)</x:f>
      </x:c>
      <x:c r="L106" s="32" t="e">
        <x:f>IF(A106&lt;=Dashboard!$F$17,MIN(Dashboard!$F$10,MAX(0,I106-J106)+K106),0)</x:f>
      </x:c>
      <x:c r="M106" s="32" t="e">
        <x:f>IF(A106&lt;=Dashboard!$F$17,MAX(0,I106-J106-MAX(0,L106-K106)),0)</x:f>
      </x:c>
      <x:c r="N106" s="32" t="e">
        <x:f>IF(A106=1,K106,N105+K106)</x:f>
      </x:c>
      <x:c r="O106" s="32"/>
      <x:c r="P106" s="32" t="e">
        <x:f>IF(A106=1,Dashboard!$F$14,T105)</x:f>
      </x:c>
      <x:c r="Q106" s="32" t="e">
        <x:f>IF(A106&lt;=Dashboard!$F$17,MIN(P106,$B$6*52/12),0)</x:f>
      </x:c>
      <x:c r="R106" s="32" t="e">
        <x:f>IF(A106&lt;=Dashboard!$F$17,MAX(0,P106-Q106)*Dashboard!$F$6,0)</x:f>
      </x:c>
      <x:c r="S106" s="32" t="e">
        <x:f>IF(A106&lt;=Dashboard!$F$17,MIN(Dashboard!$F$10,MAX(0,P106-Q106)+R106),0)</x:f>
      </x:c>
      <x:c r="T106" s="32" t="e">
        <x:f>IF(A106&lt;=Dashboard!$F$17,MAX(0,P106-Q106-MAX(0,S106-R106)),0)</x:f>
      </x:c>
      <x:c r="U106" s="32" t="e">
        <x:f>IF(A106=1,R106,U105+R106)</x:f>
      </x:c>
      <x:c r="V106" s="32"/>
      <x:c r="W106" s="32" t="e">
        <x:f>IF(A106=1,Dashboard!$F$14,AA105)</x:f>
      </x:c>
      <x:c r="X106" s="32" t="e">
        <x:f>IF(AND(A106&lt;=Dashboard!$F$17,MOD(A106-1,12)=0),MIN(W106,$B$7),0)</x:f>
      </x:c>
      <x:c r="Y106" s="32" t="e">
        <x:f>IF(A106&lt;=Dashboard!$F$17,MAX(0,W106-X106)*Dashboard!$F$6,0)</x:f>
      </x:c>
      <x:c r="Z106" s="32" t="e">
        <x:f>IF(A106&lt;=Dashboard!$F$17,MIN(Dashboard!$F$10,MAX(0,W106-X106)+Y106),0)</x:f>
      </x:c>
      <x:c r="AA106" s="32" t="e">
        <x:f>IF(A106&lt;=Dashboard!$F$17,MAX(0,W106-X106-MAX(0,Z106-Y106)),0)</x:f>
      </x:c>
      <x:c r="AB106" s="32" t="e">
        <x:f>IF(A106=1,Y106,AB105+Y106)</x:f>
      </x:c>
      <x:c r="AC106" s="32"/>
      <x:c r="AD106" s="32" t="e">
        <x:f>IF(A106=1,MAX(0,Dashboard!$F$14-$B$8),AG105)</x:f>
      </x:c>
      <x:c r="AE106" s="32" t="n">
        <x:f>0</x:f>
        <x:v>0</x:v>
      </x:c>
      <x:c r="AF106" s="32" t="e">
        <x:f>IF(A106&lt;=Dashboard!$F$17,AD106*Dashboard!$F$6,0)</x:f>
      </x:c>
      <x:c r="AG106" s="32" t="e">
        <x:f>IF(A106&lt;=Dashboard!$F$17,MIN(Dashboard!$F$10,AD106+AF106),0)</x:f>
      </x:c>
      <x:c r="AH106" s="32" t="e">
        <x:f>IF(A106&lt;=Dashboard!$F$17,MAX(0,AD106-MAX(0,AG106-AF106)),0)</x:f>
      </x:c>
      <x:c r="AI106" s="32" t="e">
        <x:f>IF(A106=1,AF106,AI105+AF106)</x:f>
      </x:c>
      <x:c r="AJ106" s="33"/>
      <x:c r="AK106" s="33"/>
      <x:c r="AL106" s="33"/>
      <x:c r="AM106" s="33"/>
    </x:row>
    <x:row r="107">
      <x:c r="A107" s="33" t="n">
        <x:v>95</x:v>
      </x:c>
      <x:c r="B107" s="32" t="e">
        <x:f>IF(A107=1,Dashboard!$F$14,F106)</x:f>
      </x:c>
      <x:c r="C107" s="32" t="n">
        <x:f>0</x:f>
        <x:v>0</x:v>
      </x:c>
      <x:c r="D107" s="32" t="e">
        <x:f>IF(A107&lt;=Dashboard!$F$15,B107*Dashboard!$F$6,0)</x:f>
      </x:c>
      <x:c r="E107" s="32" t="e">
        <x:f>IF(A107&lt;=Dashboard!$F$15,MIN(Dashboard!$F$10,B107+D107),0)</x:f>
      </x:c>
      <x:c r="F107" s="32" t="e">
        <x:f>IF(A107&lt;=Dashboard!$F$15,MAX(0,B107-MAX(0,E107-D107)),0)</x:f>
      </x:c>
      <x:c r="G107" s="32" t="e">
        <x:f>IF(A107=1,D107,G106+D107)</x:f>
      </x:c>
      <x:c r="H107" s="32"/>
      <x:c r="I107" s="32" t="e">
        <x:f>IF(A107=1,Dashboard!$F$14,M106)</x:f>
      </x:c>
      <x:c r="J107" s="32" t="e">
        <x:f>IF(A107&lt;=Dashboard!$F$17,MIN(I107,$B$5),0)</x:f>
      </x:c>
      <x:c r="K107" s="32" t="e">
        <x:f>IF(A107&lt;=Dashboard!$F$17,MAX(0,I107-J107)*Dashboard!$F$6,0)</x:f>
      </x:c>
      <x:c r="L107" s="32" t="e">
        <x:f>IF(A107&lt;=Dashboard!$F$17,MIN(Dashboard!$F$10,MAX(0,I107-J107)+K107),0)</x:f>
      </x:c>
      <x:c r="M107" s="32" t="e">
        <x:f>IF(A107&lt;=Dashboard!$F$17,MAX(0,I107-J107-MAX(0,L107-K107)),0)</x:f>
      </x:c>
      <x:c r="N107" s="32" t="e">
        <x:f>IF(A107=1,K107,N106+K107)</x:f>
      </x:c>
      <x:c r="O107" s="32"/>
      <x:c r="P107" s="32" t="e">
        <x:f>IF(A107=1,Dashboard!$F$14,T106)</x:f>
      </x:c>
      <x:c r="Q107" s="32" t="e">
        <x:f>IF(A107&lt;=Dashboard!$F$17,MIN(P107,$B$6*52/12),0)</x:f>
      </x:c>
      <x:c r="R107" s="32" t="e">
        <x:f>IF(A107&lt;=Dashboard!$F$17,MAX(0,P107-Q107)*Dashboard!$F$6,0)</x:f>
      </x:c>
      <x:c r="S107" s="32" t="e">
        <x:f>IF(A107&lt;=Dashboard!$F$17,MIN(Dashboard!$F$10,MAX(0,P107-Q107)+R107),0)</x:f>
      </x:c>
      <x:c r="T107" s="32" t="e">
        <x:f>IF(A107&lt;=Dashboard!$F$17,MAX(0,P107-Q107-MAX(0,S107-R107)),0)</x:f>
      </x:c>
      <x:c r="U107" s="32" t="e">
        <x:f>IF(A107=1,R107,U106+R107)</x:f>
      </x:c>
      <x:c r="V107" s="32"/>
      <x:c r="W107" s="32" t="e">
        <x:f>IF(A107=1,Dashboard!$F$14,AA106)</x:f>
      </x:c>
      <x:c r="X107" s="32" t="e">
        <x:f>IF(AND(A107&lt;=Dashboard!$F$17,MOD(A107-1,12)=0),MIN(W107,$B$7),0)</x:f>
      </x:c>
      <x:c r="Y107" s="32" t="e">
        <x:f>IF(A107&lt;=Dashboard!$F$17,MAX(0,W107-X107)*Dashboard!$F$6,0)</x:f>
      </x:c>
      <x:c r="Z107" s="32" t="e">
        <x:f>IF(A107&lt;=Dashboard!$F$17,MIN(Dashboard!$F$10,MAX(0,W107-X107)+Y107),0)</x:f>
      </x:c>
      <x:c r="AA107" s="32" t="e">
        <x:f>IF(A107&lt;=Dashboard!$F$17,MAX(0,W107-X107-MAX(0,Z107-Y107)),0)</x:f>
      </x:c>
      <x:c r="AB107" s="32" t="e">
        <x:f>IF(A107=1,Y107,AB106+Y107)</x:f>
      </x:c>
      <x:c r="AC107" s="32"/>
      <x:c r="AD107" s="32" t="e">
        <x:f>IF(A107=1,MAX(0,Dashboard!$F$14-$B$8),AG106)</x:f>
      </x:c>
      <x:c r="AE107" s="32" t="n">
        <x:f>0</x:f>
        <x:v>0</x:v>
      </x:c>
      <x:c r="AF107" s="32" t="e">
        <x:f>IF(A107&lt;=Dashboard!$F$17,AD107*Dashboard!$F$6,0)</x:f>
      </x:c>
      <x:c r="AG107" s="32" t="e">
        <x:f>IF(A107&lt;=Dashboard!$F$17,MIN(Dashboard!$F$10,AD107+AF107),0)</x:f>
      </x:c>
      <x:c r="AH107" s="32" t="e">
        <x:f>IF(A107&lt;=Dashboard!$F$17,MAX(0,AD107-MAX(0,AG107-AF107)),0)</x:f>
      </x:c>
      <x:c r="AI107" s="32" t="e">
        <x:f>IF(A107=1,AF107,AI106+AF107)</x:f>
      </x:c>
      <x:c r="AJ107" s="33"/>
      <x:c r="AK107" s="33"/>
      <x:c r="AL107" s="33"/>
      <x:c r="AM107" s="33"/>
    </x:row>
    <x:row r="108">
      <x:c r="A108" s="33" t="n">
        <x:v>96</x:v>
      </x:c>
      <x:c r="B108" s="32" t="e">
        <x:f>IF(A108=1,Dashboard!$F$14,F107)</x:f>
      </x:c>
      <x:c r="C108" s="32" t="n">
        <x:f>0</x:f>
        <x:v>0</x:v>
      </x:c>
      <x:c r="D108" s="32" t="e">
        <x:f>IF(A108&lt;=Dashboard!$F$15,B108*Dashboard!$F$6,0)</x:f>
      </x:c>
      <x:c r="E108" s="32" t="e">
        <x:f>IF(A108&lt;=Dashboard!$F$15,MIN(Dashboard!$F$10,B108+D108),0)</x:f>
      </x:c>
      <x:c r="F108" s="32" t="e">
        <x:f>IF(A108&lt;=Dashboard!$F$15,MAX(0,B108-MAX(0,E108-D108)),0)</x:f>
      </x:c>
      <x:c r="G108" s="32" t="e">
        <x:f>IF(A108=1,D108,G107+D108)</x:f>
      </x:c>
      <x:c r="H108" s="32"/>
      <x:c r="I108" s="32" t="e">
        <x:f>IF(A108=1,Dashboard!$F$14,M107)</x:f>
      </x:c>
      <x:c r="J108" s="32" t="e">
        <x:f>IF(A108&lt;=Dashboard!$F$17,MIN(I108,$B$5),0)</x:f>
      </x:c>
      <x:c r="K108" s="32" t="e">
        <x:f>IF(A108&lt;=Dashboard!$F$17,MAX(0,I108-J108)*Dashboard!$F$6,0)</x:f>
      </x:c>
      <x:c r="L108" s="32" t="e">
        <x:f>IF(A108&lt;=Dashboard!$F$17,MIN(Dashboard!$F$10,MAX(0,I108-J108)+K108),0)</x:f>
      </x:c>
      <x:c r="M108" s="32" t="e">
        <x:f>IF(A108&lt;=Dashboard!$F$17,MAX(0,I108-J108-MAX(0,L108-K108)),0)</x:f>
      </x:c>
      <x:c r="N108" s="32" t="e">
        <x:f>IF(A108=1,K108,N107+K108)</x:f>
      </x:c>
      <x:c r="O108" s="32"/>
      <x:c r="P108" s="32" t="e">
        <x:f>IF(A108=1,Dashboard!$F$14,T107)</x:f>
      </x:c>
      <x:c r="Q108" s="32" t="e">
        <x:f>IF(A108&lt;=Dashboard!$F$17,MIN(P108,$B$6*52/12),0)</x:f>
      </x:c>
      <x:c r="R108" s="32" t="e">
        <x:f>IF(A108&lt;=Dashboard!$F$17,MAX(0,P108-Q108)*Dashboard!$F$6,0)</x:f>
      </x:c>
      <x:c r="S108" s="32" t="e">
        <x:f>IF(A108&lt;=Dashboard!$F$17,MIN(Dashboard!$F$10,MAX(0,P108-Q108)+R108),0)</x:f>
      </x:c>
      <x:c r="T108" s="32" t="e">
        <x:f>IF(A108&lt;=Dashboard!$F$17,MAX(0,P108-Q108-MAX(0,S108-R108)),0)</x:f>
      </x:c>
      <x:c r="U108" s="32" t="e">
        <x:f>IF(A108=1,R108,U107+R108)</x:f>
      </x:c>
      <x:c r="V108" s="32"/>
      <x:c r="W108" s="32" t="e">
        <x:f>IF(A108=1,Dashboard!$F$14,AA107)</x:f>
      </x:c>
      <x:c r="X108" s="32" t="e">
        <x:f>IF(AND(A108&lt;=Dashboard!$F$17,MOD(A108-1,12)=0),MIN(W108,$B$7),0)</x:f>
      </x:c>
      <x:c r="Y108" s="32" t="e">
        <x:f>IF(A108&lt;=Dashboard!$F$17,MAX(0,W108-X108)*Dashboard!$F$6,0)</x:f>
      </x:c>
      <x:c r="Z108" s="32" t="e">
        <x:f>IF(A108&lt;=Dashboard!$F$17,MIN(Dashboard!$F$10,MAX(0,W108-X108)+Y108),0)</x:f>
      </x:c>
      <x:c r="AA108" s="32" t="e">
        <x:f>IF(A108&lt;=Dashboard!$F$17,MAX(0,W108-X108-MAX(0,Z108-Y108)),0)</x:f>
      </x:c>
      <x:c r="AB108" s="32" t="e">
        <x:f>IF(A108=1,Y108,AB107+Y108)</x:f>
      </x:c>
      <x:c r="AC108" s="32"/>
      <x:c r="AD108" s="32" t="e">
        <x:f>IF(A108=1,MAX(0,Dashboard!$F$14-$B$8),AG107)</x:f>
      </x:c>
      <x:c r="AE108" s="32" t="n">
        <x:f>0</x:f>
        <x:v>0</x:v>
      </x:c>
      <x:c r="AF108" s="32" t="e">
        <x:f>IF(A108&lt;=Dashboard!$F$17,AD108*Dashboard!$F$6,0)</x:f>
      </x:c>
      <x:c r="AG108" s="32" t="e">
        <x:f>IF(A108&lt;=Dashboard!$F$17,MIN(Dashboard!$F$10,AD108+AF108),0)</x:f>
      </x:c>
      <x:c r="AH108" s="32" t="e">
        <x:f>IF(A108&lt;=Dashboard!$F$17,MAX(0,AD108-MAX(0,AG108-AF108)),0)</x:f>
      </x:c>
      <x:c r="AI108" s="32" t="e">
        <x:f>IF(A108=1,AF108,AI107+AF108)</x:f>
      </x:c>
      <x:c r="AJ108" s="33"/>
      <x:c r="AK108" s="33"/>
      <x:c r="AL108" s="33"/>
      <x:c r="AM108" s="33"/>
    </x:row>
    <x:row r="109">
      <x:c r="A109" s="33" t="n">
        <x:v>97</x:v>
      </x:c>
      <x:c r="B109" s="32" t="e">
        <x:f>IF(A109=1,Dashboard!$F$14,F108)</x:f>
      </x:c>
      <x:c r="C109" s="32" t="n">
        <x:f>0</x:f>
        <x:v>0</x:v>
      </x:c>
      <x:c r="D109" s="32" t="e">
        <x:f>IF(A109&lt;=Dashboard!$F$15,B109*Dashboard!$F$6,0)</x:f>
      </x:c>
      <x:c r="E109" s="32" t="e">
        <x:f>IF(A109&lt;=Dashboard!$F$15,MIN(Dashboard!$F$10,B109+D109),0)</x:f>
      </x:c>
      <x:c r="F109" s="32" t="e">
        <x:f>IF(A109&lt;=Dashboard!$F$15,MAX(0,B109-MAX(0,E109-D109)),0)</x:f>
      </x:c>
      <x:c r="G109" s="32" t="e">
        <x:f>IF(A109=1,D109,G108+D109)</x:f>
      </x:c>
      <x:c r="H109" s="32"/>
      <x:c r="I109" s="32" t="e">
        <x:f>IF(A109=1,Dashboard!$F$14,M108)</x:f>
      </x:c>
      <x:c r="J109" s="32" t="e">
        <x:f>IF(A109&lt;=Dashboard!$F$17,MIN(I109,$B$5),0)</x:f>
      </x:c>
      <x:c r="K109" s="32" t="e">
        <x:f>IF(A109&lt;=Dashboard!$F$17,MAX(0,I109-J109)*Dashboard!$F$6,0)</x:f>
      </x:c>
      <x:c r="L109" s="32" t="e">
        <x:f>IF(A109&lt;=Dashboard!$F$17,MIN(Dashboard!$F$10,MAX(0,I109-J109)+K109),0)</x:f>
      </x:c>
      <x:c r="M109" s="32" t="e">
        <x:f>IF(A109&lt;=Dashboard!$F$17,MAX(0,I109-J109-MAX(0,L109-K109)),0)</x:f>
      </x:c>
      <x:c r="N109" s="32" t="e">
        <x:f>IF(A109=1,K109,N108+K109)</x:f>
      </x:c>
      <x:c r="O109" s="32"/>
      <x:c r="P109" s="32" t="e">
        <x:f>IF(A109=1,Dashboard!$F$14,T108)</x:f>
      </x:c>
      <x:c r="Q109" s="32" t="e">
        <x:f>IF(A109&lt;=Dashboard!$F$17,MIN(P109,$B$6*52/12),0)</x:f>
      </x:c>
      <x:c r="R109" s="32" t="e">
        <x:f>IF(A109&lt;=Dashboard!$F$17,MAX(0,P109-Q109)*Dashboard!$F$6,0)</x:f>
      </x:c>
      <x:c r="S109" s="32" t="e">
        <x:f>IF(A109&lt;=Dashboard!$F$17,MIN(Dashboard!$F$10,MAX(0,P109-Q109)+R109),0)</x:f>
      </x:c>
      <x:c r="T109" s="32" t="e">
        <x:f>IF(A109&lt;=Dashboard!$F$17,MAX(0,P109-Q109-MAX(0,S109-R109)),0)</x:f>
      </x:c>
      <x:c r="U109" s="32" t="e">
        <x:f>IF(A109=1,R109,U108+R109)</x:f>
      </x:c>
      <x:c r="V109" s="32"/>
      <x:c r="W109" s="32" t="e">
        <x:f>IF(A109=1,Dashboard!$F$14,AA108)</x:f>
      </x:c>
      <x:c r="X109" s="32" t="e">
        <x:f>IF(AND(A109&lt;=Dashboard!$F$17,MOD(A109-1,12)=0),MIN(W109,$B$7),0)</x:f>
      </x:c>
      <x:c r="Y109" s="32" t="e">
        <x:f>IF(A109&lt;=Dashboard!$F$17,MAX(0,W109-X109)*Dashboard!$F$6,0)</x:f>
      </x:c>
      <x:c r="Z109" s="32" t="e">
        <x:f>IF(A109&lt;=Dashboard!$F$17,MIN(Dashboard!$F$10,MAX(0,W109-X109)+Y109),0)</x:f>
      </x:c>
      <x:c r="AA109" s="32" t="e">
        <x:f>IF(A109&lt;=Dashboard!$F$17,MAX(0,W109-X109-MAX(0,Z109-Y109)),0)</x:f>
      </x:c>
      <x:c r="AB109" s="32" t="e">
        <x:f>IF(A109=1,Y109,AB108+Y109)</x:f>
      </x:c>
      <x:c r="AC109" s="32"/>
      <x:c r="AD109" s="32" t="e">
        <x:f>IF(A109=1,MAX(0,Dashboard!$F$14-$B$8),AG108)</x:f>
      </x:c>
      <x:c r="AE109" s="32" t="n">
        <x:f>0</x:f>
        <x:v>0</x:v>
      </x:c>
      <x:c r="AF109" s="32" t="e">
        <x:f>IF(A109&lt;=Dashboard!$F$17,AD109*Dashboard!$F$6,0)</x:f>
      </x:c>
      <x:c r="AG109" s="32" t="e">
        <x:f>IF(A109&lt;=Dashboard!$F$17,MIN(Dashboard!$F$10,AD109+AF109),0)</x:f>
      </x:c>
      <x:c r="AH109" s="32" t="e">
        <x:f>IF(A109&lt;=Dashboard!$F$17,MAX(0,AD109-MAX(0,AG109-AF109)),0)</x:f>
      </x:c>
      <x:c r="AI109" s="32" t="e">
        <x:f>IF(A109=1,AF109,AI108+AF109)</x:f>
      </x:c>
      <x:c r="AJ109" s="33"/>
      <x:c r="AK109" s="33"/>
      <x:c r="AL109" s="33"/>
      <x:c r="AM109" s="33"/>
    </x:row>
    <x:row r="110">
      <x:c r="A110" s="33" t="n">
        <x:v>98</x:v>
      </x:c>
      <x:c r="B110" s="32" t="e">
        <x:f>IF(A110=1,Dashboard!$F$14,F109)</x:f>
      </x:c>
      <x:c r="C110" s="32" t="n">
        <x:f>0</x:f>
        <x:v>0</x:v>
      </x:c>
      <x:c r="D110" s="32" t="e">
        <x:f>IF(A110&lt;=Dashboard!$F$15,B110*Dashboard!$F$6,0)</x:f>
      </x:c>
      <x:c r="E110" s="32" t="e">
        <x:f>IF(A110&lt;=Dashboard!$F$15,MIN(Dashboard!$F$10,B110+D110),0)</x:f>
      </x:c>
      <x:c r="F110" s="32" t="e">
        <x:f>IF(A110&lt;=Dashboard!$F$15,MAX(0,B110-MAX(0,E110-D110)),0)</x:f>
      </x:c>
      <x:c r="G110" s="32" t="e">
        <x:f>IF(A110=1,D110,G109+D110)</x:f>
      </x:c>
      <x:c r="H110" s="32"/>
      <x:c r="I110" s="32" t="e">
        <x:f>IF(A110=1,Dashboard!$F$14,M109)</x:f>
      </x:c>
      <x:c r="J110" s="32" t="e">
        <x:f>IF(A110&lt;=Dashboard!$F$17,MIN(I110,$B$5),0)</x:f>
      </x:c>
      <x:c r="K110" s="32" t="e">
        <x:f>IF(A110&lt;=Dashboard!$F$17,MAX(0,I110-J110)*Dashboard!$F$6,0)</x:f>
      </x:c>
      <x:c r="L110" s="32" t="e">
        <x:f>IF(A110&lt;=Dashboard!$F$17,MIN(Dashboard!$F$10,MAX(0,I110-J110)+K110),0)</x:f>
      </x:c>
      <x:c r="M110" s="32" t="e">
        <x:f>IF(A110&lt;=Dashboard!$F$17,MAX(0,I110-J110-MAX(0,L110-K110)),0)</x:f>
      </x:c>
      <x:c r="N110" s="32" t="e">
        <x:f>IF(A110=1,K110,N109+K110)</x:f>
      </x:c>
      <x:c r="O110" s="32"/>
      <x:c r="P110" s="32" t="e">
        <x:f>IF(A110=1,Dashboard!$F$14,T109)</x:f>
      </x:c>
      <x:c r="Q110" s="32" t="e">
        <x:f>IF(A110&lt;=Dashboard!$F$17,MIN(P110,$B$6*52/12),0)</x:f>
      </x:c>
      <x:c r="R110" s="32" t="e">
        <x:f>IF(A110&lt;=Dashboard!$F$17,MAX(0,P110-Q110)*Dashboard!$F$6,0)</x:f>
      </x:c>
      <x:c r="S110" s="32" t="e">
        <x:f>IF(A110&lt;=Dashboard!$F$17,MIN(Dashboard!$F$10,MAX(0,P110-Q110)+R110),0)</x:f>
      </x:c>
      <x:c r="T110" s="32" t="e">
        <x:f>IF(A110&lt;=Dashboard!$F$17,MAX(0,P110-Q110-MAX(0,S110-R110)),0)</x:f>
      </x:c>
      <x:c r="U110" s="32" t="e">
        <x:f>IF(A110=1,R110,U109+R110)</x:f>
      </x:c>
      <x:c r="V110" s="32"/>
      <x:c r="W110" s="32" t="e">
        <x:f>IF(A110=1,Dashboard!$F$14,AA109)</x:f>
      </x:c>
      <x:c r="X110" s="32" t="e">
        <x:f>IF(AND(A110&lt;=Dashboard!$F$17,MOD(A110-1,12)=0),MIN(W110,$B$7),0)</x:f>
      </x:c>
      <x:c r="Y110" s="32" t="e">
        <x:f>IF(A110&lt;=Dashboard!$F$17,MAX(0,W110-X110)*Dashboard!$F$6,0)</x:f>
      </x:c>
      <x:c r="Z110" s="32" t="e">
        <x:f>IF(A110&lt;=Dashboard!$F$17,MIN(Dashboard!$F$10,MAX(0,W110-X110)+Y110),0)</x:f>
      </x:c>
      <x:c r="AA110" s="32" t="e">
        <x:f>IF(A110&lt;=Dashboard!$F$17,MAX(0,W110-X110-MAX(0,Z110-Y110)),0)</x:f>
      </x:c>
      <x:c r="AB110" s="32" t="e">
        <x:f>IF(A110=1,Y110,AB109+Y110)</x:f>
      </x:c>
      <x:c r="AC110" s="32"/>
      <x:c r="AD110" s="32" t="e">
        <x:f>IF(A110=1,MAX(0,Dashboard!$F$14-$B$8),AG109)</x:f>
      </x:c>
      <x:c r="AE110" s="32" t="n">
        <x:f>0</x:f>
        <x:v>0</x:v>
      </x:c>
      <x:c r="AF110" s="32" t="e">
        <x:f>IF(A110&lt;=Dashboard!$F$17,AD110*Dashboard!$F$6,0)</x:f>
      </x:c>
      <x:c r="AG110" s="32" t="e">
        <x:f>IF(A110&lt;=Dashboard!$F$17,MIN(Dashboard!$F$10,AD110+AF110),0)</x:f>
      </x:c>
      <x:c r="AH110" s="32" t="e">
        <x:f>IF(A110&lt;=Dashboard!$F$17,MAX(0,AD110-MAX(0,AG110-AF110)),0)</x:f>
      </x:c>
      <x:c r="AI110" s="32" t="e">
        <x:f>IF(A110=1,AF110,AI109+AF110)</x:f>
      </x:c>
      <x:c r="AJ110" s="33"/>
      <x:c r="AK110" s="33"/>
      <x:c r="AL110" s="33"/>
      <x:c r="AM110" s="33"/>
    </x:row>
    <x:row r="111">
      <x:c r="A111" s="33" t="n">
        <x:v>99</x:v>
      </x:c>
      <x:c r="B111" s="32" t="e">
        <x:f>IF(A111=1,Dashboard!$F$14,F110)</x:f>
      </x:c>
      <x:c r="C111" s="32" t="n">
        <x:f>0</x:f>
        <x:v>0</x:v>
      </x:c>
      <x:c r="D111" s="32" t="e">
        <x:f>IF(A111&lt;=Dashboard!$F$15,B111*Dashboard!$F$6,0)</x:f>
      </x:c>
      <x:c r="E111" s="32" t="e">
        <x:f>IF(A111&lt;=Dashboard!$F$15,MIN(Dashboard!$F$10,B111+D111),0)</x:f>
      </x:c>
      <x:c r="F111" s="32" t="e">
        <x:f>IF(A111&lt;=Dashboard!$F$15,MAX(0,B111-MAX(0,E111-D111)),0)</x:f>
      </x:c>
      <x:c r="G111" s="32" t="e">
        <x:f>IF(A111=1,D111,G110+D111)</x:f>
      </x:c>
      <x:c r="H111" s="32"/>
      <x:c r="I111" s="32" t="e">
        <x:f>IF(A111=1,Dashboard!$F$14,M110)</x:f>
      </x:c>
      <x:c r="J111" s="32" t="e">
        <x:f>IF(A111&lt;=Dashboard!$F$17,MIN(I111,$B$5),0)</x:f>
      </x:c>
      <x:c r="K111" s="32" t="e">
        <x:f>IF(A111&lt;=Dashboard!$F$17,MAX(0,I111-J111)*Dashboard!$F$6,0)</x:f>
      </x:c>
      <x:c r="L111" s="32" t="e">
        <x:f>IF(A111&lt;=Dashboard!$F$17,MIN(Dashboard!$F$10,MAX(0,I111-J111)+K111),0)</x:f>
      </x:c>
      <x:c r="M111" s="32" t="e">
        <x:f>IF(A111&lt;=Dashboard!$F$17,MAX(0,I111-J111-MAX(0,L111-K111)),0)</x:f>
      </x:c>
      <x:c r="N111" s="32" t="e">
        <x:f>IF(A111=1,K111,N110+K111)</x:f>
      </x:c>
      <x:c r="O111" s="32"/>
      <x:c r="P111" s="32" t="e">
        <x:f>IF(A111=1,Dashboard!$F$14,T110)</x:f>
      </x:c>
      <x:c r="Q111" s="32" t="e">
        <x:f>IF(A111&lt;=Dashboard!$F$17,MIN(P111,$B$6*52/12),0)</x:f>
      </x:c>
      <x:c r="R111" s="32" t="e">
        <x:f>IF(A111&lt;=Dashboard!$F$17,MAX(0,P111-Q111)*Dashboard!$F$6,0)</x:f>
      </x:c>
      <x:c r="S111" s="32" t="e">
        <x:f>IF(A111&lt;=Dashboard!$F$17,MIN(Dashboard!$F$10,MAX(0,P111-Q111)+R111),0)</x:f>
      </x:c>
      <x:c r="T111" s="32" t="e">
        <x:f>IF(A111&lt;=Dashboard!$F$17,MAX(0,P111-Q111-MAX(0,S111-R111)),0)</x:f>
      </x:c>
      <x:c r="U111" s="32" t="e">
        <x:f>IF(A111=1,R111,U110+R111)</x:f>
      </x:c>
      <x:c r="V111" s="32"/>
      <x:c r="W111" s="32" t="e">
        <x:f>IF(A111=1,Dashboard!$F$14,AA110)</x:f>
      </x:c>
      <x:c r="X111" s="32" t="e">
        <x:f>IF(AND(A111&lt;=Dashboard!$F$17,MOD(A111-1,12)=0),MIN(W111,$B$7),0)</x:f>
      </x:c>
      <x:c r="Y111" s="32" t="e">
        <x:f>IF(A111&lt;=Dashboard!$F$17,MAX(0,W111-X111)*Dashboard!$F$6,0)</x:f>
      </x:c>
      <x:c r="Z111" s="32" t="e">
        <x:f>IF(A111&lt;=Dashboard!$F$17,MIN(Dashboard!$F$10,MAX(0,W111-X111)+Y111),0)</x:f>
      </x:c>
      <x:c r="AA111" s="32" t="e">
        <x:f>IF(A111&lt;=Dashboard!$F$17,MAX(0,W111-X111-MAX(0,Z111-Y111)),0)</x:f>
      </x:c>
      <x:c r="AB111" s="32" t="e">
        <x:f>IF(A111=1,Y111,AB110+Y111)</x:f>
      </x:c>
      <x:c r="AC111" s="32"/>
      <x:c r="AD111" s="32" t="e">
        <x:f>IF(A111=1,MAX(0,Dashboard!$F$14-$B$8),AG110)</x:f>
      </x:c>
      <x:c r="AE111" s="32" t="n">
        <x:f>0</x:f>
        <x:v>0</x:v>
      </x:c>
      <x:c r="AF111" s="32" t="e">
        <x:f>IF(A111&lt;=Dashboard!$F$17,AD111*Dashboard!$F$6,0)</x:f>
      </x:c>
      <x:c r="AG111" s="32" t="e">
        <x:f>IF(A111&lt;=Dashboard!$F$17,MIN(Dashboard!$F$10,AD111+AF111),0)</x:f>
      </x:c>
      <x:c r="AH111" s="32" t="e">
        <x:f>IF(A111&lt;=Dashboard!$F$17,MAX(0,AD111-MAX(0,AG111-AF111)),0)</x:f>
      </x:c>
      <x:c r="AI111" s="32" t="e">
        <x:f>IF(A111=1,AF111,AI110+AF111)</x:f>
      </x:c>
      <x:c r="AJ111" s="33"/>
      <x:c r="AK111" s="33"/>
      <x:c r="AL111" s="33"/>
      <x:c r="AM111" s="33"/>
    </x:row>
    <x:row r="112">
      <x:c r="A112" s="33" t="n">
        <x:v>100</x:v>
      </x:c>
      <x:c r="B112" s="32" t="e">
        <x:f>IF(A112=1,Dashboard!$F$14,F111)</x:f>
      </x:c>
      <x:c r="C112" s="32" t="n">
        <x:f>0</x:f>
        <x:v>0</x:v>
      </x:c>
      <x:c r="D112" s="32" t="e">
        <x:f>IF(A112&lt;=Dashboard!$F$15,B112*Dashboard!$F$6,0)</x:f>
      </x:c>
      <x:c r="E112" s="32" t="e">
        <x:f>IF(A112&lt;=Dashboard!$F$15,MIN(Dashboard!$F$10,B112+D112),0)</x:f>
      </x:c>
      <x:c r="F112" s="32" t="e">
        <x:f>IF(A112&lt;=Dashboard!$F$15,MAX(0,B112-MAX(0,E112-D112)),0)</x:f>
      </x:c>
      <x:c r="G112" s="32" t="e">
        <x:f>IF(A112=1,D112,G111+D112)</x:f>
      </x:c>
      <x:c r="H112" s="32"/>
      <x:c r="I112" s="32" t="e">
        <x:f>IF(A112=1,Dashboard!$F$14,M111)</x:f>
      </x:c>
      <x:c r="J112" s="32" t="e">
        <x:f>IF(A112&lt;=Dashboard!$F$17,MIN(I112,$B$5),0)</x:f>
      </x:c>
      <x:c r="K112" s="32" t="e">
        <x:f>IF(A112&lt;=Dashboard!$F$17,MAX(0,I112-J112)*Dashboard!$F$6,0)</x:f>
      </x:c>
      <x:c r="L112" s="32" t="e">
        <x:f>IF(A112&lt;=Dashboard!$F$17,MIN(Dashboard!$F$10,MAX(0,I112-J112)+K112),0)</x:f>
      </x:c>
      <x:c r="M112" s="32" t="e">
        <x:f>IF(A112&lt;=Dashboard!$F$17,MAX(0,I112-J112-MAX(0,L112-K112)),0)</x:f>
      </x:c>
      <x:c r="N112" s="32" t="e">
        <x:f>IF(A112=1,K112,N111+K112)</x:f>
      </x:c>
      <x:c r="O112" s="32"/>
      <x:c r="P112" s="32" t="e">
        <x:f>IF(A112=1,Dashboard!$F$14,T111)</x:f>
      </x:c>
      <x:c r="Q112" s="32" t="e">
        <x:f>IF(A112&lt;=Dashboard!$F$17,MIN(P112,$B$6*52/12),0)</x:f>
      </x:c>
      <x:c r="R112" s="32" t="e">
        <x:f>IF(A112&lt;=Dashboard!$F$17,MAX(0,P112-Q112)*Dashboard!$F$6,0)</x:f>
      </x:c>
      <x:c r="S112" s="32" t="e">
        <x:f>IF(A112&lt;=Dashboard!$F$17,MIN(Dashboard!$F$10,MAX(0,P112-Q112)+R112),0)</x:f>
      </x:c>
      <x:c r="T112" s="32" t="e">
        <x:f>IF(A112&lt;=Dashboard!$F$17,MAX(0,P112-Q112-MAX(0,S112-R112)),0)</x:f>
      </x:c>
      <x:c r="U112" s="32" t="e">
        <x:f>IF(A112=1,R112,U111+R112)</x:f>
      </x:c>
      <x:c r="V112" s="32"/>
      <x:c r="W112" s="32" t="e">
        <x:f>IF(A112=1,Dashboard!$F$14,AA111)</x:f>
      </x:c>
      <x:c r="X112" s="32" t="e">
        <x:f>IF(AND(A112&lt;=Dashboard!$F$17,MOD(A112-1,12)=0),MIN(W112,$B$7),0)</x:f>
      </x:c>
      <x:c r="Y112" s="32" t="e">
        <x:f>IF(A112&lt;=Dashboard!$F$17,MAX(0,W112-X112)*Dashboard!$F$6,0)</x:f>
      </x:c>
      <x:c r="Z112" s="32" t="e">
        <x:f>IF(A112&lt;=Dashboard!$F$17,MIN(Dashboard!$F$10,MAX(0,W112-X112)+Y112),0)</x:f>
      </x:c>
      <x:c r="AA112" s="32" t="e">
        <x:f>IF(A112&lt;=Dashboard!$F$17,MAX(0,W112-X112-MAX(0,Z112-Y112)),0)</x:f>
      </x:c>
      <x:c r="AB112" s="32" t="e">
        <x:f>IF(A112=1,Y112,AB111+Y112)</x:f>
      </x:c>
      <x:c r="AC112" s="32"/>
      <x:c r="AD112" s="32" t="e">
        <x:f>IF(A112=1,MAX(0,Dashboard!$F$14-$B$8),AG111)</x:f>
      </x:c>
      <x:c r="AE112" s="32" t="n">
        <x:f>0</x:f>
        <x:v>0</x:v>
      </x:c>
      <x:c r="AF112" s="32" t="e">
        <x:f>IF(A112&lt;=Dashboard!$F$17,AD112*Dashboard!$F$6,0)</x:f>
      </x:c>
      <x:c r="AG112" s="32" t="e">
        <x:f>IF(A112&lt;=Dashboard!$F$17,MIN(Dashboard!$F$10,AD112+AF112),0)</x:f>
      </x:c>
      <x:c r="AH112" s="32" t="e">
        <x:f>IF(A112&lt;=Dashboard!$F$17,MAX(0,AD112-MAX(0,AG112-AF112)),0)</x:f>
      </x:c>
      <x:c r="AI112" s="32" t="e">
        <x:f>IF(A112=1,AF112,AI111+AF112)</x:f>
      </x:c>
      <x:c r="AJ112" s="33"/>
      <x:c r="AK112" s="33"/>
      <x:c r="AL112" s="33"/>
      <x:c r="AM112" s="33"/>
    </x:row>
    <x:row r="113">
      <x:c r="A113" s="33" t="n">
        <x:v>101</x:v>
      </x:c>
      <x:c r="B113" s="32" t="e">
        <x:f>IF(A113=1,Dashboard!$F$14,F112)</x:f>
      </x:c>
      <x:c r="C113" s="32" t="n">
        <x:f>0</x:f>
        <x:v>0</x:v>
      </x:c>
      <x:c r="D113" s="32" t="e">
        <x:f>IF(A113&lt;=Dashboard!$F$15,B113*Dashboard!$F$6,0)</x:f>
      </x:c>
      <x:c r="E113" s="32" t="e">
        <x:f>IF(A113&lt;=Dashboard!$F$15,MIN(Dashboard!$F$10,B113+D113),0)</x:f>
      </x:c>
      <x:c r="F113" s="32" t="e">
        <x:f>IF(A113&lt;=Dashboard!$F$15,MAX(0,B113-MAX(0,E113-D113)),0)</x:f>
      </x:c>
      <x:c r="G113" s="32" t="e">
        <x:f>IF(A113=1,D113,G112+D113)</x:f>
      </x:c>
      <x:c r="H113" s="32"/>
      <x:c r="I113" s="32" t="e">
        <x:f>IF(A113=1,Dashboard!$F$14,M112)</x:f>
      </x:c>
      <x:c r="J113" s="32" t="e">
        <x:f>IF(A113&lt;=Dashboard!$F$17,MIN(I113,$B$5),0)</x:f>
      </x:c>
      <x:c r="K113" s="32" t="e">
        <x:f>IF(A113&lt;=Dashboard!$F$17,MAX(0,I113-J113)*Dashboard!$F$6,0)</x:f>
      </x:c>
      <x:c r="L113" s="32" t="e">
        <x:f>IF(A113&lt;=Dashboard!$F$17,MIN(Dashboard!$F$10,MAX(0,I113-J113)+K113),0)</x:f>
      </x:c>
      <x:c r="M113" s="32" t="e">
        <x:f>IF(A113&lt;=Dashboard!$F$17,MAX(0,I113-J113-MAX(0,L113-K113)),0)</x:f>
      </x:c>
      <x:c r="N113" s="32" t="e">
        <x:f>IF(A113=1,K113,N112+K113)</x:f>
      </x:c>
      <x:c r="O113" s="32"/>
      <x:c r="P113" s="32" t="e">
        <x:f>IF(A113=1,Dashboard!$F$14,T112)</x:f>
      </x:c>
      <x:c r="Q113" s="32" t="e">
        <x:f>IF(A113&lt;=Dashboard!$F$17,MIN(P113,$B$6*52/12),0)</x:f>
      </x:c>
      <x:c r="R113" s="32" t="e">
        <x:f>IF(A113&lt;=Dashboard!$F$17,MAX(0,P113-Q113)*Dashboard!$F$6,0)</x:f>
      </x:c>
      <x:c r="S113" s="32" t="e">
        <x:f>IF(A113&lt;=Dashboard!$F$17,MIN(Dashboard!$F$10,MAX(0,P113-Q113)+R113),0)</x:f>
      </x:c>
      <x:c r="T113" s="32" t="e">
        <x:f>IF(A113&lt;=Dashboard!$F$17,MAX(0,P113-Q113-MAX(0,S113-R113)),0)</x:f>
      </x:c>
      <x:c r="U113" s="32" t="e">
        <x:f>IF(A113=1,R113,U112+R113)</x:f>
      </x:c>
      <x:c r="V113" s="32"/>
      <x:c r="W113" s="32" t="e">
        <x:f>IF(A113=1,Dashboard!$F$14,AA112)</x:f>
      </x:c>
      <x:c r="X113" s="32" t="e">
        <x:f>IF(AND(A113&lt;=Dashboard!$F$17,MOD(A113-1,12)=0),MIN(W113,$B$7),0)</x:f>
      </x:c>
      <x:c r="Y113" s="32" t="e">
        <x:f>IF(A113&lt;=Dashboard!$F$17,MAX(0,W113-X113)*Dashboard!$F$6,0)</x:f>
      </x:c>
      <x:c r="Z113" s="32" t="e">
        <x:f>IF(A113&lt;=Dashboard!$F$17,MIN(Dashboard!$F$10,MAX(0,W113-X113)+Y113),0)</x:f>
      </x:c>
      <x:c r="AA113" s="32" t="e">
        <x:f>IF(A113&lt;=Dashboard!$F$17,MAX(0,W113-X113-MAX(0,Z113-Y113)),0)</x:f>
      </x:c>
      <x:c r="AB113" s="32" t="e">
        <x:f>IF(A113=1,Y113,AB112+Y113)</x:f>
      </x:c>
      <x:c r="AC113" s="32"/>
      <x:c r="AD113" s="32" t="e">
        <x:f>IF(A113=1,MAX(0,Dashboard!$F$14-$B$8),AG112)</x:f>
      </x:c>
      <x:c r="AE113" s="32" t="n">
        <x:f>0</x:f>
        <x:v>0</x:v>
      </x:c>
      <x:c r="AF113" s="32" t="e">
        <x:f>IF(A113&lt;=Dashboard!$F$17,AD113*Dashboard!$F$6,0)</x:f>
      </x:c>
      <x:c r="AG113" s="32" t="e">
        <x:f>IF(A113&lt;=Dashboard!$F$17,MIN(Dashboard!$F$10,AD113+AF113),0)</x:f>
      </x:c>
      <x:c r="AH113" s="32" t="e">
        <x:f>IF(A113&lt;=Dashboard!$F$17,MAX(0,AD113-MAX(0,AG113-AF113)),0)</x:f>
      </x:c>
      <x:c r="AI113" s="32" t="e">
        <x:f>IF(A113=1,AF113,AI112+AF113)</x:f>
      </x:c>
      <x:c r="AJ113" s="33"/>
      <x:c r="AK113" s="33"/>
      <x:c r="AL113" s="33"/>
      <x:c r="AM113" s="33"/>
    </x:row>
    <x:row r="114">
      <x:c r="A114" s="33" t="n">
        <x:v>102</x:v>
      </x:c>
      <x:c r="B114" s="32" t="e">
        <x:f>IF(A114=1,Dashboard!$F$14,F113)</x:f>
      </x:c>
      <x:c r="C114" s="32" t="n">
        <x:f>0</x:f>
        <x:v>0</x:v>
      </x:c>
      <x:c r="D114" s="32" t="e">
        <x:f>IF(A114&lt;=Dashboard!$F$15,B114*Dashboard!$F$6,0)</x:f>
      </x:c>
      <x:c r="E114" s="32" t="e">
        <x:f>IF(A114&lt;=Dashboard!$F$15,MIN(Dashboard!$F$10,B114+D114),0)</x:f>
      </x:c>
      <x:c r="F114" s="32" t="e">
        <x:f>IF(A114&lt;=Dashboard!$F$15,MAX(0,B114-MAX(0,E114-D114)),0)</x:f>
      </x:c>
      <x:c r="G114" s="32" t="e">
        <x:f>IF(A114=1,D114,G113+D114)</x:f>
      </x:c>
      <x:c r="H114" s="32"/>
      <x:c r="I114" s="32" t="e">
        <x:f>IF(A114=1,Dashboard!$F$14,M113)</x:f>
      </x:c>
      <x:c r="J114" s="32" t="e">
        <x:f>IF(A114&lt;=Dashboard!$F$17,MIN(I114,$B$5),0)</x:f>
      </x:c>
      <x:c r="K114" s="32" t="e">
        <x:f>IF(A114&lt;=Dashboard!$F$17,MAX(0,I114-J114)*Dashboard!$F$6,0)</x:f>
      </x:c>
      <x:c r="L114" s="32" t="e">
        <x:f>IF(A114&lt;=Dashboard!$F$17,MIN(Dashboard!$F$10,MAX(0,I114-J114)+K114),0)</x:f>
      </x:c>
      <x:c r="M114" s="32" t="e">
        <x:f>IF(A114&lt;=Dashboard!$F$17,MAX(0,I114-J114-MAX(0,L114-K114)),0)</x:f>
      </x:c>
      <x:c r="N114" s="32" t="e">
        <x:f>IF(A114=1,K114,N113+K114)</x:f>
      </x:c>
      <x:c r="O114" s="32"/>
      <x:c r="P114" s="32" t="e">
        <x:f>IF(A114=1,Dashboard!$F$14,T113)</x:f>
      </x:c>
      <x:c r="Q114" s="32" t="e">
        <x:f>IF(A114&lt;=Dashboard!$F$17,MIN(P114,$B$6*52/12),0)</x:f>
      </x:c>
      <x:c r="R114" s="32" t="e">
        <x:f>IF(A114&lt;=Dashboard!$F$17,MAX(0,P114-Q114)*Dashboard!$F$6,0)</x:f>
      </x:c>
      <x:c r="S114" s="32" t="e">
        <x:f>IF(A114&lt;=Dashboard!$F$17,MIN(Dashboard!$F$10,MAX(0,P114-Q114)+R114),0)</x:f>
      </x:c>
      <x:c r="T114" s="32" t="e">
        <x:f>IF(A114&lt;=Dashboard!$F$17,MAX(0,P114-Q114-MAX(0,S114-R114)),0)</x:f>
      </x:c>
      <x:c r="U114" s="32" t="e">
        <x:f>IF(A114=1,R114,U113+R114)</x:f>
      </x:c>
      <x:c r="V114" s="32"/>
      <x:c r="W114" s="32" t="e">
        <x:f>IF(A114=1,Dashboard!$F$14,AA113)</x:f>
      </x:c>
      <x:c r="X114" s="32" t="e">
        <x:f>IF(AND(A114&lt;=Dashboard!$F$17,MOD(A114-1,12)=0),MIN(W114,$B$7),0)</x:f>
      </x:c>
      <x:c r="Y114" s="32" t="e">
        <x:f>IF(A114&lt;=Dashboard!$F$17,MAX(0,W114-X114)*Dashboard!$F$6,0)</x:f>
      </x:c>
      <x:c r="Z114" s="32" t="e">
        <x:f>IF(A114&lt;=Dashboard!$F$17,MIN(Dashboard!$F$10,MAX(0,W114-X114)+Y114),0)</x:f>
      </x:c>
      <x:c r="AA114" s="32" t="e">
        <x:f>IF(A114&lt;=Dashboard!$F$17,MAX(0,W114-X114-MAX(0,Z114-Y114)),0)</x:f>
      </x:c>
      <x:c r="AB114" s="32" t="e">
        <x:f>IF(A114=1,Y114,AB113+Y114)</x:f>
      </x:c>
      <x:c r="AC114" s="32"/>
      <x:c r="AD114" s="32" t="e">
        <x:f>IF(A114=1,MAX(0,Dashboard!$F$14-$B$8),AG113)</x:f>
      </x:c>
      <x:c r="AE114" s="32" t="n">
        <x:f>0</x:f>
        <x:v>0</x:v>
      </x:c>
      <x:c r="AF114" s="32" t="e">
        <x:f>IF(A114&lt;=Dashboard!$F$17,AD114*Dashboard!$F$6,0)</x:f>
      </x:c>
      <x:c r="AG114" s="32" t="e">
        <x:f>IF(A114&lt;=Dashboard!$F$17,MIN(Dashboard!$F$10,AD114+AF114),0)</x:f>
      </x:c>
      <x:c r="AH114" s="32" t="e">
        <x:f>IF(A114&lt;=Dashboard!$F$17,MAX(0,AD114-MAX(0,AG114-AF114)),0)</x:f>
      </x:c>
      <x:c r="AI114" s="32" t="e">
        <x:f>IF(A114=1,AF114,AI113+AF114)</x:f>
      </x:c>
      <x:c r="AJ114" s="33"/>
      <x:c r="AK114" s="33"/>
      <x:c r="AL114" s="33"/>
      <x:c r="AM114" s="33"/>
    </x:row>
    <x:row r="115">
      <x:c r="A115" s="33" t="n">
        <x:v>103</x:v>
      </x:c>
      <x:c r="B115" s="32" t="e">
        <x:f>IF(A115=1,Dashboard!$F$14,F114)</x:f>
      </x:c>
      <x:c r="C115" s="32" t="n">
        <x:f>0</x:f>
        <x:v>0</x:v>
      </x:c>
      <x:c r="D115" s="32" t="e">
        <x:f>IF(A115&lt;=Dashboard!$F$15,B115*Dashboard!$F$6,0)</x:f>
      </x:c>
      <x:c r="E115" s="32" t="e">
        <x:f>IF(A115&lt;=Dashboard!$F$15,MIN(Dashboard!$F$10,B115+D115),0)</x:f>
      </x:c>
      <x:c r="F115" s="32" t="e">
        <x:f>IF(A115&lt;=Dashboard!$F$15,MAX(0,B115-MAX(0,E115-D115)),0)</x:f>
      </x:c>
      <x:c r="G115" s="32" t="e">
        <x:f>IF(A115=1,D115,G114+D115)</x:f>
      </x:c>
      <x:c r="H115" s="32"/>
      <x:c r="I115" s="32" t="e">
        <x:f>IF(A115=1,Dashboard!$F$14,M114)</x:f>
      </x:c>
      <x:c r="J115" s="32" t="e">
        <x:f>IF(A115&lt;=Dashboard!$F$17,MIN(I115,$B$5),0)</x:f>
      </x:c>
      <x:c r="K115" s="32" t="e">
        <x:f>IF(A115&lt;=Dashboard!$F$17,MAX(0,I115-J115)*Dashboard!$F$6,0)</x:f>
      </x:c>
      <x:c r="L115" s="32" t="e">
        <x:f>IF(A115&lt;=Dashboard!$F$17,MIN(Dashboard!$F$10,MAX(0,I115-J115)+K115),0)</x:f>
      </x:c>
      <x:c r="M115" s="32" t="e">
        <x:f>IF(A115&lt;=Dashboard!$F$17,MAX(0,I115-J115-MAX(0,L115-K115)),0)</x:f>
      </x:c>
      <x:c r="N115" s="32" t="e">
        <x:f>IF(A115=1,K115,N114+K115)</x:f>
      </x:c>
      <x:c r="O115" s="32"/>
      <x:c r="P115" s="32" t="e">
        <x:f>IF(A115=1,Dashboard!$F$14,T114)</x:f>
      </x:c>
      <x:c r="Q115" s="32" t="e">
        <x:f>IF(A115&lt;=Dashboard!$F$17,MIN(P115,$B$6*52/12),0)</x:f>
      </x:c>
      <x:c r="R115" s="32" t="e">
        <x:f>IF(A115&lt;=Dashboard!$F$17,MAX(0,P115-Q115)*Dashboard!$F$6,0)</x:f>
      </x:c>
      <x:c r="S115" s="32" t="e">
        <x:f>IF(A115&lt;=Dashboard!$F$17,MIN(Dashboard!$F$10,MAX(0,P115-Q115)+R115),0)</x:f>
      </x:c>
      <x:c r="T115" s="32" t="e">
        <x:f>IF(A115&lt;=Dashboard!$F$17,MAX(0,P115-Q115-MAX(0,S115-R115)),0)</x:f>
      </x:c>
      <x:c r="U115" s="32" t="e">
        <x:f>IF(A115=1,R115,U114+R115)</x:f>
      </x:c>
      <x:c r="V115" s="32"/>
      <x:c r="W115" s="32" t="e">
        <x:f>IF(A115=1,Dashboard!$F$14,AA114)</x:f>
      </x:c>
      <x:c r="X115" s="32" t="e">
        <x:f>IF(AND(A115&lt;=Dashboard!$F$17,MOD(A115-1,12)=0),MIN(W115,$B$7),0)</x:f>
      </x:c>
      <x:c r="Y115" s="32" t="e">
        <x:f>IF(A115&lt;=Dashboard!$F$17,MAX(0,W115-X115)*Dashboard!$F$6,0)</x:f>
      </x:c>
      <x:c r="Z115" s="32" t="e">
        <x:f>IF(A115&lt;=Dashboard!$F$17,MIN(Dashboard!$F$10,MAX(0,W115-X115)+Y115),0)</x:f>
      </x:c>
      <x:c r="AA115" s="32" t="e">
        <x:f>IF(A115&lt;=Dashboard!$F$17,MAX(0,W115-X115-MAX(0,Z115-Y115)),0)</x:f>
      </x:c>
      <x:c r="AB115" s="32" t="e">
        <x:f>IF(A115=1,Y115,AB114+Y115)</x:f>
      </x:c>
      <x:c r="AC115" s="32"/>
      <x:c r="AD115" s="32" t="e">
        <x:f>IF(A115=1,MAX(0,Dashboard!$F$14-$B$8),AG114)</x:f>
      </x:c>
      <x:c r="AE115" s="32" t="n">
        <x:f>0</x:f>
        <x:v>0</x:v>
      </x:c>
      <x:c r="AF115" s="32" t="e">
        <x:f>IF(A115&lt;=Dashboard!$F$17,AD115*Dashboard!$F$6,0)</x:f>
      </x:c>
      <x:c r="AG115" s="32" t="e">
        <x:f>IF(A115&lt;=Dashboard!$F$17,MIN(Dashboard!$F$10,AD115+AF115),0)</x:f>
      </x:c>
      <x:c r="AH115" s="32" t="e">
        <x:f>IF(A115&lt;=Dashboard!$F$17,MAX(0,AD115-MAX(0,AG115-AF115)),0)</x:f>
      </x:c>
      <x:c r="AI115" s="32" t="e">
        <x:f>IF(A115=1,AF115,AI114+AF115)</x:f>
      </x:c>
      <x:c r="AJ115" s="33"/>
      <x:c r="AK115" s="33"/>
      <x:c r="AL115" s="33"/>
      <x:c r="AM115" s="33"/>
    </x:row>
    <x:row r="116">
      <x:c r="A116" s="33" t="n">
        <x:v>104</x:v>
      </x:c>
      <x:c r="B116" s="32" t="e">
        <x:f>IF(A116=1,Dashboard!$F$14,F115)</x:f>
      </x:c>
      <x:c r="C116" s="32" t="n">
        <x:f>0</x:f>
        <x:v>0</x:v>
      </x:c>
      <x:c r="D116" s="32" t="e">
        <x:f>IF(A116&lt;=Dashboard!$F$15,B116*Dashboard!$F$6,0)</x:f>
      </x:c>
      <x:c r="E116" s="32" t="e">
        <x:f>IF(A116&lt;=Dashboard!$F$15,MIN(Dashboard!$F$10,B116+D116),0)</x:f>
      </x:c>
      <x:c r="F116" s="32" t="e">
        <x:f>IF(A116&lt;=Dashboard!$F$15,MAX(0,B116-MAX(0,E116-D116)),0)</x:f>
      </x:c>
      <x:c r="G116" s="32" t="e">
        <x:f>IF(A116=1,D116,G115+D116)</x:f>
      </x:c>
      <x:c r="H116" s="32"/>
      <x:c r="I116" s="32" t="e">
        <x:f>IF(A116=1,Dashboard!$F$14,M115)</x:f>
      </x:c>
      <x:c r="J116" s="32" t="e">
        <x:f>IF(A116&lt;=Dashboard!$F$17,MIN(I116,$B$5),0)</x:f>
      </x:c>
      <x:c r="K116" s="32" t="e">
        <x:f>IF(A116&lt;=Dashboard!$F$17,MAX(0,I116-J116)*Dashboard!$F$6,0)</x:f>
      </x:c>
      <x:c r="L116" s="32" t="e">
        <x:f>IF(A116&lt;=Dashboard!$F$17,MIN(Dashboard!$F$10,MAX(0,I116-J116)+K116),0)</x:f>
      </x:c>
      <x:c r="M116" s="32" t="e">
        <x:f>IF(A116&lt;=Dashboard!$F$17,MAX(0,I116-J116-MAX(0,L116-K116)),0)</x:f>
      </x:c>
      <x:c r="N116" s="32" t="e">
        <x:f>IF(A116=1,K116,N115+K116)</x:f>
      </x:c>
      <x:c r="O116" s="32"/>
      <x:c r="P116" s="32" t="e">
        <x:f>IF(A116=1,Dashboard!$F$14,T115)</x:f>
      </x:c>
      <x:c r="Q116" s="32" t="e">
        <x:f>IF(A116&lt;=Dashboard!$F$17,MIN(P116,$B$6*52/12),0)</x:f>
      </x:c>
      <x:c r="R116" s="32" t="e">
        <x:f>IF(A116&lt;=Dashboard!$F$17,MAX(0,P116-Q116)*Dashboard!$F$6,0)</x:f>
      </x:c>
      <x:c r="S116" s="32" t="e">
        <x:f>IF(A116&lt;=Dashboard!$F$17,MIN(Dashboard!$F$10,MAX(0,P116-Q116)+R116),0)</x:f>
      </x:c>
      <x:c r="T116" s="32" t="e">
        <x:f>IF(A116&lt;=Dashboard!$F$17,MAX(0,P116-Q116-MAX(0,S116-R116)),0)</x:f>
      </x:c>
      <x:c r="U116" s="32" t="e">
        <x:f>IF(A116=1,R116,U115+R116)</x:f>
      </x:c>
      <x:c r="V116" s="32"/>
      <x:c r="W116" s="32" t="e">
        <x:f>IF(A116=1,Dashboard!$F$14,AA115)</x:f>
      </x:c>
      <x:c r="X116" s="32" t="e">
        <x:f>IF(AND(A116&lt;=Dashboard!$F$17,MOD(A116-1,12)=0),MIN(W116,$B$7),0)</x:f>
      </x:c>
      <x:c r="Y116" s="32" t="e">
        <x:f>IF(A116&lt;=Dashboard!$F$17,MAX(0,W116-X116)*Dashboard!$F$6,0)</x:f>
      </x:c>
      <x:c r="Z116" s="32" t="e">
        <x:f>IF(A116&lt;=Dashboard!$F$17,MIN(Dashboard!$F$10,MAX(0,W116-X116)+Y116),0)</x:f>
      </x:c>
      <x:c r="AA116" s="32" t="e">
        <x:f>IF(A116&lt;=Dashboard!$F$17,MAX(0,W116-X116-MAX(0,Z116-Y116)),0)</x:f>
      </x:c>
      <x:c r="AB116" s="32" t="e">
        <x:f>IF(A116=1,Y116,AB115+Y116)</x:f>
      </x:c>
      <x:c r="AC116" s="32"/>
      <x:c r="AD116" s="32" t="e">
        <x:f>IF(A116=1,MAX(0,Dashboard!$F$14-$B$8),AG115)</x:f>
      </x:c>
      <x:c r="AE116" s="32" t="n">
        <x:f>0</x:f>
        <x:v>0</x:v>
      </x:c>
      <x:c r="AF116" s="32" t="e">
        <x:f>IF(A116&lt;=Dashboard!$F$17,AD116*Dashboard!$F$6,0)</x:f>
      </x:c>
      <x:c r="AG116" s="32" t="e">
        <x:f>IF(A116&lt;=Dashboard!$F$17,MIN(Dashboard!$F$10,AD116+AF116),0)</x:f>
      </x:c>
      <x:c r="AH116" s="32" t="e">
        <x:f>IF(A116&lt;=Dashboard!$F$17,MAX(0,AD116-MAX(0,AG116-AF116)),0)</x:f>
      </x:c>
      <x:c r="AI116" s="32" t="e">
        <x:f>IF(A116=1,AF116,AI115+AF116)</x:f>
      </x:c>
      <x:c r="AJ116" s="33"/>
      <x:c r="AK116" s="33"/>
      <x:c r="AL116" s="33"/>
      <x:c r="AM116" s="33"/>
    </x:row>
    <x:row r="117">
      <x:c r="A117" s="33" t="n">
        <x:v>105</x:v>
      </x:c>
      <x:c r="B117" s="32" t="e">
        <x:f>IF(A117=1,Dashboard!$F$14,F116)</x:f>
      </x:c>
      <x:c r="C117" s="32" t="n">
        <x:f>0</x:f>
        <x:v>0</x:v>
      </x:c>
      <x:c r="D117" s="32" t="e">
        <x:f>IF(A117&lt;=Dashboard!$F$15,B117*Dashboard!$F$6,0)</x:f>
      </x:c>
      <x:c r="E117" s="32" t="e">
        <x:f>IF(A117&lt;=Dashboard!$F$15,MIN(Dashboard!$F$10,B117+D117),0)</x:f>
      </x:c>
      <x:c r="F117" s="32" t="e">
        <x:f>IF(A117&lt;=Dashboard!$F$15,MAX(0,B117-MAX(0,E117-D117)),0)</x:f>
      </x:c>
      <x:c r="G117" s="32" t="e">
        <x:f>IF(A117=1,D117,G116+D117)</x:f>
      </x:c>
      <x:c r="H117" s="32"/>
      <x:c r="I117" s="32" t="e">
        <x:f>IF(A117=1,Dashboard!$F$14,M116)</x:f>
      </x:c>
      <x:c r="J117" s="32" t="e">
        <x:f>IF(A117&lt;=Dashboard!$F$17,MIN(I117,$B$5),0)</x:f>
      </x:c>
      <x:c r="K117" s="32" t="e">
        <x:f>IF(A117&lt;=Dashboard!$F$17,MAX(0,I117-J117)*Dashboard!$F$6,0)</x:f>
      </x:c>
      <x:c r="L117" s="32" t="e">
        <x:f>IF(A117&lt;=Dashboard!$F$17,MIN(Dashboard!$F$10,MAX(0,I117-J117)+K117),0)</x:f>
      </x:c>
      <x:c r="M117" s="32" t="e">
        <x:f>IF(A117&lt;=Dashboard!$F$17,MAX(0,I117-J117-MAX(0,L117-K117)),0)</x:f>
      </x:c>
      <x:c r="N117" s="32" t="e">
        <x:f>IF(A117=1,K117,N116+K117)</x:f>
      </x:c>
      <x:c r="O117" s="32"/>
      <x:c r="P117" s="32" t="e">
        <x:f>IF(A117=1,Dashboard!$F$14,T116)</x:f>
      </x:c>
      <x:c r="Q117" s="32" t="e">
        <x:f>IF(A117&lt;=Dashboard!$F$17,MIN(P117,$B$6*52/12),0)</x:f>
      </x:c>
      <x:c r="R117" s="32" t="e">
        <x:f>IF(A117&lt;=Dashboard!$F$17,MAX(0,P117-Q117)*Dashboard!$F$6,0)</x:f>
      </x:c>
      <x:c r="S117" s="32" t="e">
        <x:f>IF(A117&lt;=Dashboard!$F$17,MIN(Dashboard!$F$10,MAX(0,P117-Q117)+R117),0)</x:f>
      </x:c>
      <x:c r="T117" s="32" t="e">
        <x:f>IF(A117&lt;=Dashboard!$F$17,MAX(0,P117-Q117-MAX(0,S117-R117)),0)</x:f>
      </x:c>
      <x:c r="U117" s="32" t="e">
        <x:f>IF(A117=1,R117,U116+R117)</x:f>
      </x:c>
      <x:c r="V117" s="32"/>
      <x:c r="W117" s="32" t="e">
        <x:f>IF(A117=1,Dashboard!$F$14,AA116)</x:f>
      </x:c>
      <x:c r="X117" s="32" t="e">
        <x:f>IF(AND(A117&lt;=Dashboard!$F$17,MOD(A117-1,12)=0),MIN(W117,$B$7),0)</x:f>
      </x:c>
      <x:c r="Y117" s="32" t="e">
        <x:f>IF(A117&lt;=Dashboard!$F$17,MAX(0,W117-X117)*Dashboard!$F$6,0)</x:f>
      </x:c>
      <x:c r="Z117" s="32" t="e">
        <x:f>IF(A117&lt;=Dashboard!$F$17,MIN(Dashboard!$F$10,MAX(0,W117-X117)+Y117),0)</x:f>
      </x:c>
      <x:c r="AA117" s="32" t="e">
        <x:f>IF(A117&lt;=Dashboard!$F$17,MAX(0,W117-X117-MAX(0,Z117-Y117)),0)</x:f>
      </x:c>
      <x:c r="AB117" s="32" t="e">
        <x:f>IF(A117=1,Y117,AB116+Y117)</x:f>
      </x:c>
      <x:c r="AC117" s="32"/>
      <x:c r="AD117" s="32" t="e">
        <x:f>IF(A117=1,MAX(0,Dashboard!$F$14-$B$8),AG116)</x:f>
      </x:c>
      <x:c r="AE117" s="32" t="n">
        <x:f>0</x:f>
        <x:v>0</x:v>
      </x:c>
      <x:c r="AF117" s="32" t="e">
        <x:f>IF(A117&lt;=Dashboard!$F$17,AD117*Dashboard!$F$6,0)</x:f>
      </x:c>
      <x:c r="AG117" s="32" t="e">
        <x:f>IF(A117&lt;=Dashboard!$F$17,MIN(Dashboard!$F$10,AD117+AF117),0)</x:f>
      </x:c>
      <x:c r="AH117" s="32" t="e">
        <x:f>IF(A117&lt;=Dashboard!$F$17,MAX(0,AD117-MAX(0,AG117-AF117)),0)</x:f>
      </x:c>
      <x:c r="AI117" s="32" t="e">
        <x:f>IF(A117=1,AF117,AI116+AF117)</x:f>
      </x:c>
      <x:c r="AJ117" s="33"/>
      <x:c r="AK117" s="33"/>
      <x:c r="AL117" s="33"/>
      <x:c r="AM117" s="33"/>
    </x:row>
    <x:row r="118">
      <x:c r="A118" s="33" t="n">
        <x:v>106</x:v>
      </x:c>
      <x:c r="B118" s="32" t="e">
        <x:f>IF(A118=1,Dashboard!$F$14,F117)</x:f>
      </x:c>
      <x:c r="C118" s="32" t="n">
        <x:f>0</x:f>
        <x:v>0</x:v>
      </x:c>
      <x:c r="D118" s="32" t="e">
        <x:f>IF(A118&lt;=Dashboard!$F$15,B118*Dashboard!$F$6,0)</x:f>
      </x:c>
      <x:c r="E118" s="32" t="e">
        <x:f>IF(A118&lt;=Dashboard!$F$15,MIN(Dashboard!$F$10,B118+D118),0)</x:f>
      </x:c>
      <x:c r="F118" s="32" t="e">
        <x:f>IF(A118&lt;=Dashboard!$F$15,MAX(0,B118-MAX(0,E118-D118)),0)</x:f>
      </x:c>
      <x:c r="G118" s="32" t="e">
        <x:f>IF(A118=1,D118,G117+D118)</x:f>
      </x:c>
      <x:c r="H118" s="32"/>
      <x:c r="I118" s="32" t="e">
        <x:f>IF(A118=1,Dashboard!$F$14,M117)</x:f>
      </x:c>
      <x:c r="J118" s="32" t="e">
        <x:f>IF(A118&lt;=Dashboard!$F$17,MIN(I118,$B$5),0)</x:f>
      </x:c>
      <x:c r="K118" s="32" t="e">
        <x:f>IF(A118&lt;=Dashboard!$F$17,MAX(0,I118-J118)*Dashboard!$F$6,0)</x:f>
      </x:c>
      <x:c r="L118" s="32" t="e">
        <x:f>IF(A118&lt;=Dashboard!$F$17,MIN(Dashboard!$F$10,MAX(0,I118-J118)+K118),0)</x:f>
      </x:c>
      <x:c r="M118" s="32" t="e">
        <x:f>IF(A118&lt;=Dashboard!$F$17,MAX(0,I118-J118-MAX(0,L118-K118)),0)</x:f>
      </x:c>
      <x:c r="N118" s="32" t="e">
        <x:f>IF(A118=1,K118,N117+K118)</x:f>
      </x:c>
      <x:c r="O118" s="32"/>
      <x:c r="P118" s="32" t="e">
        <x:f>IF(A118=1,Dashboard!$F$14,T117)</x:f>
      </x:c>
      <x:c r="Q118" s="32" t="e">
        <x:f>IF(A118&lt;=Dashboard!$F$17,MIN(P118,$B$6*52/12),0)</x:f>
      </x:c>
      <x:c r="R118" s="32" t="e">
        <x:f>IF(A118&lt;=Dashboard!$F$17,MAX(0,P118-Q118)*Dashboard!$F$6,0)</x:f>
      </x:c>
      <x:c r="S118" s="32" t="e">
        <x:f>IF(A118&lt;=Dashboard!$F$17,MIN(Dashboard!$F$10,MAX(0,P118-Q118)+R118),0)</x:f>
      </x:c>
      <x:c r="T118" s="32" t="e">
        <x:f>IF(A118&lt;=Dashboard!$F$17,MAX(0,P118-Q118-MAX(0,S118-R118)),0)</x:f>
      </x:c>
      <x:c r="U118" s="32" t="e">
        <x:f>IF(A118=1,R118,U117+R118)</x:f>
      </x:c>
      <x:c r="V118" s="32"/>
      <x:c r="W118" s="32" t="e">
        <x:f>IF(A118=1,Dashboard!$F$14,AA117)</x:f>
      </x:c>
      <x:c r="X118" s="32" t="e">
        <x:f>IF(AND(A118&lt;=Dashboard!$F$17,MOD(A118-1,12)=0),MIN(W118,$B$7),0)</x:f>
      </x:c>
      <x:c r="Y118" s="32" t="e">
        <x:f>IF(A118&lt;=Dashboard!$F$17,MAX(0,W118-X118)*Dashboard!$F$6,0)</x:f>
      </x:c>
      <x:c r="Z118" s="32" t="e">
        <x:f>IF(A118&lt;=Dashboard!$F$17,MIN(Dashboard!$F$10,MAX(0,W118-X118)+Y118),0)</x:f>
      </x:c>
      <x:c r="AA118" s="32" t="e">
        <x:f>IF(A118&lt;=Dashboard!$F$17,MAX(0,W118-X118-MAX(0,Z118-Y118)),0)</x:f>
      </x:c>
      <x:c r="AB118" s="32" t="e">
        <x:f>IF(A118=1,Y118,AB117+Y118)</x:f>
      </x:c>
      <x:c r="AC118" s="32"/>
      <x:c r="AD118" s="32" t="e">
        <x:f>IF(A118=1,MAX(0,Dashboard!$F$14-$B$8),AG117)</x:f>
      </x:c>
      <x:c r="AE118" s="32" t="n">
        <x:f>0</x:f>
        <x:v>0</x:v>
      </x:c>
      <x:c r="AF118" s="32" t="e">
        <x:f>IF(A118&lt;=Dashboard!$F$17,AD118*Dashboard!$F$6,0)</x:f>
      </x:c>
      <x:c r="AG118" s="32" t="e">
        <x:f>IF(A118&lt;=Dashboard!$F$17,MIN(Dashboard!$F$10,AD118+AF118),0)</x:f>
      </x:c>
      <x:c r="AH118" s="32" t="e">
        <x:f>IF(A118&lt;=Dashboard!$F$17,MAX(0,AD118-MAX(0,AG118-AF118)),0)</x:f>
      </x:c>
      <x:c r="AI118" s="32" t="e">
        <x:f>IF(A118=1,AF118,AI117+AF118)</x:f>
      </x:c>
      <x:c r="AJ118" s="33"/>
      <x:c r="AK118" s="33"/>
      <x:c r="AL118" s="33"/>
      <x:c r="AM118" s="33"/>
    </x:row>
    <x:row r="119">
      <x:c r="A119" s="33" t="n">
        <x:v>107</x:v>
      </x:c>
      <x:c r="B119" s="32" t="e">
        <x:f>IF(A119=1,Dashboard!$F$14,F118)</x:f>
      </x:c>
      <x:c r="C119" s="32" t="n">
        <x:f>0</x:f>
        <x:v>0</x:v>
      </x:c>
      <x:c r="D119" s="32" t="e">
        <x:f>IF(A119&lt;=Dashboard!$F$15,B119*Dashboard!$F$6,0)</x:f>
      </x:c>
      <x:c r="E119" s="32" t="e">
        <x:f>IF(A119&lt;=Dashboard!$F$15,MIN(Dashboard!$F$10,B119+D119),0)</x:f>
      </x:c>
      <x:c r="F119" s="32" t="e">
        <x:f>IF(A119&lt;=Dashboard!$F$15,MAX(0,B119-MAX(0,E119-D119)),0)</x:f>
      </x:c>
      <x:c r="G119" s="32" t="e">
        <x:f>IF(A119=1,D119,G118+D119)</x:f>
      </x:c>
      <x:c r="H119" s="32"/>
      <x:c r="I119" s="32" t="e">
        <x:f>IF(A119=1,Dashboard!$F$14,M118)</x:f>
      </x:c>
      <x:c r="J119" s="32" t="e">
        <x:f>IF(A119&lt;=Dashboard!$F$17,MIN(I119,$B$5),0)</x:f>
      </x:c>
      <x:c r="K119" s="32" t="e">
        <x:f>IF(A119&lt;=Dashboard!$F$17,MAX(0,I119-J119)*Dashboard!$F$6,0)</x:f>
      </x:c>
      <x:c r="L119" s="32" t="e">
        <x:f>IF(A119&lt;=Dashboard!$F$17,MIN(Dashboard!$F$10,MAX(0,I119-J119)+K119),0)</x:f>
      </x:c>
      <x:c r="M119" s="32" t="e">
        <x:f>IF(A119&lt;=Dashboard!$F$17,MAX(0,I119-J119-MAX(0,L119-K119)),0)</x:f>
      </x:c>
      <x:c r="N119" s="32" t="e">
        <x:f>IF(A119=1,K119,N118+K119)</x:f>
      </x:c>
      <x:c r="O119" s="32"/>
      <x:c r="P119" s="32" t="e">
        <x:f>IF(A119=1,Dashboard!$F$14,T118)</x:f>
      </x:c>
      <x:c r="Q119" s="32" t="e">
        <x:f>IF(A119&lt;=Dashboard!$F$17,MIN(P119,$B$6*52/12),0)</x:f>
      </x:c>
      <x:c r="R119" s="32" t="e">
        <x:f>IF(A119&lt;=Dashboard!$F$17,MAX(0,P119-Q119)*Dashboard!$F$6,0)</x:f>
      </x:c>
      <x:c r="S119" s="32" t="e">
        <x:f>IF(A119&lt;=Dashboard!$F$17,MIN(Dashboard!$F$10,MAX(0,P119-Q119)+R119),0)</x:f>
      </x:c>
      <x:c r="T119" s="32" t="e">
        <x:f>IF(A119&lt;=Dashboard!$F$17,MAX(0,P119-Q119-MAX(0,S119-R119)),0)</x:f>
      </x:c>
      <x:c r="U119" s="32" t="e">
        <x:f>IF(A119=1,R119,U118+R119)</x:f>
      </x:c>
      <x:c r="V119" s="32"/>
      <x:c r="W119" s="32" t="e">
        <x:f>IF(A119=1,Dashboard!$F$14,AA118)</x:f>
      </x:c>
      <x:c r="X119" s="32" t="e">
        <x:f>IF(AND(A119&lt;=Dashboard!$F$17,MOD(A119-1,12)=0),MIN(W119,$B$7),0)</x:f>
      </x:c>
      <x:c r="Y119" s="32" t="e">
        <x:f>IF(A119&lt;=Dashboard!$F$17,MAX(0,W119-X119)*Dashboard!$F$6,0)</x:f>
      </x:c>
      <x:c r="Z119" s="32" t="e">
        <x:f>IF(A119&lt;=Dashboard!$F$17,MIN(Dashboard!$F$10,MAX(0,W119-X119)+Y119),0)</x:f>
      </x:c>
      <x:c r="AA119" s="32" t="e">
        <x:f>IF(A119&lt;=Dashboard!$F$17,MAX(0,W119-X119-MAX(0,Z119-Y119)),0)</x:f>
      </x:c>
      <x:c r="AB119" s="32" t="e">
        <x:f>IF(A119=1,Y119,AB118+Y119)</x:f>
      </x:c>
      <x:c r="AC119" s="32"/>
      <x:c r="AD119" s="32" t="e">
        <x:f>IF(A119=1,MAX(0,Dashboard!$F$14-$B$8),AG118)</x:f>
      </x:c>
      <x:c r="AE119" s="32" t="n">
        <x:f>0</x:f>
        <x:v>0</x:v>
      </x:c>
      <x:c r="AF119" s="32" t="e">
        <x:f>IF(A119&lt;=Dashboard!$F$17,AD119*Dashboard!$F$6,0)</x:f>
      </x:c>
      <x:c r="AG119" s="32" t="e">
        <x:f>IF(A119&lt;=Dashboard!$F$17,MIN(Dashboard!$F$10,AD119+AF119),0)</x:f>
      </x:c>
      <x:c r="AH119" s="32" t="e">
        <x:f>IF(A119&lt;=Dashboard!$F$17,MAX(0,AD119-MAX(0,AG119-AF119)),0)</x:f>
      </x:c>
      <x:c r="AI119" s="32" t="e">
        <x:f>IF(A119=1,AF119,AI118+AF119)</x:f>
      </x:c>
      <x:c r="AJ119" s="33"/>
      <x:c r="AK119" s="33"/>
      <x:c r="AL119" s="33"/>
      <x:c r="AM119" s="33"/>
    </x:row>
    <x:row r="120">
      <x:c r="A120" s="33" t="n">
        <x:v>108</x:v>
      </x:c>
      <x:c r="B120" s="32" t="e">
        <x:f>IF(A120=1,Dashboard!$F$14,F119)</x:f>
      </x:c>
      <x:c r="C120" s="32" t="n">
        <x:f>0</x:f>
        <x:v>0</x:v>
      </x:c>
      <x:c r="D120" s="32" t="e">
        <x:f>IF(A120&lt;=Dashboard!$F$15,B120*Dashboard!$F$6,0)</x:f>
      </x:c>
      <x:c r="E120" s="32" t="e">
        <x:f>IF(A120&lt;=Dashboard!$F$15,MIN(Dashboard!$F$10,B120+D120),0)</x:f>
      </x:c>
      <x:c r="F120" s="32" t="e">
        <x:f>IF(A120&lt;=Dashboard!$F$15,MAX(0,B120-MAX(0,E120-D120)),0)</x:f>
      </x:c>
      <x:c r="G120" s="32" t="e">
        <x:f>IF(A120=1,D120,G119+D120)</x:f>
      </x:c>
      <x:c r="H120" s="32"/>
      <x:c r="I120" s="32" t="e">
        <x:f>IF(A120=1,Dashboard!$F$14,M119)</x:f>
      </x:c>
      <x:c r="J120" s="32" t="e">
        <x:f>IF(A120&lt;=Dashboard!$F$17,MIN(I120,$B$5),0)</x:f>
      </x:c>
      <x:c r="K120" s="32" t="e">
        <x:f>IF(A120&lt;=Dashboard!$F$17,MAX(0,I120-J120)*Dashboard!$F$6,0)</x:f>
      </x:c>
      <x:c r="L120" s="32" t="e">
        <x:f>IF(A120&lt;=Dashboard!$F$17,MIN(Dashboard!$F$10,MAX(0,I120-J120)+K120),0)</x:f>
      </x:c>
      <x:c r="M120" s="32" t="e">
        <x:f>IF(A120&lt;=Dashboard!$F$17,MAX(0,I120-J120-MAX(0,L120-K120)),0)</x:f>
      </x:c>
      <x:c r="N120" s="32" t="e">
        <x:f>IF(A120=1,K120,N119+K120)</x:f>
      </x:c>
      <x:c r="O120" s="32"/>
      <x:c r="P120" s="32" t="e">
        <x:f>IF(A120=1,Dashboard!$F$14,T119)</x:f>
      </x:c>
      <x:c r="Q120" s="32" t="e">
        <x:f>IF(A120&lt;=Dashboard!$F$17,MIN(P120,$B$6*52/12),0)</x:f>
      </x:c>
      <x:c r="R120" s="32" t="e">
        <x:f>IF(A120&lt;=Dashboard!$F$17,MAX(0,P120-Q120)*Dashboard!$F$6,0)</x:f>
      </x:c>
      <x:c r="S120" s="32" t="e">
        <x:f>IF(A120&lt;=Dashboard!$F$17,MIN(Dashboard!$F$10,MAX(0,P120-Q120)+R120),0)</x:f>
      </x:c>
      <x:c r="T120" s="32" t="e">
        <x:f>IF(A120&lt;=Dashboard!$F$17,MAX(0,P120-Q120-MAX(0,S120-R120)),0)</x:f>
      </x:c>
      <x:c r="U120" s="32" t="e">
        <x:f>IF(A120=1,R120,U119+R120)</x:f>
      </x:c>
      <x:c r="V120" s="32"/>
      <x:c r="W120" s="32" t="e">
        <x:f>IF(A120=1,Dashboard!$F$14,AA119)</x:f>
      </x:c>
      <x:c r="X120" s="32" t="e">
        <x:f>IF(AND(A120&lt;=Dashboard!$F$17,MOD(A120-1,12)=0),MIN(W120,$B$7),0)</x:f>
      </x:c>
      <x:c r="Y120" s="32" t="e">
        <x:f>IF(A120&lt;=Dashboard!$F$17,MAX(0,W120-X120)*Dashboard!$F$6,0)</x:f>
      </x:c>
      <x:c r="Z120" s="32" t="e">
        <x:f>IF(A120&lt;=Dashboard!$F$17,MIN(Dashboard!$F$10,MAX(0,W120-X120)+Y120),0)</x:f>
      </x:c>
      <x:c r="AA120" s="32" t="e">
        <x:f>IF(A120&lt;=Dashboard!$F$17,MAX(0,W120-X120-MAX(0,Z120-Y120)),0)</x:f>
      </x:c>
      <x:c r="AB120" s="32" t="e">
        <x:f>IF(A120=1,Y120,AB119+Y120)</x:f>
      </x:c>
      <x:c r="AC120" s="32"/>
      <x:c r="AD120" s="32" t="e">
        <x:f>IF(A120=1,MAX(0,Dashboard!$F$14-$B$8),AG119)</x:f>
      </x:c>
      <x:c r="AE120" s="32" t="n">
        <x:f>0</x:f>
        <x:v>0</x:v>
      </x:c>
      <x:c r="AF120" s="32" t="e">
        <x:f>IF(A120&lt;=Dashboard!$F$17,AD120*Dashboard!$F$6,0)</x:f>
      </x:c>
      <x:c r="AG120" s="32" t="e">
        <x:f>IF(A120&lt;=Dashboard!$F$17,MIN(Dashboard!$F$10,AD120+AF120),0)</x:f>
      </x:c>
      <x:c r="AH120" s="32" t="e">
        <x:f>IF(A120&lt;=Dashboard!$F$17,MAX(0,AD120-MAX(0,AG120-AF120)),0)</x:f>
      </x:c>
      <x:c r="AI120" s="32" t="e">
        <x:f>IF(A120=1,AF120,AI119+AF120)</x:f>
      </x:c>
      <x:c r="AJ120" s="33"/>
      <x:c r="AK120" s="33"/>
      <x:c r="AL120" s="33"/>
      <x:c r="AM120" s="33"/>
    </x:row>
    <x:row r="121">
      <x:c r="A121" s="33" t="n">
        <x:v>109</x:v>
      </x:c>
      <x:c r="B121" s="32" t="e">
        <x:f>IF(A121=1,Dashboard!$F$14,F120)</x:f>
      </x:c>
      <x:c r="C121" s="32" t="n">
        <x:f>0</x:f>
        <x:v>0</x:v>
      </x:c>
      <x:c r="D121" s="32" t="e">
        <x:f>IF(A121&lt;=Dashboard!$F$15,B121*Dashboard!$F$6,0)</x:f>
      </x:c>
      <x:c r="E121" s="32" t="e">
        <x:f>IF(A121&lt;=Dashboard!$F$15,MIN(Dashboard!$F$10,B121+D121),0)</x:f>
      </x:c>
      <x:c r="F121" s="32" t="e">
        <x:f>IF(A121&lt;=Dashboard!$F$15,MAX(0,B121-MAX(0,E121-D121)),0)</x:f>
      </x:c>
      <x:c r="G121" s="32" t="e">
        <x:f>IF(A121=1,D121,G120+D121)</x:f>
      </x:c>
      <x:c r="H121" s="32"/>
      <x:c r="I121" s="32" t="e">
        <x:f>IF(A121=1,Dashboard!$F$14,M120)</x:f>
      </x:c>
      <x:c r="J121" s="32" t="e">
        <x:f>IF(A121&lt;=Dashboard!$F$17,MIN(I121,$B$5),0)</x:f>
      </x:c>
      <x:c r="K121" s="32" t="e">
        <x:f>IF(A121&lt;=Dashboard!$F$17,MAX(0,I121-J121)*Dashboard!$F$6,0)</x:f>
      </x:c>
      <x:c r="L121" s="32" t="e">
        <x:f>IF(A121&lt;=Dashboard!$F$17,MIN(Dashboard!$F$10,MAX(0,I121-J121)+K121),0)</x:f>
      </x:c>
      <x:c r="M121" s="32" t="e">
        <x:f>IF(A121&lt;=Dashboard!$F$17,MAX(0,I121-J121-MAX(0,L121-K121)),0)</x:f>
      </x:c>
      <x:c r="N121" s="32" t="e">
        <x:f>IF(A121=1,K121,N120+K121)</x:f>
      </x:c>
      <x:c r="O121" s="32"/>
      <x:c r="P121" s="32" t="e">
        <x:f>IF(A121=1,Dashboard!$F$14,T120)</x:f>
      </x:c>
      <x:c r="Q121" s="32" t="e">
        <x:f>IF(A121&lt;=Dashboard!$F$17,MIN(P121,$B$6*52/12),0)</x:f>
      </x:c>
      <x:c r="R121" s="32" t="e">
        <x:f>IF(A121&lt;=Dashboard!$F$17,MAX(0,P121-Q121)*Dashboard!$F$6,0)</x:f>
      </x:c>
      <x:c r="S121" s="32" t="e">
        <x:f>IF(A121&lt;=Dashboard!$F$17,MIN(Dashboard!$F$10,MAX(0,P121-Q121)+R121),0)</x:f>
      </x:c>
      <x:c r="T121" s="32" t="e">
        <x:f>IF(A121&lt;=Dashboard!$F$17,MAX(0,P121-Q121-MAX(0,S121-R121)),0)</x:f>
      </x:c>
      <x:c r="U121" s="32" t="e">
        <x:f>IF(A121=1,R121,U120+R121)</x:f>
      </x:c>
      <x:c r="V121" s="32"/>
      <x:c r="W121" s="32" t="e">
        <x:f>IF(A121=1,Dashboard!$F$14,AA120)</x:f>
      </x:c>
      <x:c r="X121" s="32" t="e">
        <x:f>IF(AND(A121&lt;=Dashboard!$F$17,MOD(A121-1,12)=0),MIN(W121,$B$7),0)</x:f>
      </x:c>
      <x:c r="Y121" s="32" t="e">
        <x:f>IF(A121&lt;=Dashboard!$F$17,MAX(0,W121-X121)*Dashboard!$F$6,0)</x:f>
      </x:c>
      <x:c r="Z121" s="32" t="e">
        <x:f>IF(A121&lt;=Dashboard!$F$17,MIN(Dashboard!$F$10,MAX(0,W121-X121)+Y121),0)</x:f>
      </x:c>
      <x:c r="AA121" s="32" t="e">
        <x:f>IF(A121&lt;=Dashboard!$F$17,MAX(0,W121-X121-MAX(0,Z121-Y121)),0)</x:f>
      </x:c>
      <x:c r="AB121" s="32" t="e">
        <x:f>IF(A121=1,Y121,AB120+Y121)</x:f>
      </x:c>
      <x:c r="AC121" s="32"/>
      <x:c r="AD121" s="32" t="e">
        <x:f>IF(A121=1,MAX(0,Dashboard!$F$14-$B$8),AG120)</x:f>
      </x:c>
      <x:c r="AE121" s="32" t="n">
        <x:f>0</x:f>
        <x:v>0</x:v>
      </x:c>
      <x:c r="AF121" s="32" t="e">
        <x:f>IF(A121&lt;=Dashboard!$F$17,AD121*Dashboard!$F$6,0)</x:f>
      </x:c>
      <x:c r="AG121" s="32" t="e">
        <x:f>IF(A121&lt;=Dashboard!$F$17,MIN(Dashboard!$F$10,AD121+AF121),0)</x:f>
      </x:c>
      <x:c r="AH121" s="32" t="e">
        <x:f>IF(A121&lt;=Dashboard!$F$17,MAX(0,AD121-MAX(0,AG121-AF121)),0)</x:f>
      </x:c>
      <x:c r="AI121" s="32" t="e">
        <x:f>IF(A121=1,AF121,AI120+AF121)</x:f>
      </x:c>
      <x:c r="AJ121" s="33"/>
      <x:c r="AK121" s="33"/>
      <x:c r="AL121" s="33"/>
      <x:c r="AM121" s="33"/>
    </x:row>
    <x:row r="122">
      <x:c r="A122" s="33" t="n">
        <x:v>110</x:v>
      </x:c>
      <x:c r="B122" s="32" t="e">
        <x:f>IF(A122=1,Dashboard!$F$14,F121)</x:f>
      </x:c>
      <x:c r="C122" s="32" t="n">
        <x:f>0</x:f>
        <x:v>0</x:v>
      </x:c>
      <x:c r="D122" s="32" t="e">
        <x:f>IF(A122&lt;=Dashboard!$F$15,B122*Dashboard!$F$6,0)</x:f>
      </x:c>
      <x:c r="E122" s="32" t="e">
        <x:f>IF(A122&lt;=Dashboard!$F$15,MIN(Dashboard!$F$10,B122+D122),0)</x:f>
      </x:c>
      <x:c r="F122" s="32" t="e">
        <x:f>IF(A122&lt;=Dashboard!$F$15,MAX(0,B122-MAX(0,E122-D122)),0)</x:f>
      </x:c>
      <x:c r="G122" s="32" t="e">
        <x:f>IF(A122=1,D122,G121+D122)</x:f>
      </x:c>
      <x:c r="H122" s="32"/>
      <x:c r="I122" s="32" t="e">
        <x:f>IF(A122=1,Dashboard!$F$14,M121)</x:f>
      </x:c>
      <x:c r="J122" s="32" t="e">
        <x:f>IF(A122&lt;=Dashboard!$F$17,MIN(I122,$B$5),0)</x:f>
      </x:c>
      <x:c r="K122" s="32" t="e">
        <x:f>IF(A122&lt;=Dashboard!$F$17,MAX(0,I122-J122)*Dashboard!$F$6,0)</x:f>
      </x:c>
      <x:c r="L122" s="32" t="e">
        <x:f>IF(A122&lt;=Dashboard!$F$17,MIN(Dashboard!$F$10,MAX(0,I122-J122)+K122),0)</x:f>
      </x:c>
      <x:c r="M122" s="32" t="e">
        <x:f>IF(A122&lt;=Dashboard!$F$17,MAX(0,I122-J122-MAX(0,L122-K122)),0)</x:f>
      </x:c>
      <x:c r="N122" s="32" t="e">
        <x:f>IF(A122=1,K122,N121+K122)</x:f>
      </x:c>
      <x:c r="O122" s="32"/>
      <x:c r="P122" s="32" t="e">
        <x:f>IF(A122=1,Dashboard!$F$14,T121)</x:f>
      </x:c>
      <x:c r="Q122" s="32" t="e">
        <x:f>IF(A122&lt;=Dashboard!$F$17,MIN(P122,$B$6*52/12),0)</x:f>
      </x:c>
      <x:c r="R122" s="32" t="e">
        <x:f>IF(A122&lt;=Dashboard!$F$17,MAX(0,P122-Q122)*Dashboard!$F$6,0)</x:f>
      </x:c>
      <x:c r="S122" s="32" t="e">
        <x:f>IF(A122&lt;=Dashboard!$F$17,MIN(Dashboard!$F$10,MAX(0,P122-Q122)+R122),0)</x:f>
      </x:c>
      <x:c r="T122" s="32" t="e">
        <x:f>IF(A122&lt;=Dashboard!$F$17,MAX(0,P122-Q122-MAX(0,S122-R122)),0)</x:f>
      </x:c>
      <x:c r="U122" s="32" t="e">
        <x:f>IF(A122=1,R122,U121+R122)</x:f>
      </x:c>
      <x:c r="V122" s="32"/>
      <x:c r="W122" s="32" t="e">
        <x:f>IF(A122=1,Dashboard!$F$14,AA121)</x:f>
      </x:c>
      <x:c r="X122" s="32" t="e">
        <x:f>IF(AND(A122&lt;=Dashboard!$F$17,MOD(A122-1,12)=0),MIN(W122,$B$7),0)</x:f>
      </x:c>
      <x:c r="Y122" s="32" t="e">
        <x:f>IF(A122&lt;=Dashboard!$F$17,MAX(0,W122-X122)*Dashboard!$F$6,0)</x:f>
      </x:c>
      <x:c r="Z122" s="32" t="e">
        <x:f>IF(A122&lt;=Dashboard!$F$17,MIN(Dashboard!$F$10,MAX(0,W122-X122)+Y122),0)</x:f>
      </x:c>
      <x:c r="AA122" s="32" t="e">
        <x:f>IF(A122&lt;=Dashboard!$F$17,MAX(0,W122-X122-MAX(0,Z122-Y122)),0)</x:f>
      </x:c>
      <x:c r="AB122" s="32" t="e">
        <x:f>IF(A122=1,Y122,AB121+Y122)</x:f>
      </x:c>
      <x:c r="AC122" s="32"/>
      <x:c r="AD122" s="32" t="e">
        <x:f>IF(A122=1,MAX(0,Dashboard!$F$14-$B$8),AG121)</x:f>
      </x:c>
      <x:c r="AE122" s="32" t="n">
        <x:f>0</x:f>
        <x:v>0</x:v>
      </x:c>
      <x:c r="AF122" s="32" t="e">
        <x:f>IF(A122&lt;=Dashboard!$F$17,AD122*Dashboard!$F$6,0)</x:f>
      </x:c>
      <x:c r="AG122" s="32" t="e">
        <x:f>IF(A122&lt;=Dashboard!$F$17,MIN(Dashboard!$F$10,AD122+AF122),0)</x:f>
      </x:c>
      <x:c r="AH122" s="32" t="e">
        <x:f>IF(A122&lt;=Dashboard!$F$17,MAX(0,AD122-MAX(0,AG122-AF122)),0)</x:f>
      </x:c>
      <x:c r="AI122" s="32" t="e">
        <x:f>IF(A122=1,AF122,AI121+AF122)</x:f>
      </x:c>
      <x:c r="AJ122" s="33"/>
      <x:c r="AK122" s="33"/>
      <x:c r="AL122" s="33"/>
      <x:c r="AM122" s="33"/>
    </x:row>
    <x:row r="123">
      <x:c r="A123" s="33" t="n">
        <x:v>111</x:v>
      </x:c>
      <x:c r="B123" s="32" t="e">
        <x:f>IF(A123=1,Dashboard!$F$14,F122)</x:f>
      </x:c>
      <x:c r="C123" s="32" t="n">
        <x:f>0</x:f>
        <x:v>0</x:v>
      </x:c>
      <x:c r="D123" s="32" t="e">
        <x:f>IF(A123&lt;=Dashboard!$F$15,B123*Dashboard!$F$6,0)</x:f>
      </x:c>
      <x:c r="E123" s="32" t="e">
        <x:f>IF(A123&lt;=Dashboard!$F$15,MIN(Dashboard!$F$10,B123+D123),0)</x:f>
      </x:c>
      <x:c r="F123" s="32" t="e">
        <x:f>IF(A123&lt;=Dashboard!$F$15,MAX(0,B123-MAX(0,E123-D123)),0)</x:f>
      </x:c>
      <x:c r="G123" s="32" t="e">
        <x:f>IF(A123=1,D123,G122+D123)</x:f>
      </x:c>
      <x:c r="H123" s="32"/>
      <x:c r="I123" s="32" t="e">
        <x:f>IF(A123=1,Dashboard!$F$14,M122)</x:f>
      </x:c>
      <x:c r="J123" s="32" t="e">
        <x:f>IF(A123&lt;=Dashboard!$F$17,MIN(I123,$B$5),0)</x:f>
      </x:c>
      <x:c r="K123" s="32" t="e">
        <x:f>IF(A123&lt;=Dashboard!$F$17,MAX(0,I123-J123)*Dashboard!$F$6,0)</x:f>
      </x:c>
      <x:c r="L123" s="32" t="e">
        <x:f>IF(A123&lt;=Dashboard!$F$17,MIN(Dashboard!$F$10,MAX(0,I123-J123)+K123),0)</x:f>
      </x:c>
      <x:c r="M123" s="32" t="e">
        <x:f>IF(A123&lt;=Dashboard!$F$17,MAX(0,I123-J123-MAX(0,L123-K123)),0)</x:f>
      </x:c>
      <x:c r="N123" s="32" t="e">
        <x:f>IF(A123=1,K123,N122+K123)</x:f>
      </x:c>
      <x:c r="O123" s="32"/>
      <x:c r="P123" s="32" t="e">
        <x:f>IF(A123=1,Dashboard!$F$14,T122)</x:f>
      </x:c>
      <x:c r="Q123" s="32" t="e">
        <x:f>IF(A123&lt;=Dashboard!$F$17,MIN(P123,$B$6*52/12),0)</x:f>
      </x:c>
      <x:c r="R123" s="32" t="e">
        <x:f>IF(A123&lt;=Dashboard!$F$17,MAX(0,P123-Q123)*Dashboard!$F$6,0)</x:f>
      </x:c>
      <x:c r="S123" s="32" t="e">
        <x:f>IF(A123&lt;=Dashboard!$F$17,MIN(Dashboard!$F$10,MAX(0,P123-Q123)+R123),0)</x:f>
      </x:c>
      <x:c r="T123" s="32" t="e">
        <x:f>IF(A123&lt;=Dashboard!$F$17,MAX(0,P123-Q123-MAX(0,S123-R123)),0)</x:f>
      </x:c>
      <x:c r="U123" s="32" t="e">
        <x:f>IF(A123=1,R123,U122+R123)</x:f>
      </x:c>
      <x:c r="V123" s="32"/>
      <x:c r="W123" s="32" t="e">
        <x:f>IF(A123=1,Dashboard!$F$14,AA122)</x:f>
      </x:c>
      <x:c r="X123" s="32" t="e">
        <x:f>IF(AND(A123&lt;=Dashboard!$F$17,MOD(A123-1,12)=0),MIN(W123,$B$7),0)</x:f>
      </x:c>
      <x:c r="Y123" s="32" t="e">
        <x:f>IF(A123&lt;=Dashboard!$F$17,MAX(0,W123-X123)*Dashboard!$F$6,0)</x:f>
      </x:c>
      <x:c r="Z123" s="32" t="e">
        <x:f>IF(A123&lt;=Dashboard!$F$17,MIN(Dashboard!$F$10,MAX(0,W123-X123)+Y123),0)</x:f>
      </x:c>
      <x:c r="AA123" s="32" t="e">
        <x:f>IF(A123&lt;=Dashboard!$F$17,MAX(0,W123-X123-MAX(0,Z123-Y123)),0)</x:f>
      </x:c>
      <x:c r="AB123" s="32" t="e">
        <x:f>IF(A123=1,Y123,AB122+Y123)</x:f>
      </x:c>
      <x:c r="AC123" s="32"/>
      <x:c r="AD123" s="32" t="e">
        <x:f>IF(A123=1,MAX(0,Dashboard!$F$14-$B$8),AG122)</x:f>
      </x:c>
      <x:c r="AE123" s="32" t="n">
        <x:f>0</x:f>
        <x:v>0</x:v>
      </x:c>
      <x:c r="AF123" s="32" t="e">
        <x:f>IF(A123&lt;=Dashboard!$F$17,AD123*Dashboard!$F$6,0)</x:f>
      </x:c>
      <x:c r="AG123" s="32" t="e">
        <x:f>IF(A123&lt;=Dashboard!$F$17,MIN(Dashboard!$F$10,AD123+AF123),0)</x:f>
      </x:c>
      <x:c r="AH123" s="32" t="e">
        <x:f>IF(A123&lt;=Dashboard!$F$17,MAX(0,AD123-MAX(0,AG123-AF123)),0)</x:f>
      </x:c>
      <x:c r="AI123" s="32" t="e">
        <x:f>IF(A123=1,AF123,AI122+AF123)</x:f>
      </x:c>
      <x:c r="AJ123" s="33"/>
      <x:c r="AK123" s="33"/>
      <x:c r="AL123" s="33"/>
      <x:c r="AM123" s="33"/>
    </x:row>
    <x:row r="124">
      <x:c r="A124" s="33" t="n">
        <x:v>112</x:v>
      </x:c>
      <x:c r="B124" s="32" t="e">
        <x:f>IF(A124=1,Dashboard!$F$14,F123)</x:f>
      </x:c>
      <x:c r="C124" s="32" t="n">
        <x:f>0</x:f>
        <x:v>0</x:v>
      </x:c>
      <x:c r="D124" s="32" t="e">
        <x:f>IF(A124&lt;=Dashboard!$F$15,B124*Dashboard!$F$6,0)</x:f>
      </x:c>
      <x:c r="E124" s="32" t="e">
        <x:f>IF(A124&lt;=Dashboard!$F$15,MIN(Dashboard!$F$10,B124+D124),0)</x:f>
      </x:c>
      <x:c r="F124" s="32" t="e">
        <x:f>IF(A124&lt;=Dashboard!$F$15,MAX(0,B124-MAX(0,E124-D124)),0)</x:f>
      </x:c>
      <x:c r="G124" s="32" t="e">
        <x:f>IF(A124=1,D124,G123+D124)</x:f>
      </x:c>
      <x:c r="H124" s="32"/>
      <x:c r="I124" s="32" t="e">
        <x:f>IF(A124=1,Dashboard!$F$14,M123)</x:f>
      </x:c>
      <x:c r="J124" s="32" t="e">
        <x:f>IF(A124&lt;=Dashboard!$F$17,MIN(I124,$B$5),0)</x:f>
      </x:c>
      <x:c r="K124" s="32" t="e">
        <x:f>IF(A124&lt;=Dashboard!$F$17,MAX(0,I124-J124)*Dashboard!$F$6,0)</x:f>
      </x:c>
      <x:c r="L124" s="32" t="e">
        <x:f>IF(A124&lt;=Dashboard!$F$17,MIN(Dashboard!$F$10,MAX(0,I124-J124)+K124),0)</x:f>
      </x:c>
      <x:c r="M124" s="32" t="e">
        <x:f>IF(A124&lt;=Dashboard!$F$17,MAX(0,I124-J124-MAX(0,L124-K124)),0)</x:f>
      </x:c>
      <x:c r="N124" s="32" t="e">
        <x:f>IF(A124=1,K124,N123+K124)</x:f>
      </x:c>
      <x:c r="O124" s="32"/>
      <x:c r="P124" s="32" t="e">
        <x:f>IF(A124=1,Dashboard!$F$14,T123)</x:f>
      </x:c>
      <x:c r="Q124" s="32" t="e">
        <x:f>IF(A124&lt;=Dashboard!$F$17,MIN(P124,$B$6*52/12),0)</x:f>
      </x:c>
      <x:c r="R124" s="32" t="e">
        <x:f>IF(A124&lt;=Dashboard!$F$17,MAX(0,P124-Q124)*Dashboard!$F$6,0)</x:f>
      </x:c>
      <x:c r="S124" s="32" t="e">
        <x:f>IF(A124&lt;=Dashboard!$F$17,MIN(Dashboard!$F$10,MAX(0,P124-Q124)+R124),0)</x:f>
      </x:c>
      <x:c r="T124" s="32" t="e">
        <x:f>IF(A124&lt;=Dashboard!$F$17,MAX(0,P124-Q124-MAX(0,S124-R124)),0)</x:f>
      </x:c>
      <x:c r="U124" s="32" t="e">
        <x:f>IF(A124=1,R124,U123+R124)</x:f>
      </x:c>
      <x:c r="V124" s="32"/>
      <x:c r="W124" s="32" t="e">
        <x:f>IF(A124=1,Dashboard!$F$14,AA123)</x:f>
      </x:c>
      <x:c r="X124" s="32" t="e">
        <x:f>IF(AND(A124&lt;=Dashboard!$F$17,MOD(A124-1,12)=0),MIN(W124,$B$7),0)</x:f>
      </x:c>
      <x:c r="Y124" s="32" t="e">
        <x:f>IF(A124&lt;=Dashboard!$F$17,MAX(0,W124-X124)*Dashboard!$F$6,0)</x:f>
      </x:c>
      <x:c r="Z124" s="32" t="e">
        <x:f>IF(A124&lt;=Dashboard!$F$17,MIN(Dashboard!$F$10,MAX(0,W124-X124)+Y124),0)</x:f>
      </x:c>
      <x:c r="AA124" s="32" t="e">
        <x:f>IF(A124&lt;=Dashboard!$F$17,MAX(0,W124-X124-MAX(0,Z124-Y124)),0)</x:f>
      </x:c>
      <x:c r="AB124" s="32" t="e">
        <x:f>IF(A124=1,Y124,AB123+Y124)</x:f>
      </x:c>
      <x:c r="AC124" s="32"/>
      <x:c r="AD124" s="32" t="e">
        <x:f>IF(A124=1,MAX(0,Dashboard!$F$14-$B$8),AG123)</x:f>
      </x:c>
      <x:c r="AE124" s="32" t="n">
        <x:f>0</x:f>
        <x:v>0</x:v>
      </x:c>
      <x:c r="AF124" s="32" t="e">
        <x:f>IF(A124&lt;=Dashboard!$F$17,AD124*Dashboard!$F$6,0)</x:f>
      </x:c>
      <x:c r="AG124" s="32" t="e">
        <x:f>IF(A124&lt;=Dashboard!$F$17,MIN(Dashboard!$F$10,AD124+AF124),0)</x:f>
      </x:c>
      <x:c r="AH124" s="32" t="e">
        <x:f>IF(A124&lt;=Dashboard!$F$17,MAX(0,AD124-MAX(0,AG124-AF124)),0)</x:f>
      </x:c>
      <x:c r="AI124" s="32" t="e">
        <x:f>IF(A124=1,AF124,AI123+AF124)</x:f>
      </x:c>
      <x:c r="AJ124" s="33"/>
      <x:c r="AK124" s="33"/>
      <x:c r="AL124" s="33"/>
      <x:c r="AM124" s="33"/>
    </x:row>
    <x:row r="125">
      <x:c r="A125" s="33" t="n">
        <x:v>113</x:v>
      </x:c>
      <x:c r="B125" s="32" t="e">
        <x:f>IF(A125=1,Dashboard!$F$14,F124)</x:f>
      </x:c>
      <x:c r="C125" s="32" t="n">
        <x:f>0</x:f>
        <x:v>0</x:v>
      </x:c>
      <x:c r="D125" s="32" t="e">
        <x:f>IF(A125&lt;=Dashboard!$F$15,B125*Dashboard!$F$6,0)</x:f>
      </x:c>
      <x:c r="E125" s="32" t="e">
        <x:f>IF(A125&lt;=Dashboard!$F$15,MIN(Dashboard!$F$10,B125+D125),0)</x:f>
      </x:c>
      <x:c r="F125" s="32" t="e">
        <x:f>IF(A125&lt;=Dashboard!$F$15,MAX(0,B125-MAX(0,E125-D125)),0)</x:f>
      </x:c>
      <x:c r="G125" s="32" t="e">
        <x:f>IF(A125=1,D125,G124+D125)</x:f>
      </x:c>
      <x:c r="H125" s="32"/>
      <x:c r="I125" s="32" t="e">
        <x:f>IF(A125=1,Dashboard!$F$14,M124)</x:f>
      </x:c>
      <x:c r="J125" s="32" t="e">
        <x:f>IF(A125&lt;=Dashboard!$F$17,MIN(I125,$B$5),0)</x:f>
      </x:c>
      <x:c r="K125" s="32" t="e">
        <x:f>IF(A125&lt;=Dashboard!$F$17,MAX(0,I125-J125)*Dashboard!$F$6,0)</x:f>
      </x:c>
      <x:c r="L125" s="32" t="e">
        <x:f>IF(A125&lt;=Dashboard!$F$17,MIN(Dashboard!$F$10,MAX(0,I125-J125)+K125),0)</x:f>
      </x:c>
      <x:c r="M125" s="32" t="e">
        <x:f>IF(A125&lt;=Dashboard!$F$17,MAX(0,I125-J125-MAX(0,L125-K125)),0)</x:f>
      </x:c>
      <x:c r="N125" s="32" t="e">
        <x:f>IF(A125=1,K125,N124+K125)</x:f>
      </x:c>
      <x:c r="O125" s="32"/>
      <x:c r="P125" s="32" t="e">
        <x:f>IF(A125=1,Dashboard!$F$14,T124)</x:f>
      </x:c>
      <x:c r="Q125" s="32" t="e">
        <x:f>IF(A125&lt;=Dashboard!$F$17,MIN(P125,$B$6*52/12),0)</x:f>
      </x:c>
      <x:c r="R125" s="32" t="e">
        <x:f>IF(A125&lt;=Dashboard!$F$17,MAX(0,P125-Q125)*Dashboard!$F$6,0)</x:f>
      </x:c>
      <x:c r="S125" s="32" t="e">
        <x:f>IF(A125&lt;=Dashboard!$F$17,MIN(Dashboard!$F$10,MAX(0,P125-Q125)+R125),0)</x:f>
      </x:c>
      <x:c r="T125" s="32" t="e">
        <x:f>IF(A125&lt;=Dashboard!$F$17,MAX(0,P125-Q125-MAX(0,S125-R125)),0)</x:f>
      </x:c>
      <x:c r="U125" s="32" t="e">
        <x:f>IF(A125=1,R125,U124+R125)</x:f>
      </x:c>
      <x:c r="V125" s="32"/>
      <x:c r="W125" s="32" t="e">
        <x:f>IF(A125=1,Dashboard!$F$14,AA124)</x:f>
      </x:c>
      <x:c r="X125" s="32" t="e">
        <x:f>IF(AND(A125&lt;=Dashboard!$F$17,MOD(A125-1,12)=0),MIN(W125,$B$7),0)</x:f>
      </x:c>
      <x:c r="Y125" s="32" t="e">
        <x:f>IF(A125&lt;=Dashboard!$F$17,MAX(0,W125-X125)*Dashboard!$F$6,0)</x:f>
      </x:c>
      <x:c r="Z125" s="32" t="e">
        <x:f>IF(A125&lt;=Dashboard!$F$17,MIN(Dashboard!$F$10,MAX(0,W125-X125)+Y125),0)</x:f>
      </x:c>
      <x:c r="AA125" s="32" t="e">
        <x:f>IF(A125&lt;=Dashboard!$F$17,MAX(0,W125-X125-MAX(0,Z125-Y125)),0)</x:f>
      </x:c>
      <x:c r="AB125" s="32" t="e">
        <x:f>IF(A125=1,Y125,AB124+Y125)</x:f>
      </x:c>
      <x:c r="AC125" s="32"/>
      <x:c r="AD125" s="32" t="e">
        <x:f>IF(A125=1,MAX(0,Dashboard!$F$14-$B$8),AG124)</x:f>
      </x:c>
      <x:c r="AE125" s="32" t="n">
        <x:f>0</x:f>
        <x:v>0</x:v>
      </x:c>
      <x:c r="AF125" s="32" t="e">
        <x:f>IF(A125&lt;=Dashboard!$F$17,AD125*Dashboard!$F$6,0)</x:f>
      </x:c>
      <x:c r="AG125" s="32" t="e">
        <x:f>IF(A125&lt;=Dashboard!$F$17,MIN(Dashboard!$F$10,AD125+AF125),0)</x:f>
      </x:c>
      <x:c r="AH125" s="32" t="e">
        <x:f>IF(A125&lt;=Dashboard!$F$17,MAX(0,AD125-MAX(0,AG125-AF125)),0)</x:f>
      </x:c>
      <x:c r="AI125" s="32" t="e">
        <x:f>IF(A125=1,AF125,AI124+AF125)</x:f>
      </x:c>
      <x:c r="AJ125" s="33"/>
      <x:c r="AK125" s="33"/>
      <x:c r="AL125" s="33"/>
      <x:c r="AM125" s="33"/>
    </x:row>
    <x:row r="126">
      <x:c r="A126" s="33" t="n">
        <x:v>114</x:v>
      </x:c>
      <x:c r="B126" s="32" t="e">
        <x:f>IF(A126=1,Dashboard!$F$14,F125)</x:f>
      </x:c>
      <x:c r="C126" s="32" t="n">
        <x:f>0</x:f>
        <x:v>0</x:v>
      </x:c>
      <x:c r="D126" s="32" t="e">
        <x:f>IF(A126&lt;=Dashboard!$F$15,B126*Dashboard!$F$6,0)</x:f>
      </x:c>
      <x:c r="E126" s="32" t="e">
        <x:f>IF(A126&lt;=Dashboard!$F$15,MIN(Dashboard!$F$10,B126+D126),0)</x:f>
      </x:c>
      <x:c r="F126" s="32" t="e">
        <x:f>IF(A126&lt;=Dashboard!$F$15,MAX(0,B126-MAX(0,E126-D126)),0)</x:f>
      </x:c>
      <x:c r="G126" s="32" t="e">
        <x:f>IF(A126=1,D126,G125+D126)</x:f>
      </x:c>
      <x:c r="H126" s="32"/>
      <x:c r="I126" s="32" t="e">
        <x:f>IF(A126=1,Dashboard!$F$14,M125)</x:f>
      </x:c>
      <x:c r="J126" s="32" t="e">
        <x:f>IF(A126&lt;=Dashboard!$F$17,MIN(I126,$B$5),0)</x:f>
      </x:c>
      <x:c r="K126" s="32" t="e">
        <x:f>IF(A126&lt;=Dashboard!$F$17,MAX(0,I126-J126)*Dashboard!$F$6,0)</x:f>
      </x:c>
      <x:c r="L126" s="32" t="e">
        <x:f>IF(A126&lt;=Dashboard!$F$17,MIN(Dashboard!$F$10,MAX(0,I126-J126)+K126),0)</x:f>
      </x:c>
      <x:c r="M126" s="32" t="e">
        <x:f>IF(A126&lt;=Dashboard!$F$17,MAX(0,I126-J126-MAX(0,L126-K126)),0)</x:f>
      </x:c>
      <x:c r="N126" s="32" t="e">
        <x:f>IF(A126=1,K126,N125+K126)</x:f>
      </x:c>
      <x:c r="O126" s="32"/>
      <x:c r="P126" s="32" t="e">
        <x:f>IF(A126=1,Dashboard!$F$14,T125)</x:f>
      </x:c>
      <x:c r="Q126" s="32" t="e">
        <x:f>IF(A126&lt;=Dashboard!$F$17,MIN(P126,$B$6*52/12),0)</x:f>
      </x:c>
      <x:c r="R126" s="32" t="e">
        <x:f>IF(A126&lt;=Dashboard!$F$17,MAX(0,P126-Q126)*Dashboard!$F$6,0)</x:f>
      </x:c>
      <x:c r="S126" s="32" t="e">
        <x:f>IF(A126&lt;=Dashboard!$F$17,MIN(Dashboard!$F$10,MAX(0,P126-Q126)+R126),0)</x:f>
      </x:c>
      <x:c r="T126" s="32" t="e">
        <x:f>IF(A126&lt;=Dashboard!$F$17,MAX(0,P126-Q126-MAX(0,S126-R126)),0)</x:f>
      </x:c>
      <x:c r="U126" s="32" t="e">
        <x:f>IF(A126=1,R126,U125+R126)</x:f>
      </x:c>
      <x:c r="V126" s="32"/>
      <x:c r="W126" s="32" t="e">
        <x:f>IF(A126=1,Dashboard!$F$14,AA125)</x:f>
      </x:c>
      <x:c r="X126" s="32" t="e">
        <x:f>IF(AND(A126&lt;=Dashboard!$F$17,MOD(A126-1,12)=0),MIN(W126,$B$7),0)</x:f>
      </x:c>
      <x:c r="Y126" s="32" t="e">
        <x:f>IF(A126&lt;=Dashboard!$F$17,MAX(0,W126-X126)*Dashboard!$F$6,0)</x:f>
      </x:c>
      <x:c r="Z126" s="32" t="e">
        <x:f>IF(A126&lt;=Dashboard!$F$17,MIN(Dashboard!$F$10,MAX(0,W126-X126)+Y126),0)</x:f>
      </x:c>
      <x:c r="AA126" s="32" t="e">
        <x:f>IF(A126&lt;=Dashboard!$F$17,MAX(0,W126-X126-MAX(0,Z126-Y126)),0)</x:f>
      </x:c>
      <x:c r="AB126" s="32" t="e">
        <x:f>IF(A126=1,Y126,AB125+Y126)</x:f>
      </x:c>
      <x:c r="AC126" s="32"/>
      <x:c r="AD126" s="32" t="e">
        <x:f>IF(A126=1,MAX(0,Dashboard!$F$14-$B$8),AG125)</x:f>
      </x:c>
      <x:c r="AE126" s="32" t="n">
        <x:f>0</x:f>
        <x:v>0</x:v>
      </x:c>
      <x:c r="AF126" s="32" t="e">
        <x:f>IF(A126&lt;=Dashboard!$F$17,AD126*Dashboard!$F$6,0)</x:f>
      </x:c>
      <x:c r="AG126" s="32" t="e">
        <x:f>IF(A126&lt;=Dashboard!$F$17,MIN(Dashboard!$F$10,AD126+AF126),0)</x:f>
      </x:c>
      <x:c r="AH126" s="32" t="e">
        <x:f>IF(A126&lt;=Dashboard!$F$17,MAX(0,AD126-MAX(0,AG126-AF126)),0)</x:f>
      </x:c>
      <x:c r="AI126" s="32" t="e">
        <x:f>IF(A126=1,AF126,AI125+AF126)</x:f>
      </x:c>
      <x:c r="AJ126" s="33"/>
      <x:c r="AK126" s="33"/>
      <x:c r="AL126" s="33"/>
      <x:c r="AM126" s="33"/>
    </x:row>
    <x:row r="127">
      <x:c r="A127" s="33" t="n">
        <x:v>115</x:v>
      </x:c>
      <x:c r="B127" s="32" t="e">
        <x:f>IF(A127=1,Dashboard!$F$14,F126)</x:f>
      </x:c>
      <x:c r="C127" s="32" t="n">
        <x:f>0</x:f>
        <x:v>0</x:v>
      </x:c>
      <x:c r="D127" s="32" t="e">
        <x:f>IF(A127&lt;=Dashboard!$F$15,B127*Dashboard!$F$6,0)</x:f>
      </x:c>
      <x:c r="E127" s="32" t="e">
        <x:f>IF(A127&lt;=Dashboard!$F$15,MIN(Dashboard!$F$10,B127+D127),0)</x:f>
      </x:c>
      <x:c r="F127" s="32" t="e">
        <x:f>IF(A127&lt;=Dashboard!$F$15,MAX(0,B127-MAX(0,E127-D127)),0)</x:f>
      </x:c>
      <x:c r="G127" s="32" t="e">
        <x:f>IF(A127=1,D127,G126+D127)</x:f>
      </x:c>
      <x:c r="H127" s="32"/>
      <x:c r="I127" s="32" t="e">
        <x:f>IF(A127=1,Dashboard!$F$14,M126)</x:f>
      </x:c>
      <x:c r="J127" s="32" t="e">
        <x:f>IF(A127&lt;=Dashboard!$F$17,MIN(I127,$B$5),0)</x:f>
      </x:c>
      <x:c r="K127" s="32" t="e">
        <x:f>IF(A127&lt;=Dashboard!$F$17,MAX(0,I127-J127)*Dashboard!$F$6,0)</x:f>
      </x:c>
      <x:c r="L127" s="32" t="e">
        <x:f>IF(A127&lt;=Dashboard!$F$17,MIN(Dashboard!$F$10,MAX(0,I127-J127)+K127),0)</x:f>
      </x:c>
      <x:c r="M127" s="32" t="e">
        <x:f>IF(A127&lt;=Dashboard!$F$17,MAX(0,I127-J127-MAX(0,L127-K127)),0)</x:f>
      </x:c>
      <x:c r="N127" s="32" t="e">
        <x:f>IF(A127=1,K127,N126+K127)</x:f>
      </x:c>
      <x:c r="O127" s="32"/>
      <x:c r="P127" s="32" t="e">
        <x:f>IF(A127=1,Dashboard!$F$14,T126)</x:f>
      </x:c>
      <x:c r="Q127" s="32" t="e">
        <x:f>IF(A127&lt;=Dashboard!$F$17,MIN(P127,$B$6*52/12),0)</x:f>
      </x:c>
      <x:c r="R127" s="32" t="e">
        <x:f>IF(A127&lt;=Dashboard!$F$17,MAX(0,P127-Q127)*Dashboard!$F$6,0)</x:f>
      </x:c>
      <x:c r="S127" s="32" t="e">
        <x:f>IF(A127&lt;=Dashboard!$F$17,MIN(Dashboard!$F$10,MAX(0,P127-Q127)+R127),0)</x:f>
      </x:c>
      <x:c r="T127" s="32" t="e">
        <x:f>IF(A127&lt;=Dashboard!$F$17,MAX(0,P127-Q127-MAX(0,S127-R127)),0)</x:f>
      </x:c>
      <x:c r="U127" s="32" t="e">
        <x:f>IF(A127=1,R127,U126+R127)</x:f>
      </x:c>
      <x:c r="V127" s="32"/>
      <x:c r="W127" s="32" t="e">
        <x:f>IF(A127=1,Dashboard!$F$14,AA126)</x:f>
      </x:c>
      <x:c r="X127" s="32" t="e">
        <x:f>IF(AND(A127&lt;=Dashboard!$F$17,MOD(A127-1,12)=0),MIN(W127,$B$7),0)</x:f>
      </x:c>
      <x:c r="Y127" s="32" t="e">
        <x:f>IF(A127&lt;=Dashboard!$F$17,MAX(0,W127-X127)*Dashboard!$F$6,0)</x:f>
      </x:c>
      <x:c r="Z127" s="32" t="e">
        <x:f>IF(A127&lt;=Dashboard!$F$17,MIN(Dashboard!$F$10,MAX(0,W127-X127)+Y127),0)</x:f>
      </x:c>
      <x:c r="AA127" s="32" t="e">
        <x:f>IF(A127&lt;=Dashboard!$F$17,MAX(0,W127-X127-MAX(0,Z127-Y127)),0)</x:f>
      </x:c>
      <x:c r="AB127" s="32" t="e">
        <x:f>IF(A127=1,Y127,AB126+Y127)</x:f>
      </x:c>
      <x:c r="AC127" s="32"/>
      <x:c r="AD127" s="32" t="e">
        <x:f>IF(A127=1,MAX(0,Dashboard!$F$14-$B$8),AG126)</x:f>
      </x:c>
      <x:c r="AE127" s="32" t="n">
        <x:f>0</x:f>
        <x:v>0</x:v>
      </x:c>
      <x:c r="AF127" s="32" t="e">
        <x:f>IF(A127&lt;=Dashboard!$F$17,AD127*Dashboard!$F$6,0)</x:f>
      </x:c>
      <x:c r="AG127" s="32" t="e">
        <x:f>IF(A127&lt;=Dashboard!$F$17,MIN(Dashboard!$F$10,AD127+AF127),0)</x:f>
      </x:c>
      <x:c r="AH127" s="32" t="e">
        <x:f>IF(A127&lt;=Dashboard!$F$17,MAX(0,AD127-MAX(0,AG127-AF127)),0)</x:f>
      </x:c>
      <x:c r="AI127" s="32" t="e">
        <x:f>IF(A127=1,AF127,AI126+AF127)</x:f>
      </x:c>
      <x:c r="AJ127" s="33"/>
      <x:c r="AK127" s="33"/>
      <x:c r="AL127" s="33"/>
      <x:c r="AM127" s="33"/>
    </x:row>
    <x:row r="128">
      <x:c r="A128" s="33" t="n">
        <x:v>116</x:v>
      </x:c>
      <x:c r="B128" s="32" t="e">
        <x:f>IF(A128=1,Dashboard!$F$14,F127)</x:f>
      </x:c>
      <x:c r="C128" s="32" t="n">
        <x:f>0</x:f>
        <x:v>0</x:v>
      </x:c>
      <x:c r="D128" s="32" t="e">
        <x:f>IF(A128&lt;=Dashboard!$F$15,B128*Dashboard!$F$6,0)</x:f>
      </x:c>
      <x:c r="E128" s="32" t="e">
        <x:f>IF(A128&lt;=Dashboard!$F$15,MIN(Dashboard!$F$10,B128+D128),0)</x:f>
      </x:c>
      <x:c r="F128" s="32" t="e">
        <x:f>IF(A128&lt;=Dashboard!$F$15,MAX(0,B128-MAX(0,E128-D128)),0)</x:f>
      </x:c>
      <x:c r="G128" s="32" t="e">
        <x:f>IF(A128=1,D128,G127+D128)</x:f>
      </x:c>
      <x:c r="H128" s="32"/>
      <x:c r="I128" s="32" t="e">
        <x:f>IF(A128=1,Dashboard!$F$14,M127)</x:f>
      </x:c>
      <x:c r="J128" s="32" t="e">
        <x:f>IF(A128&lt;=Dashboard!$F$17,MIN(I128,$B$5),0)</x:f>
      </x:c>
      <x:c r="K128" s="32" t="e">
        <x:f>IF(A128&lt;=Dashboard!$F$17,MAX(0,I128-J128)*Dashboard!$F$6,0)</x:f>
      </x:c>
      <x:c r="L128" s="32" t="e">
        <x:f>IF(A128&lt;=Dashboard!$F$17,MIN(Dashboard!$F$10,MAX(0,I128-J128)+K128),0)</x:f>
      </x:c>
      <x:c r="M128" s="32" t="e">
        <x:f>IF(A128&lt;=Dashboard!$F$17,MAX(0,I128-J128-MAX(0,L128-K128)),0)</x:f>
      </x:c>
      <x:c r="N128" s="32" t="e">
        <x:f>IF(A128=1,K128,N127+K128)</x:f>
      </x:c>
      <x:c r="O128" s="32"/>
      <x:c r="P128" s="32" t="e">
        <x:f>IF(A128=1,Dashboard!$F$14,T127)</x:f>
      </x:c>
      <x:c r="Q128" s="32" t="e">
        <x:f>IF(A128&lt;=Dashboard!$F$17,MIN(P128,$B$6*52/12),0)</x:f>
      </x:c>
      <x:c r="R128" s="32" t="e">
        <x:f>IF(A128&lt;=Dashboard!$F$17,MAX(0,P128-Q128)*Dashboard!$F$6,0)</x:f>
      </x:c>
      <x:c r="S128" s="32" t="e">
        <x:f>IF(A128&lt;=Dashboard!$F$17,MIN(Dashboard!$F$10,MAX(0,P128-Q128)+R128),0)</x:f>
      </x:c>
      <x:c r="T128" s="32" t="e">
        <x:f>IF(A128&lt;=Dashboard!$F$17,MAX(0,P128-Q128-MAX(0,S128-R128)),0)</x:f>
      </x:c>
      <x:c r="U128" s="32" t="e">
        <x:f>IF(A128=1,R128,U127+R128)</x:f>
      </x:c>
      <x:c r="V128" s="32"/>
      <x:c r="W128" s="32" t="e">
        <x:f>IF(A128=1,Dashboard!$F$14,AA127)</x:f>
      </x:c>
      <x:c r="X128" s="32" t="e">
        <x:f>IF(AND(A128&lt;=Dashboard!$F$17,MOD(A128-1,12)=0),MIN(W128,$B$7),0)</x:f>
      </x:c>
      <x:c r="Y128" s="32" t="e">
        <x:f>IF(A128&lt;=Dashboard!$F$17,MAX(0,W128-X128)*Dashboard!$F$6,0)</x:f>
      </x:c>
      <x:c r="Z128" s="32" t="e">
        <x:f>IF(A128&lt;=Dashboard!$F$17,MIN(Dashboard!$F$10,MAX(0,W128-X128)+Y128),0)</x:f>
      </x:c>
      <x:c r="AA128" s="32" t="e">
        <x:f>IF(A128&lt;=Dashboard!$F$17,MAX(0,W128-X128-MAX(0,Z128-Y128)),0)</x:f>
      </x:c>
      <x:c r="AB128" s="32" t="e">
        <x:f>IF(A128=1,Y128,AB127+Y128)</x:f>
      </x:c>
      <x:c r="AC128" s="32"/>
      <x:c r="AD128" s="32" t="e">
        <x:f>IF(A128=1,MAX(0,Dashboard!$F$14-$B$8),AG127)</x:f>
      </x:c>
      <x:c r="AE128" s="32" t="n">
        <x:f>0</x:f>
        <x:v>0</x:v>
      </x:c>
      <x:c r="AF128" s="32" t="e">
        <x:f>IF(A128&lt;=Dashboard!$F$17,AD128*Dashboard!$F$6,0)</x:f>
      </x:c>
      <x:c r="AG128" s="32" t="e">
        <x:f>IF(A128&lt;=Dashboard!$F$17,MIN(Dashboard!$F$10,AD128+AF128),0)</x:f>
      </x:c>
      <x:c r="AH128" s="32" t="e">
        <x:f>IF(A128&lt;=Dashboard!$F$17,MAX(0,AD128-MAX(0,AG128-AF128)),0)</x:f>
      </x:c>
      <x:c r="AI128" s="32" t="e">
        <x:f>IF(A128=1,AF128,AI127+AF128)</x:f>
      </x:c>
      <x:c r="AJ128" s="33"/>
      <x:c r="AK128" s="33"/>
      <x:c r="AL128" s="33"/>
      <x:c r="AM128" s="33"/>
    </x:row>
    <x:row r="129">
      <x:c r="A129" s="33" t="n">
        <x:v>117</x:v>
      </x:c>
      <x:c r="B129" s="32" t="e">
        <x:f>IF(A129=1,Dashboard!$F$14,F128)</x:f>
      </x:c>
      <x:c r="C129" s="32" t="n">
        <x:f>0</x:f>
        <x:v>0</x:v>
      </x:c>
      <x:c r="D129" s="32" t="e">
        <x:f>IF(A129&lt;=Dashboard!$F$15,B129*Dashboard!$F$6,0)</x:f>
      </x:c>
      <x:c r="E129" s="32" t="e">
        <x:f>IF(A129&lt;=Dashboard!$F$15,MIN(Dashboard!$F$10,B129+D129),0)</x:f>
      </x:c>
      <x:c r="F129" s="32" t="e">
        <x:f>IF(A129&lt;=Dashboard!$F$15,MAX(0,B129-MAX(0,E129-D129)),0)</x:f>
      </x:c>
      <x:c r="G129" s="32" t="e">
        <x:f>IF(A129=1,D129,G128+D129)</x:f>
      </x:c>
      <x:c r="H129" s="32"/>
      <x:c r="I129" s="32" t="e">
        <x:f>IF(A129=1,Dashboard!$F$14,M128)</x:f>
      </x:c>
      <x:c r="J129" s="32" t="e">
        <x:f>IF(A129&lt;=Dashboard!$F$17,MIN(I129,$B$5),0)</x:f>
      </x:c>
      <x:c r="K129" s="32" t="e">
        <x:f>IF(A129&lt;=Dashboard!$F$17,MAX(0,I129-J129)*Dashboard!$F$6,0)</x:f>
      </x:c>
      <x:c r="L129" s="32" t="e">
        <x:f>IF(A129&lt;=Dashboard!$F$17,MIN(Dashboard!$F$10,MAX(0,I129-J129)+K129),0)</x:f>
      </x:c>
      <x:c r="M129" s="32" t="e">
        <x:f>IF(A129&lt;=Dashboard!$F$17,MAX(0,I129-J129-MAX(0,L129-K129)),0)</x:f>
      </x:c>
      <x:c r="N129" s="32" t="e">
        <x:f>IF(A129=1,K129,N128+K129)</x:f>
      </x:c>
      <x:c r="O129" s="32"/>
      <x:c r="P129" s="32" t="e">
        <x:f>IF(A129=1,Dashboard!$F$14,T128)</x:f>
      </x:c>
      <x:c r="Q129" s="32" t="e">
        <x:f>IF(A129&lt;=Dashboard!$F$17,MIN(P129,$B$6*52/12),0)</x:f>
      </x:c>
      <x:c r="R129" s="32" t="e">
        <x:f>IF(A129&lt;=Dashboard!$F$17,MAX(0,P129-Q129)*Dashboard!$F$6,0)</x:f>
      </x:c>
      <x:c r="S129" s="32" t="e">
        <x:f>IF(A129&lt;=Dashboard!$F$17,MIN(Dashboard!$F$10,MAX(0,P129-Q129)+R129),0)</x:f>
      </x:c>
      <x:c r="T129" s="32" t="e">
        <x:f>IF(A129&lt;=Dashboard!$F$17,MAX(0,P129-Q129-MAX(0,S129-R129)),0)</x:f>
      </x:c>
      <x:c r="U129" s="32" t="e">
        <x:f>IF(A129=1,R129,U128+R129)</x:f>
      </x:c>
      <x:c r="V129" s="32"/>
      <x:c r="W129" s="32" t="e">
        <x:f>IF(A129=1,Dashboard!$F$14,AA128)</x:f>
      </x:c>
      <x:c r="X129" s="32" t="e">
        <x:f>IF(AND(A129&lt;=Dashboard!$F$17,MOD(A129-1,12)=0),MIN(W129,$B$7),0)</x:f>
      </x:c>
      <x:c r="Y129" s="32" t="e">
        <x:f>IF(A129&lt;=Dashboard!$F$17,MAX(0,W129-X129)*Dashboard!$F$6,0)</x:f>
      </x:c>
      <x:c r="Z129" s="32" t="e">
        <x:f>IF(A129&lt;=Dashboard!$F$17,MIN(Dashboard!$F$10,MAX(0,W129-X129)+Y129),0)</x:f>
      </x:c>
      <x:c r="AA129" s="32" t="e">
        <x:f>IF(A129&lt;=Dashboard!$F$17,MAX(0,W129-X129-MAX(0,Z129-Y129)),0)</x:f>
      </x:c>
      <x:c r="AB129" s="32" t="e">
        <x:f>IF(A129=1,Y129,AB128+Y129)</x:f>
      </x:c>
      <x:c r="AC129" s="32"/>
      <x:c r="AD129" s="32" t="e">
        <x:f>IF(A129=1,MAX(0,Dashboard!$F$14-$B$8),AG128)</x:f>
      </x:c>
      <x:c r="AE129" s="32" t="n">
        <x:f>0</x:f>
        <x:v>0</x:v>
      </x:c>
      <x:c r="AF129" s="32" t="e">
        <x:f>IF(A129&lt;=Dashboard!$F$17,AD129*Dashboard!$F$6,0)</x:f>
      </x:c>
      <x:c r="AG129" s="32" t="e">
        <x:f>IF(A129&lt;=Dashboard!$F$17,MIN(Dashboard!$F$10,AD129+AF129),0)</x:f>
      </x:c>
      <x:c r="AH129" s="32" t="e">
        <x:f>IF(A129&lt;=Dashboard!$F$17,MAX(0,AD129-MAX(0,AG129-AF129)),0)</x:f>
      </x:c>
      <x:c r="AI129" s="32" t="e">
        <x:f>IF(A129=1,AF129,AI128+AF129)</x:f>
      </x:c>
      <x:c r="AJ129" s="33"/>
      <x:c r="AK129" s="33"/>
      <x:c r="AL129" s="33"/>
      <x:c r="AM129" s="33"/>
    </x:row>
    <x:row r="130">
      <x:c r="A130" s="33" t="n">
        <x:v>118</x:v>
      </x:c>
      <x:c r="B130" s="32" t="e">
        <x:f>IF(A130=1,Dashboard!$F$14,F129)</x:f>
      </x:c>
      <x:c r="C130" s="32" t="n">
        <x:f>0</x:f>
        <x:v>0</x:v>
      </x:c>
      <x:c r="D130" s="32" t="e">
        <x:f>IF(A130&lt;=Dashboard!$F$15,B130*Dashboard!$F$6,0)</x:f>
      </x:c>
      <x:c r="E130" s="32" t="e">
        <x:f>IF(A130&lt;=Dashboard!$F$15,MIN(Dashboard!$F$10,B130+D130),0)</x:f>
      </x:c>
      <x:c r="F130" s="32" t="e">
        <x:f>IF(A130&lt;=Dashboard!$F$15,MAX(0,B130-MAX(0,E130-D130)),0)</x:f>
      </x:c>
      <x:c r="G130" s="32" t="e">
        <x:f>IF(A130=1,D130,G129+D130)</x:f>
      </x:c>
      <x:c r="H130" s="32"/>
      <x:c r="I130" s="32" t="e">
        <x:f>IF(A130=1,Dashboard!$F$14,M129)</x:f>
      </x:c>
      <x:c r="J130" s="32" t="e">
        <x:f>IF(A130&lt;=Dashboard!$F$17,MIN(I130,$B$5),0)</x:f>
      </x:c>
      <x:c r="K130" s="32" t="e">
        <x:f>IF(A130&lt;=Dashboard!$F$17,MAX(0,I130-J130)*Dashboard!$F$6,0)</x:f>
      </x:c>
      <x:c r="L130" s="32" t="e">
        <x:f>IF(A130&lt;=Dashboard!$F$17,MIN(Dashboard!$F$10,MAX(0,I130-J130)+K130),0)</x:f>
      </x:c>
      <x:c r="M130" s="32" t="e">
        <x:f>IF(A130&lt;=Dashboard!$F$17,MAX(0,I130-J130-MAX(0,L130-K130)),0)</x:f>
      </x:c>
      <x:c r="N130" s="32" t="e">
        <x:f>IF(A130=1,K130,N129+K130)</x:f>
      </x:c>
      <x:c r="O130" s="32"/>
      <x:c r="P130" s="32" t="e">
        <x:f>IF(A130=1,Dashboard!$F$14,T129)</x:f>
      </x:c>
      <x:c r="Q130" s="32" t="e">
        <x:f>IF(A130&lt;=Dashboard!$F$17,MIN(P130,$B$6*52/12),0)</x:f>
      </x:c>
      <x:c r="R130" s="32" t="e">
        <x:f>IF(A130&lt;=Dashboard!$F$17,MAX(0,P130-Q130)*Dashboard!$F$6,0)</x:f>
      </x:c>
      <x:c r="S130" s="32" t="e">
        <x:f>IF(A130&lt;=Dashboard!$F$17,MIN(Dashboard!$F$10,MAX(0,P130-Q130)+R130),0)</x:f>
      </x:c>
      <x:c r="T130" s="32" t="e">
        <x:f>IF(A130&lt;=Dashboard!$F$17,MAX(0,P130-Q130-MAX(0,S130-R130)),0)</x:f>
      </x:c>
      <x:c r="U130" s="32" t="e">
        <x:f>IF(A130=1,R130,U129+R130)</x:f>
      </x:c>
      <x:c r="V130" s="32"/>
      <x:c r="W130" s="32" t="e">
        <x:f>IF(A130=1,Dashboard!$F$14,AA129)</x:f>
      </x:c>
      <x:c r="X130" s="32" t="e">
        <x:f>IF(AND(A130&lt;=Dashboard!$F$17,MOD(A130-1,12)=0),MIN(W130,$B$7),0)</x:f>
      </x:c>
      <x:c r="Y130" s="32" t="e">
        <x:f>IF(A130&lt;=Dashboard!$F$17,MAX(0,W130-X130)*Dashboard!$F$6,0)</x:f>
      </x:c>
      <x:c r="Z130" s="32" t="e">
        <x:f>IF(A130&lt;=Dashboard!$F$17,MIN(Dashboard!$F$10,MAX(0,W130-X130)+Y130),0)</x:f>
      </x:c>
      <x:c r="AA130" s="32" t="e">
        <x:f>IF(A130&lt;=Dashboard!$F$17,MAX(0,W130-X130-MAX(0,Z130-Y130)),0)</x:f>
      </x:c>
      <x:c r="AB130" s="32" t="e">
        <x:f>IF(A130=1,Y130,AB129+Y130)</x:f>
      </x:c>
      <x:c r="AC130" s="32"/>
      <x:c r="AD130" s="32" t="e">
        <x:f>IF(A130=1,MAX(0,Dashboard!$F$14-$B$8),AG129)</x:f>
      </x:c>
      <x:c r="AE130" s="32" t="n">
        <x:f>0</x:f>
        <x:v>0</x:v>
      </x:c>
      <x:c r="AF130" s="32" t="e">
        <x:f>IF(A130&lt;=Dashboard!$F$17,AD130*Dashboard!$F$6,0)</x:f>
      </x:c>
      <x:c r="AG130" s="32" t="e">
        <x:f>IF(A130&lt;=Dashboard!$F$17,MIN(Dashboard!$F$10,AD130+AF130),0)</x:f>
      </x:c>
      <x:c r="AH130" s="32" t="e">
        <x:f>IF(A130&lt;=Dashboard!$F$17,MAX(0,AD130-MAX(0,AG130-AF130)),0)</x:f>
      </x:c>
      <x:c r="AI130" s="32" t="e">
        <x:f>IF(A130=1,AF130,AI129+AF130)</x:f>
      </x:c>
      <x:c r="AJ130" s="33"/>
      <x:c r="AK130" s="33"/>
      <x:c r="AL130" s="33"/>
      <x:c r="AM130" s="33"/>
    </x:row>
    <x:row r="131">
      <x:c r="A131" s="33" t="n">
        <x:v>119</x:v>
      </x:c>
      <x:c r="B131" s="32" t="e">
        <x:f>IF(A131=1,Dashboard!$F$14,F130)</x:f>
      </x:c>
      <x:c r="C131" s="32" t="n">
        <x:f>0</x:f>
        <x:v>0</x:v>
      </x:c>
      <x:c r="D131" s="32" t="e">
        <x:f>IF(A131&lt;=Dashboard!$F$15,B131*Dashboard!$F$6,0)</x:f>
      </x:c>
      <x:c r="E131" s="32" t="e">
        <x:f>IF(A131&lt;=Dashboard!$F$15,MIN(Dashboard!$F$10,B131+D131),0)</x:f>
      </x:c>
      <x:c r="F131" s="32" t="e">
        <x:f>IF(A131&lt;=Dashboard!$F$15,MAX(0,B131-MAX(0,E131-D131)),0)</x:f>
      </x:c>
      <x:c r="G131" s="32" t="e">
        <x:f>IF(A131=1,D131,G130+D131)</x:f>
      </x:c>
      <x:c r="H131" s="32"/>
      <x:c r="I131" s="32" t="e">
        <x:f>IF(A131=1,Dashboard!$F$14,M130)</x:f>
      </x:c>
      <x:c r="J131" s="32" t="e">
        <x:f>IF(A131&lt;=Dashboard!$F$17,MIN(I131,$B$5),0)</x:f>
      </x:c>
      <x:c r="K131" s="32" t="e">
        <x:f>IF(A131&lt;=Dashboard!$F$17,MAX(0,I131-J131)*Dashboard!$F$6,0)</x:f>
      </x:c>
      <x:c r="L131" s="32" t="e">
        <x:f>IF(A131&lt;=Dashboard!$F$17,MIN(Dashboard!$F$10,MAX(0,I131-J131)+K131),0)</x:f>
      </x:c>
      <x:c r="M131" s="32" t="e">
        <x:f>IF(A131&lt;=Dashboard!$F$17,MAX(0,I131-J131-MAX(0,L131-K131)),0)</x:f>
      </x:c>
      <x:c r="N131" s="32" t="e">
        <x:f>IF(A131=1,K131,N130+K131)</x:f>
      </x:c>
      <x:c r="O131" s="32"/>
      <x:c r="P131" s="32" t="e">
        <x:f>IF(A131=1,Dashboard!$F$14,T130)</x:f>
      </x:c>
      <x:c r="Q131" s="32" t="e">
        <x:f>IF(A131&lt;=Dashboard!$F$17,MIN(P131,$B$6*52/12),0)</x:f>
      </x:c>
      <x:c r="R131" s="32" t="e">
        <x:f>IF(A131&lt;=Dashboard!$F$17,MAX(0,P131-Q131)*Dashboard!$F$6,0)</x:f>
      </x:c>
      <x:c r="S131" s="32" t="e">
        <x:f>IF(A131&lt;=Dashboard!$F$17,MIN(Dashboard!$F$10,MAX(0,P131-Q131)+R131),0)</x:f>
      </x:c>
      <x:c r="T131" s="32" t="e">
        <x:f>IF(A131&lt;=Dashboard!$F$17,MAX(0,P131-Q131-MAX(0,S131-R131)),0)</x:f>
      </x:c>
      <x:c r="U131" s="32" t="e">
        <x:f>IF(A131=1,R131,U130+R131)</x:f>
      </x:c>
      <x:c r="V131" s="32"/>
      <x:c r="W131" s="32" t="e">
        <x:f>IF(A131=1,Dashboard!$F$14,AA130)</x:f>
      </x:c>
      <x:c r="X131" s="32" t="e">
        <x:f>IF(AND(A131&lt;=Dashboard!$F$17,MOD(A131-1,12)=0),MIN(W131,$B$7),0)</x:f>
      </x:c>
      <x:c r="Y131" s="32" t="e">
        <x:f>IF(A131&lt;=Dashboard!$F$17,MAX(0,W131-X131)*Dashboard!$F$6,0)</x:f>
      </x:c>
      <x:c r="Z131" s="32" t="e">
        <x:f>IF(A131&lt;=Dashboard!$F$17,MIN(Dashboard!$F$10,MAX(0,W131-X131)+Y131),0)</x:f>
      </x:c>
      <x:c r="AA131" s="32" t="e">
        <x:f>IF(A131&lt;=Dashboard!$F$17,MAX(0,W131-X131-MAX(0,Z131-Y131)),0)</x:f>
      </x:c>
      <x:c r="AB131" s="32" t="e">
        <x:f>IF(A131=1,Y131,AB130+Y131)</x:f>
      </x:c>
      <x:c r="AC131" s="32"/>
      <x:c r="AD131" s="32" t="e">
        <x:f>IF(A131=1,MAX(0,Dashboard!$F$14-$B$8),AG130)</x:f>
      </x:c>
      <x:c r="AE131" s="32" t="n">
        <x:f>0</x:f>
        <x:v>0</x:v>
      </x:c>
      <x:c r="AF131" s="32" t="e">
        <x:f>IF(A131&lt;=Dashboard!$F$17,AD131*Dashboard!$F$6,0)</x:f>
      </x:c>
      <x:c r="AG131" s="32" t="e">
        <x:f>IF(A131&lt;=Dashboard!$F$17,MIN(Dashboard!$F$10,AD131+AF131),0)</x:f>
      </x:c>
      <x:c r="AH131" s="32" t="e">
        <x:f>IF(A131&lt;=Dashboard!$F$17,MAX(0,AD131-MAX(0,AG131-AF131)),0)</x:f>
      </x:c>
      <x:c r="AI131" s="32" t="e">
        <x:f>IF(A131=1,AF131,AI130+AF131)</x:f>
      </x:c>
      <x:c r="AJ131" s="33"/>
      <x:c r="AK131" s="33"/>
      <x:c r="AL131" s="33"/>
      <x:c r="AM131" s="33"/>
    </x:row>
    <x:row r="132">
      <x:c r="A132" s="33" t="n">
        <x:v>120</x:v>
      </x:c>
      <x:c r="B132" s="32" t="e">
        <x:f>IF(A132=1,Dashboard!$F$14,F131)</x:f>
      </x:c>
      <x:c r="C132" s="32" t="n">
        <x:f>0</x:f>
        <x:v>0</x:v>
      </x:c>
      <x:c r="D132" s="32" t="e">
        <x:f>IF(A132&lt;=Dashboard!$F$15,B132*Dashboard!$F$6,0)</x:f>
      </x:c>
      <x:c r="E132" s="32" t="e">
        <x:f>IF(A132&lt;=Dashboard!$F$15,MIN(Dashboard!$F$10,B132+D132),0)</x:f>
      </x:c>
      <x:c r="F132" s="32" t="e">
        <x:f>IF(A132&lt;=Dashboard!$F$15,MAX(0,B132-MAX(0,E132-D132)),0)</x:f>
      </x:c>
      <x:c r="G132" s="32" t="e">
        <x:f>IF(A132=1,D132,G131+D132)</x:f>
      </x:c>
      <x:c r="H132" s="32"/>
      <x:c r="I132" s="32" t="e">
        <x:f>IF(A132=1,Dashboard!$F$14,M131)</x:f>
      </x:c>
      <x:c r="J132" s="32" t="e">
        <x:f>IF(A132&lt;=Dashboard!$F$17,MIN(I132,$B$5),0)</x:f>
      </x:c>
      <x:c r="K132" s="32" t="e">
        <x:f>IF(A132&lt;=Dashboard!$F$17,MAX(0,I132-J132)*Dashboard!$F$6,0)</x:f>
      </x:c>
      <x:c r="L132" s="32" t="e">
        <x:f>IF(A132&lt;=Dashboard!$F$17,MIN(Dashboard!$F$10,MAX(0,I132-J132)+K132),0)</x:f>
      </x:c>
      <x:c r="M132" s="32" t="e">
        <x:f>IF(A132&lt;=Dashboard!$F$17,MAX(0,I132-J132-MAX(0,L132-K132)),0)</x:f>
      </x:c>
      <x:c r="N132" s="32" t="e">
        <x:f>IF(A132=1,K132,N131+K132)</x:f>
      </x:c>
      <x:c r="O132" s="32"/>
      <x:c r="P132" s="32" t="e">
        <x:f>IF(A132=1,Dashboard!$F$14,T131)</x:f>
      </x:c>
      <x:c r="Q132" s="32" t="e">
        <x:f>IF(A132&lt;=Dashboard!$F$17,MIN(P132,$B$6*52/12),0)</x:f>
      </x:c>
      <x:c r="R132" s="32" t="e">
        <x:f>IF(A132&lt;=Dashboard!$F$17,MAX(0,P132-Q132)*Dashboard!$F$6,0)</x:f>
      </x:c>
      <x:c r="S132" s="32" t="e">
        <x:f>IF(A132&lt;=Dashboard!$F$17,MIN(Dashboard!$F$10,MAX(0,P132-Q132)+R132),0)</x:f>
      </x:c>
      <x:c r="T132" s="32" t="e">
        <x:f>IF(A132&lt;=Dashboard!$F$17,MAX(0,P132-Q132-MAX(0,S132-R132)),0)</x:f>
      </x:c>
      <x:c r="U132" s="32" t="e">
        <x:f>IF(A132=1,R132,U131+R132)</x:f>
      </x:c>
      <x:c r="V132" s="32"/>
      <x:c r="W132" s="32" t="e">
        <x:f>IF(A132=1,Dashboard!$F$14,AA131)</x:f>
      </x:c>
      <x:c r="X132" s="32" t="e">
        <x:f>IF(AND(A132&lt;=Dashboard!$F$17,MOD(A132-1,12)=0),MIN(W132,$B$7),0)</x:f>
      </x:c>
      <x:c r="Y132" s="32" t="e">
        <x:f>IF(A132&lt;=Dashboard!$F$17,MAX(0,W132-X132)*Dashboard!$F$6,0)</x:f>
      </x:c>
      <x:c r="Z132" s="32" t="e">
        <x:f>IF(A132&lt;=Dashboard!$F$17,MIN(Dashboard!$F$10,MAX(0,W132-X132)+Y132),0)</x:f>
      </x:c>
      <x:c r="AA132" s="32" t="e">
        <x:f>IF(A132&lt;=Dashboard!$F$17,MAX(0,W132-X132-MAX(0,Z132-Y132)),0)</x:f>
      </x:c>
      <x:c r="AB132" s="32" t="e">
        <x:f>IF(A132=1,Y132,AB131+Y132)</x:f>
      </x:c>
      <x:c r="AC132" s="32"/>
      <x:c r="AD132" s="32" t="e">
        <x:f>IF(A132=1,MAX(0,Dashboard!$F$14-$B$8),AG131)</x:f>
      </x:c>
      <x:c r="AE132" s="32" t="n">
        <x:f>0</x:f>
        <x:v>0</x:v>
      </x:c>
      <x:c r="AF132" s="32" t="e">
        <x:f>IF(A132&lt;=Dashboard!$F$17,AD132*Dashboard!$F$6,0)</x:f>
      </x:c>
      <x:c r="AG132" s="32" t="e">
        <x:f>IF(A132&lt;=Dashboard!$F$17,MIN(Dashboard!$F$10,AD132+AF132),0)</x:f>
      </x:c>
      <x:c r="AH132" s="32" t="e">
        <x:f>IF(A132&lt;=Dashboard!$F$17,MAX(0,AD132-MAX(0,AG132-AF132)),0)</x:f>
      </x:c>
      <x:c r="AI132" s="32" t="e">
        <x:f>IF(A132=1,AF132,AI131+AF132)</x:f>
      </x:c>
      <x:c r="AJ132" s="33"/>
      <x:c r="AK132" s="33"/>
      <x:c r="AL132" s="33"/>
      <x:c r="AM132" s="33"/>
    </x:row>
    <x:row r="133">
      <x:c r="A133" s="33" t="n">
        <x:v>121</x:v>
      </x:c>
      <x:c r="B133" s="32" t="e">
        <x:f>IF(A133=1,Dashboard!$F$14,F132)</x:f>
      </x:c>
      <x:c r="C133" s="32" t="n">
        <x:f>0</x:f>
        <x:v>0</x:v>
      </x:c>
      <x:c r="D133" s="32" t="e">
        <x:f>IF(A133&lt;=Dashboard!$F$15,B133*Dashboard!$F$6,0)</x:f>
      </x:c>
      <x:c r="E133" s="32" t="e">
        <x:f>IF(A133&lt;=Dashboard!$F$15,MIN(Dashboard!$F$10,B133+D133),0)</x:f>
      </x:c>
      <x:c r="F133" s="32" t="e">
        <x:f>IF(A133&lt;=Dashboard!$F$15,MAX(0,B133-MAX(0,E133-D133)),0)</x:f>
      </x:c>
      <x:c r="G133" s="32" t="e">
        <x:f>IF(A133=1,D133,G132+D133)</x:f>
      </x:c>
      <x:c r="H133" s="32"/>
      <x:c r="I133" s="32" t="e">
        <x:f>IF(A133=1,Dashboard!$F$14,M132)</x:f>
      </x:c>
      <x:c r="J133" s="32" t="e">
        <x:f>IF(A133&lt;=Dashboard!$F$17,MIN(I133,$B$5),0)</x:f>
      </x:c>
      <x:c r="K133" s="32" t="e">
        <x:f>IF(A133&lt;=Dashboard!$F$17,MAX(0,I133-J133)*Dashboard!$F$6,0)</x:f>
      </x:c>
      <x:c r="L133" s="32" t="e">
        <x:f>IF(A133&lt;=Dashboard!$F$17,MIN(Dashboard!$F$10,MAX(0,I133-J133)+K133),0)</x:f>
      </x:c>
      <x:c r="M133" s="32" t="e">
        <x:f>IF(A133&lt;=Dashboard!$F$17,MAX(0,I133-J133-MAX(0,L133-K133)),0)</x:f>
      </x:c>
      <x:c r="N133" s="32" t="e">
        <x:f>IF(A133=1,K133,N132+K133)</x:f>
      </x:c>
      <x:c r="O133" s="32"/>
      <x:c r="P133" s="32" t="e">
        <x:f>IF(A133=1,Dashboard!$F$14,T132)</x:f>
      </x:c>
      <x:c r="Q133" s="32" t="e">
        <x:f>IF(A133&lt;=Dashboard!$F$17,MIN(P133,$B$6*52/12),0)</x:f>
      </x:c>
      <x:c r="R133" s="32" t="e">
        <x:f>IF(A133&lt;=Dashboard!$F$17,MAX(0,P133-Q133)*Dashboard!$F$6,0)</x:f>
      </x:c>
      <x:c r="S133" s="32" t="e">
        <x:f>IF(A133&lt;=Dashboard!$F$17,MIN(Dashboard!$F$10,MAX(0,P133-Q133)+R133),0)</x:f>
      </x:c>
      <x:c r="T133" s="32" t="e">
        <x:f>IF(A133&lt;=Dashboard!$F$17,MAX(0,P133-Q133-MAX(0,S133-R133)),0)</x:f>
      </x:c>
      <x:c r="U133" s="32" t="e">
        <x:f>IF(A133=1,R133,U132+R133)</x:f>
      </x:c>
      <x:c r="V133" s="32"/>
      <x:c r="W133" s="32" t="e">
        <x:f>IF(A133=1,Dashboard!$F$14,AA132)</x:f>
      </x:c>
      <x:c r="X133" s="32" t="e">
        <x:f>IF(AND(A133&lt;=Dashboard!$F$17,MOD(A133-1,12)=0),MIN(W133,$B$7),0)</x:f>
      </x:c>
      <x:c r="Y133" s="32" t="e">
        <x:f>IF(A133&lt;=Dashboard!$F$17,MAX(0,W133-X133)*Dashboard!$F$6,0)</x:f>
      </x:c>
      <x:c r="Z133" s="32" t="e">
        <x:f>IF(A133&lt;=Dashboard!$F$17,MIN(Dashboard!$F$10,MAX(0,W133-X133)+Y133),0)</x:f>
      </x:c>
      <x:c r="AA133" s="32" t="e">
        <x:f>IF(A133&lt;=Dashboard!$F$17,MAX(0,W133-X133-MAX(0,Z133-Y133)),0)</x:f>
      </x:c>
      <x:c r="AB133" s="32" t="e">
        <x:f>IF(A133=1,Y133,AB132+Y133)</x:f>
      </x:c>
      <x:c r="AC133" s="32"/>
      <x:c r="AD133" s="32" t="e">
        <x:f>IF(A133=1,MAX(0,Dashboard!$F$14-$B$8),AG132)</x:f>
      </x:c>
      <x:c r="AE133" s="32" t="n">
        <x:f>0</x:f>
        <x:v>0</x:v>
      </x:c>
      <x:c r="AF133" s="32" t="e">
        <x:f>IF(A133&lt;=Dashboard!$F$17,AD133*Dashboard!$F$6,0)</x:f>
      </x:c>
      <x:c r="AG133" s="32" t="e">
        <x:f>IF(A133&lt;=Dashboard!$F$17,MIN(Dashboard!$F$10,AD133+AF133),0)</x:f>
      </x:c>
      <x:c r="AH133" s="32" t="e">
        <x:f>IF(A133&lt;=Dashboard!$F$17,MAX(0,AD133-MAX(0,AG133-AF133)),0)</x:f>
      </x:c>
      <x:c r="AI133" s="32" t="e">
        <x:f>IF(A133=1,AF133,AI132+AF133)</x:f>
      </x:c>
      <x:c r="AJ133" s="33"/>
      <x:c r="AK133" s="33"/>
      <x:c r="AL133" s="33"/>
      <x:c r="AM133" s="33"/>
    </x:row>
    <x:row r="134">
      <x:c r="A134" s="33" t="n">
        <x:v>122</x:v>
      </x:c>
      <x:c r="B134" s="32" t="e">
        <x:f>IF(A134=1,Dashboard!$F$14,F133)</x:f>
      </x:c>
      <x:c r="C134" s="32" t="n">
        <x:f>0</x:f>
        <x:v>0</x:v>
      </x:c>
      <x:c r="D134" s="32" t="e">
        <x:f>IF(A134&lt;=Dashboard!$F$15,B134*Dashboard!$F$6,0)</x:f>
      </x:c>
      <x:c r="E134" s="32" t="e">
        <x:f>IF(A134&lt;=Dashboard!$F$15,MIN(Dashboard!$F$10,B134+D134),0)</x:f>
      </x:c>
      <x:c r="F134" s="32" t="e">
        <x:f>IF(A134&lt;=Dashboard!$F$15,MAX(0,B134-MAX(0,E134-D134)),0)</x:f>
      </x:c>
      <x:c r="G134" s="32" t="e">
        <x:f>IF(A134=1,D134,G133+D134)</x:f>
      </x:c>
      <x:c r="H134" s="32"/>
      <x:c r="I134" s="32" t="e">
        <x:f>IF(A134=1,Dashboard!$F$14,M133)</x:f>
      </x:c>
      <x:c r="J134" s="32" t="e">
        <x:f>IF(A134&lt;=Dashboard!$F$17,MIN(I134,$B$5),0)</x:f>
      </x:c>
      <x:c r="K134" s="32" t="e">
        <x:f>IF(A134&lt;=Dashboard!$F$17,MAX(0,I134-J134)*Dashboard!$F$6,0)</x:f>
      </x:c>
      <x:c r="L134" s="32" t="e">
        <x:f>IF(A134&lt;=Dashboard!$F$17,MIN(Dashboard!$F$10,MAX(0,I134-J134)+K134),0)</x:f>
      </x:c>
      <x:c r="M134" s="32" t="e">
        <x:f>IF(A134&lt;=Dashboard!$F$17,MAX(0,I134-J134-MAX(0,L134-K134)),0)</x:f>
      </x:c>
      <x:c r="N134" s="32" t="e">
        <x:f>IF(A134=1,K134,N133+K134)</x:f>
      </x:c>
      <x:c r="O134" s="32"/>
      <x:c r="P134" s="32" t="e">
        <x:f>IF(A134=1,Dashboard!$F$14,T133)</x:f>
      </x:c>
      <x:c r="Q134" s="32" t="e">
        <x:f>IF(A134&lt;=Dashboard!$F$17,MIN(P134,$B$6*52/12),0)</x:f>
      </x:c>
      <x:c r="R134" s="32" t="e">
        <x:f>IF(A134&lt;=Dashboard!$F$17,MAX(0,P134-Q134)*Dashboard!$F$6,0)</x:f>
      </x:c>
      <x:c r="S134" s="32" t="e">
        <x:f>IF(A134&lt;=Dashboard!$F$17,MIN(Dashboard!$F$10,MAX(0,P134-Q134)+R134),0)</x:f>
      </x:c>
      <x:c r="T134" s="32" t="e">
        <x:f>IF(A134&lt;=Dashboard!$F$17,MAX(0,P134-Q134-MAX(0,S134-R134)),0)</x:f>
      </x:c>
      <x:c r="U134" s="32" t="e">
        <x:f>IF(A134=1,R134,U133+R134)</x:f>
      </x:c>
      <x:c r="V134" s="32"/>
      <x:c r="W134" s="32" t="e">
        <x:f>IF(A134=1,Dashboard!$F$14,AA133)</x:f>
      </x:c>
      <x:c r="X134" s="32" t="e">
        <x:f>IF(AND(A134&lt;=Dashboard!$F$17,MOD(A134-1,12)=0),MIN(W134,$B$7),0)</x:f>
      </x:c>
      <x:c r="Y134" s="32" t="e">
        <x:f>IF(A134&lt;=Dashboard!$F$17,MAX(0,W134-X134)*Dashboard!$F$6,0)</x:f>
      </x:c>
      <x:c r="Z134" s="32" t="e">
        <x:f>IF(A134&lt;=Dashboard!$F$17,MIN(Dashboard!$F$10,MAX(0,W134-X134)+Y134),0)</x:f>
      </x:c>
      <x:c r="AA134" s="32" t="e">
        <x:f>IF(A134&lt;=Dashboard!$F$17,MAX(0,W134-X134-MAX(0,Z134-Y134)),0)</x:f>
      </x:c>
      <x:c r="AB134" s="32" t="e">
        <x:f>IF(A134=1,Y134,AB133+Y134)</x:f>
      </x:c>
      <x:c r="AC134" s="32"/>
      <x:c r="AD134" s="32" t="e">
        <x:f>IF(A134=1,MAX(0,Dashboard!$F$14-$B$8),AG133)</x:f>
      </x:c>
      <x:c r="AE134" s="32" t="n">
        <x:f>0</x:f>
        <x:v>0</x:v>
      </x:c>
      <x:c r="AF134" s="32" t="e">
        <x:f>IF(A134&lt;=Dashboard!$F$17,AD134*Dashboard!$F$6,0)</x:f>
      </x:c>
      <x:c r="AG134" s="32" t="e">
        <x:f>IF(A134&lt;=Dashboard!$F$17,MIN(Dashboard!$F$10,AD134+AF134),0)</x:f>
      </x:c>
      <x:c r="AH134" s="32" t="e">
        <x:f>IF(A134&lt;=Dashboard!$F$17,MAX(0,AD134-MAX(0,AG134-AF134)),0)</x:f>
      </x:c>
      <x:c r="AI134" s="32" t="e">
        <x:f>IF(A134=1,AF134,AI133+AF134)</x:f>
      </x:c>
      <x:c r="AJ134" s="33"/>
      <x:c r="AK134" s="33"/>
      <x:c r="AL134" s="33"/>
      <x:c r="AM134" s="33"/>
    </x:row>
    <x:row r="135">
      <x:c r="A135" s="33" t="n">
        <x:v>123</x:v>
      </x:c>
      <x:c r="B135" s="32" t="e">
        <x:f>IF(A135=1,Dashboard!$F$14,F134)</x:f>
      </x:c>
      <x:c r="C135" s="32" t="n">
        <x:f>0</x:f>
        <x:v>0</x:v>
      </x:c>
      <x:c r="D135" s="32" t="e">
        <x:f>IF(A135&lt;=Dashboard!$F$15,B135*Dashboard!$F$6,0)</x:f>
      </x:c>
      <x:c r="E135" s="32" t="e">
        <x:f>IF(A135&lt;=Dashboard!$F$15,MIN(Dashboard!$F$10,B135+D135),0)</x:f>
      </x:c>
      <x:c r="F135" s="32" t="e">
        <x:f>IF(A135&lt;=Dashboard!$F$15,MAX(0,B135-MAX(0,E135-D135)),0)</x:f>
      </x:c>
      <x:c r="G135" s="32" t="e">
        <x:f>IF(A135=1,D135,G134+D135)</x:f>
      </x:c>
      <x:c r="H135" s="32"/>
      <x:c r="I135" s="32" t="e">
        <x:f>IF(A135=1,Dashboard!$F$14,M134)</x:f>
      </x:c>
      <x:c r="J135" s="32" t="e">
        <x:f>IF(A135&lt;=Dashboard!$F$17,MIN(I135,$B$5),0)</x:f>
      </x:c>
      <x:c r="K135" s="32" t="e">
        <x:f>IF(A135&lt;=Dashboard!$F$17,MAX(0,I135-J135)*Dashboard!$F$6,0)</x:f>
      </x:c>
      <x:c r="L135" s="32" t="e">
        <x:f>IF(A135&lt;=Dashboard!$F$17,MIN(Dashboard!$F$10,MAX(0,I135-J135)+K135),0)</x:f>
      </x:c>
      <x:c r="M135" s="32" t="e">
        <x:f>IF(A135&lt;=Dashboard!$F$17,MAX(0,I135-J135-MAX(0,L135-K135)),0)</x:f>
      </x:c>
      <x:c r="N135" s="32" t="e">
        <x:f>IF(A135=1,K135,N134+K135)</x:f>
      </x:c>
      <x:c r="O135" s="32"/>
      <x:c r="P135" s="32" t="e">
        <x:f>IF(A135=1,Dashboard!$F$14,T134)</x:f>
      </x:c>
      <x:c r="Q135" s="32" t="e">
        <x:f>IF(A135&lt;=Dashboard!$F$17,MIN(P135,$B$6*52/12),0)</x:f>
      </x:c>
      <x:c r="R135" s="32" t="e">
        <x:f>IF(A135&lt;=Dashboard!$F$17,MAX(0,P135-Q135)*Dashboard!$F$6,0)</x:f>
      </x:c>
      <x:c r="S135" s="32" t="e">
        <x:f>IF(A135&lt;=Dashboard!$F$17,MIN(Dashboard!$F$10,MAX(0,P135-Q135)+R135),0)</x:f>
      </x:c>
      <x:c r="T135" s="32" t="e">
        <x:f>IF(A135&lt;=Dashboard!$F$17,MAX(0,P135-Q135-MAX(0,S135-R135)),0)</x:f>
      </x:c>
      <x:c r="U135" s="32" t="e">
        <x:f>IF(A135=1,R135,U134+R135)</x:f>
      </x:c>
      <x:c r="V135" s="32"/>
      <x:c r="W135" s="32" t="e">
        <x:f>IF(A135=1,Dashboard!$F$14,AA134)</x:f>
      </x:c>
      <x:c r="X135" s="32" t="e">
        <x:f>IF(AND(A135&lt;=Dashboard!$F$17,MOD(A135-1,12)=0),MIN(W135,$B$7),0)</x:f>
      </x:c>
      <x:c r="Y135" s="32" t="e">
        <x:f>IF(A135&lt;=Dashboard!$F$17,MAX(0,W135-X135)*Dashboard!$F$6,0)</x:f>
      </x:c>
      <x:c r="Z135" s="32" t="e">
        <x:f>IF(A135&lt;=Dashboard!$F$17,MIN(Dashboard!$F$10,MAX(0,W135-X135)+Y135),0)</x:f>
      </x:c>
      <x:c r="AA135" s="32" t="e">
        <x:f>IF(A135&lt;=Dashboard!$F$17,MAX(0,W135-X135-MAX(0,Z135-Y135)),0)</x:f>
      </x:c>
      <x:c r="AB135" s="32" t="e">
        <x:f>IF(A135=1,Y135,AB134+Y135)</x:f>
      </x:c>
      <x:c r="AC135" s="32"/>
      <x:c r="AD135" s="32" t="e">
        <x:f>IF(A135=1,MAX(0,Dashboard!$F$14-$B$8),AG134)</x:f>
      </x:c>
      <x:c r="AE135" s="32" t="n">
        <x:f>0</x:f>
        <x:v>0</x:v>
      </x:c>
      <x:c r="AF135" s="32" t="e">
        <x:f>IF(A135&lt;=Dashboard!$F$17,AD135*Dashboard!$F$6,0)</x:f>
      </x:c>
      <x:c r="AG135" s="32" t="e">
        <x:f>IF(A135&lt;=Dashboard!$F$17,MIN(Dashboard!$F$10,AD135+AF135),0)</x:f>
      </x:c>
      <x:c r="AH135" s="32" t="e">
        <x:f>IF(A135&lt;=Dashboard!$F$17,MAX(0,AD135-MAX(0,AG135-AF135)),0)</x:f>
      </x:c>
      <x:c r="AI135" s="32" t="e">
        <x:f>IF(A135=1,AF135,AI134+AF135)</x:f>
      </x:c>
      <x:c r="AJ135" s="33"/>
      <x:c r="AK135" s="33"/>
      <x:c r="AL135" s="33"/>
      <x:c r="AM135" s="33"/>
    </x:row>
    <x:row r="136">
      <x:c r="A136" s="33" t="n">
        <x:v>124</x:v>
      </x:c>
      <x:c r="B136" s="32" t="e">
        <x:f>IF(A136=1,Dashboard!$F$14,F135)</x:f>
      </x:c>
      <x:c r="C136" s="32" t="n">
        <x:f>0</x:f>
        <x:v>0</x:v>
      </x:c>
      <x:c r="D136" s="32" t="e">
        <x:f>IF(A136&lt;=Dashboard!$F$15,B136*Dashboard!$F$6,0)</x:f>
      </x:c>
      <x:c r="E136" s="32" t="e">
        <x:f>IF(A136&lt;=Dashboard!$F$15,MIN(Dashboard!$F$10,B136+D136),0)</x:f>
      </x:c>
      <x:c r="F136" s="32" t="e">
        <x:f>IF(A136&lt;=Dashboard!$F$15,MAX(0,B136-MAX(0,E136-D136)),0)</x:f>
      </x:c>
      <x:c r="G136" s="32" t="e">
        <x:f>IF(A136=1,D136,G135+D136)</x:f>
      </x:c>
      <x:c r="H136" s="32"/>
      <x:c r="I136" s="32" t="e">
        <x:f>IF(A136=1,Dashboard!$F$14,M135)</x:f>
      </x:c>
      <x:c r="J136" s="32" t="e">
        <x:f>IF(A136&lt;=Dashboard!$F$17,MIN(I136,$B$5),0)</x:f>
      </x:c>
      <x:c r="K136" s="32" t="e">
        <x:f>IF(A136&lt;=Dashboard!$F$17,MAX(0,I136-J136)*Dashboard!$F$6,0)</x:f>
      </x:c>
      <x:c r="L136" s="32" t="e">
        <x:f>IF(A136&lt;=Dashboard!$F$17,MIN(Dashboard!$F$10,MAX(0,I136-J136)+K136),0)</x:f>
      </x:c>
      <x:c r="M136" s="32" t="e">
        <x:f>IF(A136&lt;=Dashboard!$F$17,MAX(0,I136-J136-MAX(0,L136-K136)),0)</x:f>
      </x:c>
      <x:c r="N136" s="32" t="e">
        <x:f>IF(A136=1,K136,N135+K136)</x:f>
      </x:c>
      <x:c r="O136" s="32"/>
      <x:c r="P136" s="32" t="e">
        <x:f>IF(A136=1,Dashboard!$F$14,T135)</x:f>
      </x:c>
      <x:c r="Q136" s="32" t="e">
        <x:f>IF(A136&lt;=Dashboard!$F$17,MIN(P136,$B$6*52/12),0)</x:f>
      </x:c>
      <x:c r="R136" s="32" t="e">
        <x:f>IF(A136&lt;=Dashboard!$F$17,MAX(0,P136-Q136)*Dashboard!$F$6,0)</x:f>
      </x:c>
      <x:c r="S136" s="32" t="e">
        <x:f>IF(A136&lt;=Dashboard!$F$17,MIN(Dashboard!$F$10,MAX(0,P136-Q136)+R136),0)</x:f>
      </x:c>
      <x:c r="T136" s="32" t="e">
        <x:f>IF(A136&lt;=Dashboard!$F$17,MAX(0,P136-Q136-MAX(0,S136-R136)),0)</x:f>
      </x:c>
      <x:c r="U136" s="32" t="e">
        <x:f>IF(A136=1,R136,U135+R136)</x:f>
      </x:c>
      <x:c r="V136" s="32"/>
      <x:c r="W136" s="32" t="e">
        <x:f>IF(A136=1,Dashboard!$F$14,AA135)</x:f>
      </x:c>
      <x:c r="X136" s="32" t="e">
        <x:f>IF(AND(A136&lt;=Dashboard!$F$17,MOD(A136-1,12)=0),MIN(W136,$B$7),0)</x:f>
      </x:c>
      <x:c r="Y136" s="32" t="e">
        <x:f>IF(A136&lt;=Dashboard!$F$17,MAX(0,W136-X136)*Dashboard!$F$6,0)</x:f>
      </x:c>
      <x:c r="Z136" s="32" t="e">
        <x:f>IF(A136&lt;=Dashboard!$F$17,MIN(Dashboard!$F$10,MAX(0,W136-X136)+Y136),0)</x:f>
      </x:c>
      <x:c r="AA136" s="32" t="e">
        <x:f>IF(A136&lt;=Dashboard!$F$17,MAX(0,W136-X136-MAX(0,Z136-Y136)),0)</x:f>
      </x:c>
      <x:c r="AB136" s="32" t="e">
        <x:f>IF(A136=1,Y136,AB135+Y136)</x:f>
      </x:c>
      <x:c r="AC136" s="32"/>
      <x:c r="AD136" s="32" t="e">
        <x:f>IF(A136=1,MAX(0,Dashboard!$F$14-$B$8),AG135)</x:f>
      </x:c>
      <x:c r="AE136" s="32" t="n">
        <x:f>0</x:f>
        <x:v>0</x:v>
      </x:c>
      <x:c r="AF136" s="32" t="e">
        <x:f>IF(A136&lt;=Dashboard!$F$17,AD136*Dashboard!$F$6,0)</x:f>
      </x:c>
      <x:c r="AG136" s="32" t="e">
        <x:f>IF(A136&lt;=Dashboard!$F$17,MIN(Dashboard!$F$10,AD136+AF136),0)</x:f>
      </x:c>
      <x:c r="AH136" s="32" t="e">
        <x:f>IF(A136&lt;=Dashboard!$F$17,MAX(0,AD136-MAX(0,AG136-AF136)),0)</x:f>
      </x:c>
      <x:c r="AI136" s="32" t="e">
        <x:f>IF(A136=1,AF136,AI135+AF136)</x:f>
      </x:c>
      <x:c r="AJ136" s="33"/>
      <x:c r="AK136" s="33"/>
      <x:c r="AL136" s="33"/>
      <x:c r="AM136" s="33"/>
    </x:row>
    <x:row r="137">
      <x:c r="A137" s="33" t="n">
        <x:v>125</x:v>
      </x:c>
      <x:c r="B137" s="32" t="e">
        <x:f>IF(A137=1,Dashboard!$F$14,F136)</x:f>
      </x:c>
      <x:c r="C137" s="32" t="n">
        <x:f>0</x:f>
        <x:v>0</x:v>
      </x:c>
      <x:c r="D137" s="32" t="e">
        <x:f>IF(A137&lt;=Dashboard!$F$15,B137*Dashboard!$F$6,0)</x:f>
      </x:c>
      <x:c r="E137" s="32" t="e">
        <x:f>IF(A137&lt;=Dashboard!$F$15,MIN(Dashboard!$F$10,B137+D137),0)</x:f>
      </x:c>
      <x:c r="F137" s="32" t="e">
        <x:f>IF(A137&lt;=Dashboard!$F$15,MAX(0,B137-MAX(0,E137-D137)),0)</x:f>
      </x:c>
      <x:c r="G137" s="32" t="e">
        <x:f>IF(A137=1,D137,G136+D137)</x:f>
      </x:c>
      <x:c r="H137" s="32"/>
      <x:c r="I137" s="32" t="e">
        <x:f>IF(A137=1,Dashboard!$F$14,M136)</x:f>
      </x:c>
      <x:c r="J137" s="32" t="e">
        <x:f>IF(A137&lt;=Dashboard!$F$17,MIN(I137,$B$5),0)</x:f>
      </x:c>
      <x:c r="K137" s="32" t="e">
        <x:f>IF(A137&lt;=Dashboard!$F$17,MAX(0,I137-J137)*Dashboard!$F$6,0)</x:f>
      </x:c>
      <x:c r="L137" s="32" t="e">
        <x:f>IF(A137&lt;=Dashboard!$F$17,MIN(Dashboard!$F$10,MAX(0,I137-J137)+K137),0)</x:f>
      </x:c>
      <x:c r="M137" s="32" t="e">
        <x:f>IF(A137&lt;=Dashboard!$F$17,MAX(0,I137-J137-MAX(0,L137-K137)),0)</x:f>
      </x:c>
      <x:c r="N137" s="32" t="e">
        <x:f>IF(A137=1,K137,N136+K137)</x:f>
      </x:c>
      <x:c r="O137" s="32"/>
      <x:c r="P137" s="32" t="e">
        <x:f>IF(A137=1,Dashboard!$F$14,T136)</x:f>
      </x:c>
      <x:c r="Q137" s="32" t="e">
        <x:f>IF(A137&lt;=Dashboard!$F$17,MIN(P137,$B$6*52/12),0)</x:f>
      </x:c>
      <x:c r="R137" s="32" t="e">
        <x:f>IF(A137&lt;=Dashboard!$F$17,MAX(0,P137-Q137)*Dashboard!$F$6,0)</x:f>
      </x:c>
      <x:c r="S137" s="32" t="e">
        <x:f>IF(A137&lt;=Dashboard!$F$17,MIN(Dashboard!$F$10,MAX(0,P137-Q137)+R137),0)</x:f>
      </x:c>
      <x:c r="T137" s="32" t="e">
        <x:f>IF(A137&lt;=Dashboard!$F$17,MAX(0,P137-Q137-MAX(0,S137-R137)),0)</x:f>
      </x:c>
      <x:c r="U137" s="32" t="e">
        <x:f>IF(A137=1,R137,U136+R137)</x:f>
      </x:c>
      <x:c r="V137" s="32"/>
      <x:c r="W137" s="32" t="e">
        <x:f>IF(A137=1,Dashboard!$F$14,AA136)</x:f>
      </x:c>
      <x:c r="X137" s="32" t="e">
        <x:f>IF(AND(A137&lt;=Dashboard!$F$17,MOD(A137-1,12)=0),MIN(W137,$B$7),0)</x:f>
      </x:c>
      <x:c r="Y137" s="32" t="e">
        <x:f>IF(A137&lt;=Dashboard!$F$17,MAX(0,W137-X137)*Dashboard!$F$6,0)</x:f>
      </x:c>
      <x:c r="Z137" s="32" t="e">
        <x:f>IF(A137&lt;=Dashboard!$F$17,MIN(Dashboard!$F$10,MAX(0,W137-X137)+Y137),0)</x:f>
      </x:c>
      <x:c r="AA137" s="32" t="e">
        <x:f>IF(A137&lt;=Dashboard!$F$17,MAX(0,W137-X137-MAX(0,Z137-Y137)),0)</x:f>
      </x:c>
      <x:c r="AB137" s="32" t="e">
        <x:f>IF(A137=1,Y137,AB136+Y137)</x:f>
      </x:c>
      <x:c r="AC137" s="32"/>
      <x:c r="AD137" s="32" t="e">
        <x:f>IF(A137=1,MAX(0,Dashboard!$F$14-$B$8),AG136)</x:f>
      </x:c>
      <x:c r="AE137" s="32" t="n">
        <x:f>0</x:f>
        <x:v>0</x:v>
      </x:c>
      <x:c r="AF137" s="32" t="e">
        <x:f>IF(A137&lt;=Dashboard!$F$17,AD137*Dashboard!$F$6,0)</x:f>
      </x:c>
      <x:c r="AG137" s="32" t="e">
        <x:f>IF(A137&lt;=Dashboard!$F$17,MIN(Dashboard!$F$10,AD137+AF137),0)</x:f>
      </x:c>
      <x:c r="AH137" s="32" t="e">
        <x:f>IF(A137&lt;=Dashboard!$F$17,MAX(0,AD137-MAX(0,AG137-AF137)),0)</x:f>
      </x:c>
      <x:c r="AI137" s="32" t="e">
        <x:f>IF(A137=1,AF137,AI136+AF137)</x:f>
      </x:c>
      <x:c r="AJ137" s="33"/>
      <x:c r="AK137" s="33"/>
      <x:c r="AL137" s="33"/>
      <x:c r="AM137" s="33"/>
    </x:row>
    <x:row r="138">
      <x:c r="A138" s="33" t="n">
        <x:v>126</x:v>
      </x:c>
      <x:c r="B138" s="32" t="e">
        <x:f>IF(A138=1,Dashboard!$F$14,F137)</x:f>
      </x:c>
      <x:c r="C138" s="32" t="n">
        <x:f>0</x:f>
        <x:v>0</x:v>
      </x:c>
      <x:c r="D138" s="32" t="e">
        <x:f>IF(A138&lt;=Dashboard!$F$15,B138*Dashboard!$F$6,0)</x:f>
      </x:c>
      <x:c r="E138" s="32" t="e">
        <x:f>IF(A138&lt;=Dashboard!$F$15,MIN(Dashboard!$F$10,B138+D138),0)</x:f>
      </x:c>
      <x:c r="F138" s="32" t="e">
        <x:f>IF(A138&lt;=Dashboard!$F$15,MAX(0,B138-MAX(0,E138-D138)),0)</x:f>
      </x:c>
      <x:c r="G138" s="32" t="e">
        <x:f>IF(A138=1,D138,G137+D138)</x:f>
      </x:c>
      <x:c r="H138" s="32"/>
      <x:c r="I138" s="32" t="e">
        <x:f>IF(A138=1,Dashboard!$F$14,M137)</x:f>
      </x:c>
      <x:c r="J138" s="32" t="e">
        <x:f>IF(A138&lt;=Dashboard!$F$17,MIN(I138,$B$5),0)</x:f>
      </x:c>
      <x:c r="K138" s="32" t="e">
        <x:f>IF(A138&lt;=Dashboard!$F$17,MAX(0,I138-J138)*Dashboard!$F$6,0)</x:f>
      </x:c>
      <x:c r="L138" s="32" t="e">
        <x:f>IF(A138&lt;=Dashboard!$F$17,MIN(Dashboard!$F$10,MAX(0,I138-J138)+K138),0)</x:f>
      </x:c>
      <x:c r="M138" s="32" t="e">
        <x:f>IF(A138&lt;=Dashboard!$F$17,MAX(0,I138-J138-MAX(0,L138-K138)),0)</x:f>
      </x:c>
      <x:c r="N138" s="32" t="e">
        <x:f>IF(A138=1,K138,N137+K138)</x:f>
      </x:c>
      <x:c r="O138" s="32"/>
      <x:c r="P138" s="32" t="e">
        <x:f>IF(A138=1,Dashboard!$F$14,T137)</x:f>
      </x:c>
      <x:c r="Q138" s="32" t="e">
        <x:f>IF(A138&lt;=Dashboard!$F$17,MIN(P138,$B$6*52/12),0)</x:f>
      </x:c>
      <x:c r="R138" s="32" t="e">
        <x:f>IF(A138&lt;=Dashboard!$F$17,MAX(0,P138-Q138)*Dashboard!$F$6,0)</x:f>
      </x:c>
      <x:c r="S138" s="32" t="e">
        <x:f>IF(A138&lt;=Dashboard!$F$17,MIN(Dashboard!$F$10,MAX(0,P138-Q138)+R138),0)</x:f>
      </x:c>
      <x:c r="T138" s="32" t="e">
        <x:f>IF(A138&lt;=Dashboard!$F$17,MAX(0,P138-Q138-MAX(0,S138-R138)),0)</x:f>
      </x:c>
      <x:c r="U138" s="32" t="e">
        <x:f>IF(A138=1,R138,U137+R138)</x:f>
      </x:c>
      <x:c r="V138" s="32"/>
      <x:c r="W138" s="32" t="e">
        <x:f>IF(A138=1,Dashboard!$F$14,AA137)</x:f>
      </x:c>
      <x:c r="X138" s="32" t="e">
        <x:f>IF(AND(A138&lt;=Dashboard!$F$17,MOD(A138-1,12)=0),MIN(W138,$B$7),0)</x:f>
      </x:c>
      <x:c r="Y138" s="32" t="e">
        <x:f>IF(A138&lt;=Dashboard!$F$17,MAX(0,W138-X138)*Dashboard!$F$6,0)</x:f>
      </x:c>
      <x:c r="Z138" s="32" t="e">
        <x:f>IF(A138&lt;=Dashboard!$F$17,MIN(Dashboard!$F$10,MAX(0,W138-X138)+Y138),0)</x:f>
      </x:c>
      <x:c r="AA138" s="32" t="e">
        <x:f>IF(A138&lt;=Dashboard!$F$17,MAX(0,W138-X138-MAX(0,Z138-Y138)),0)</x:f>
      </x:c>
      <x:c r="AB138" s="32" t="e">
        <x:f>IF(A138=1,Y138,AB137+Y138)</x:f>
      </x:c>
      <x:c r="AC138" s="32"/>
      <x:c r="AD138" s="32" t="e">
        <x:f>IF(A138=1,MAX(0,Dashboard!$F$14-$B$8),AG137)</x:f>
      </x:c>
      <x:c r="AE138" s="32" t="n">
        <x:f>0</x:f>
        <x:v>0</x:v>
      </x:c>
      <x:c r="AF138" s="32" t="e">
        <x:f>IF(A138&lt;=Dashboard!$F$17,AD138*Dashboard!$F$6,0)</x:f>
      </x:c>
      <x:c r="AG138" s="32" t="e">
        <x:f>IF(A138&lt;=Dashboard!$F$17,MIN(Dashboard!$F$10,AD138+AF138),0)</x:f>
      </x:c>
      <x:c r="AH138" s="32" t="e">
        <x:f>IF(A138&lt;=Dashboard!$F$17,MAX(0,AD138-MAX(0,AG138-AF138)),0)</x:f>
      </x:c>
      <x:c r="AI138" s="32" t="e">
        <x:f>IF(A138=1,AF138,AI137+AF138)</x:f>
      </x:c>
      <x:c r="AJ138" s="33"/>
      <x:c r="AK138" s="33"/>
      <x:c r="AL138" s="33"/>
      <x:c r="AM138" s="33"/>
    </x:row>
    <x:row r="139">
      <x:c r="A139" s="33" t="n">
        <x:v>127</x:v>
      </x:c>
      <x:c r="B139" s="32" t="e">
        <x:f>IF(A139=1,Dashboard!$F$14,F138)</x:f>
      </x:c>
      <x:c r="C139" s="32" t="n">
        <x:f>0</x:f>
        <x:v>0</x:v>
      </x:c>
      <x:c r="D139" s="32" t="e">
        <x:f>IF(A139&lt;=Dashboard!$F$15,B139*Dashboard!$F$6,0)</x:f>
      </x:c>
      <x:c r="E139" s="32" t="e">
        <x:f>IF(A139&lt;=Dashboard!$F$15,MIN(Dashboard!$F$10,B139+D139),0)</x:f>
      </x:c>
      <x:c r="F139" s="32" t="e">
        <x:f>IF(A139&lt;=Dashboard!$F$15,MAX(0,B139-MAX(0,E139-D139)),0)</x:f>
      </x:c>
      <x:c r="G139" s="32" t="e">
        <x:f>IF(A139=1,D139,G138+D139)</x:f>
      </x:c>
      <x:c r="H139" s="32"/>
      <x:c r="I139" s="32" t="e">
        <x:f>IF(A139=1,Dashboard!$F$14,M138)</x:f>
      </x:c>
      <x:c r="J139" s="32" t="e">
        <x:f>IF(A139&lt;=Dashboard!$F$17,MIN(I139,$B$5),0)</x:f>
      </x:c>
      <x:c r="K139" s="32" t="e">
        <x:f>IF(A139&lt;=Dashboard!$F$17,MAX(0,I139-J139)*Dashboard!$F$6,0)</x:f>
      </x:c>
      <x:c r="L139" s="32" t="e">
        <x:f>IF(A139&lt;=Dashboard!$F$17,MIN(Dashboard!$F$10,MAX(0,I139-J139)+K139),0)</x:f>
      </x:c>
      <x:c r="M139" s="32" t="e">
        <x:f>IF(A139&lt;=Dashboard!$F$17,MAX(0,I139-J139-MAX(0,L139-K139)),0)</x:f>
      </x:c>
      <x:c r="N139" s="32" t="e">
        <x:f>IF(A139=1,K139,N138+K139)</x:f>
      </x:c>
      <x:c r="O139" s="32"/>
      <x:c r="P139" s="32" t="e">
        <x:f>IF(A139=1,Dashboard!$F$14,T138)</x:f>
      </x:c>
      <x:c r="Q139" s="32" t="e">
        <x:f>IF(A139&lt;=Dashboard!$F$17,MIN(P139,$B$6*52/12),0)</x:f>
      </x:c>
      <x:c r="R139" s="32" t="e">
        <x:f>IF(A139&lt;=Dashboard!$F$17,MAX(0,P139-Q139)*Dashboard!$F$6,0)</x:f>
      </x:c>
      <x:c r="S139" s="32" t="e">
        <x:f>IF(A139&lt;=Dashboard!$F$17,MIN(Dashboard!$F$10,MAX(0,P139-Q139)+R139),0)</x:f>
      </x:c>
      <x:c r="T139" s="32" t="e">
        <x:f>IF(A139&lt;=Dashboard!$F$17,MAX(0,P139-Q139-MAX(0,S139-R139)),0)</x:f>
      </x:c>
      <x:c r="U139" s="32" t="e">
        <x:f>IF(A139=1,R139,U138+R139)</x:f>
      </x:c>
      <x:c r="V139" s="32"/>
      <x:c r="W139" s="32" t="e">
        <x:f>IF(A139=1,Dashboard!$F$14,AA138)</x:f>
      </x:c>
      <x:c r="X139" s="32" t="e">
        <x:f>IF(AND(A139&lt;=Dashboard!$F$17,MOD(A139-1,12)=0),MIN(W139,$B$7),0)</x:f>
      </x:c>
      <x:c r="Y139" s="32" t="e">
        <x:f>IF(A139&lt;=Dashboard!$F$17,MAX(0,W139-X139)*Dashboard!$F$6,0)</x:f>
      </x:c>
      <x:c r="Z139" s="32" t="e">
        <x:f>IF(A139&lt;=Dashboard!$F$17,MIN(Dashboard!$F$10,MAX(0,W139-X139)+Y139),0)</x:f>
      </x:c>
      <x:c r="AA139" s="32" t="e">
        <x:f>IF(A139&lt;=Dashboard!$F$17,MAX(0,W139-X139-MAX(0,Z139-Y139)),0)</x:f>
      </x:c>
      <x:c r="AB139" s="32" t="e">
        <x:f>IF(A139=1,Y139,AB138+Y139)</x:f>
      </x:c>
      <x:c r="AC139" s="32"/>
      <x:c r="AD139" s="32" t="e">
        <x:f>IF(A139=1,MAX(0,Dashboard!$F$14-$B$8),AG138)</x:f>
      </x:c>
      <x:c r="AE139" s="32" t="n">
        <x:f>0</x:f>
        <x:v>0</x:v>
      </x:c>
      <x:c r="AF139" s="32" t="e">
        <x:f>IF(A139&lt;=Dashboard!$F$17,AD139*Dashboard!$F$6,0)</x:f>
      </x:c>
      <x:c r="AG139" s="32" t="e">
        <x:f>IF(A139&lt;=Dashboard!$F$17,MIN(Dashboard!$F$10,AD139+AF139),0)</x:f>
      </x:c>
      <x:c r="AH139" s="32" t="e">
        <x:f>IF(A139&lt;=Dashboard!$F$17,MAX(0,AD139-MAX(0,AG139-AF139)),0)</x:f>
      </x:c>
      <x:c r="AI139" s="32" t="e">
        <x:f>IF(A139=1,AF139,AI138+AF139)</x:f>
      </x:c>
      <x:c r="AJ139" s="33"/>
      <x:c r="AK139" s="33"/>
      <x:c r="AL139" s="33"/>
      <x:c r="AM139" s="33"/>
    </x:row>
    <x:row r="140">
      <x:c r="A140" s="33" t="n">
        <x:v>128</x:v>
      </x:c>
      <x:c r="B140" s="32" t="e">
        <x:f>IF(A140=1,Dashboard!$F$14,F139)</x:f>
      </x:c>
      <x:c r="C140" s="32" t="n">
        <x:f>0</x:f>
        <x:v>0</x:v>
      </x:c>
      <x:c r="D140" s="32" t="e">
        <x:f>IF(A140&lt;=Dashboard!$F$15,B140*Dashboard!$F$6,0)</x:f>
      </x:c>
      <x:c r="E140" s="32" t="e">
        <x:f>IF(A140&lt;=Dashboard!$F$15,MIN(Dashboard!$F$10,B140+D140),0)</x:f>
      </x:c>
      <x:c r="F140" s="32" t="e">
        <x:f>IF(A140&lt;=Dashboard!$F$15,MAX(0,B140-MAX(0,E140-D140)),0)</x:f>
      </x:c>
      <x:c r="G140" s="32" t="e">
        <x:f>IF(A140=1,D140,G139+D140)</x:f>
      </x:c>
      <x:c r="H140" s="32"/>
      <x:c r="I140" s="32" t="e">
        <x:f>IF(A140=1,Dashboard!$F$14,M139)</x:f>
      </x:c>
      <x:c r="J140" s="32" t="e">
        <x:f>IF(A140&lt;=Dashboard!$F$17,MIN(I140,$B$5),0)</x:f>
      </x:c>
      <x:c r="K140" s="32" t="e">
        <x:f>IF(A140&lt;=Dashboard!$F$17,MAX(0,I140-J140)*Dashboard!$F$6,0)</x:f>
      </x:c>
      <x:c r="L140" s="32" t="e">
        <x:f>IF(A140&lt;=Dashboard!$F$17,MIN(Dashboard!$F$10,MAX(0,I140-J140)+K140),0)</x:f>
      </x:c>
      <x:c r="M140" s="32" t="e">
        <x:f>IF(A140&lt;=Dashboard!$F$17,MAX(0,I140-J140-MAX(0,L140-K140)),0)</x:f>
      </x:c>
      <x:c r="N140" s="32" t="e">
        <x:f>IF(A140=1,K140,N139+K140)</x:f>
      </x:c>
      <x:c r="O140" s="32"/>
      <x:c r="P140" s="32" t="e">
        <x:f>IF(A140=1,Dashboard!$F$14,T139)</x:f>
      </x:c>
      <x:c r="Q140" s="32" t="e">
        <x:f>IF(A140&lt;=Dashboard!$F$17,MIN(P140,$B$6*52/12),0)</x:f>
      </x:c>
      <x:c r="R140" s="32" t="e">
        <x:f>IF(A140&lt;=Dashboard!$F$17,MAX(0,P140-Q140)*Dashboard!$F$6,0)</x:f>
      </x:c>
      <x:c r="S140" s="32" t="e">
        <x:f>IF(A140&lt;=Dashboard!$F$17,MIN(Dashboard!$F$10,MAX(0,P140-Q140)+R140),0)</x:f>
      </x:c>
      <x:c r="T140" s="32" t="e">
        <x:f>IF(A140&lt;=Dashboard!$F$17,MAX(0,P140-Q140-MAX(0,S140-R140)),0)</x:f>
      </x:c>
      <x:c r="U140" s="32" t="e">
        <x:f>IF(A140=1,R140,U139+R140)</x:f>
      </x:c>
      <x:c r="V140" s="32"/>
      <x:c r="W140" s="32" t="e">
        <x:f>IF(A140=1,Dashboard!$F$14,AA139)</x:f>
      </x:c>
      <x:c r="X140" s="32" t="e">
        <x:f>IF(AND(A140&lt;=Dashboard!$F$17,MOD(A140-1,12)=0),MIN(W140,$B$7),0)</x:f>
      </x:c>
      <x:c r="Y140" s="32" t="e">
        <x:f>IF(A140&lt;=Dashboard!$F$17,MAX(0,W140-X140)*Dashboard!$F$6,0)</x:f>
      </x:c>
      <x:c r="Z140" s="32" t="e">
        <x:f>IF(A140&lt;=Dashboard!$F$17,MIN(Dashboard!$F$10,MAX(0,W140-X140)+Y140),0)</x:f>
      </x:c>
      <x:c r="AA140" s="32" t="e">
        <x:f>IF(A140&lt;=Dashboard!$F$17,MAX(0,W140-X140-MAX(0,Z140-Y140)),0)</x:f>
      </x:c>
      <x:c r="AB140" s="32" t="e">
        <x:f>IF(A140=1,Y140,AB139+Y140)</x:f>
      </x:c>
      <x:c r="AC140" s="32"/>
      <x:c r="AD140" s="32" t="e">
        <x:f>IF(A140=1,MAX(0,Dashboard!$F$14-$B$8),AG139)</x:f>
      </x:c>
      <x:c r="AE140" s="32" t="n">
        <x:f>0</x:f>
        <x:v>0</x:v>
      </x:c>
      <x:c r="AF140" s="32" t="e">
        <x:f>IF(A140&lt;=Dashboard!$F$17,AD140*Dashboard!$F$6,0)</x:f>
      </x:c>
      <x:c r="AG140" s="32" t="e">
        <x:f>IF(A140&lt;=Dashboard!$F$17,MIN(Dashboard!$F$10,AD140+AF140),0)</x:f>
      </x:c>
      <x:c r="AH140" s="32" t="e">
        <x:f>IF(A140&lt;=Dashboard!$F$17,MAX(0,AD140-MAX(0,AG140-AF140)),0)</x:f>
      </x:c>
      <x:c r="AI140" s="32" t="e">
        <x:f>IF(A140=1,AF140,AI139+AF140)</x:f>
      </x:c>
      <x:c r="AJ140" s="33"/>
      <x:c r="AK140" s="33"/>
      <x:c r="AL140" s="33"/>
      <x:c r="AM140" s="33"/>
    </x:row>
    <x:row r="141">
      <x:c r="A141" s="33" t="n">
        <x:v>129</x:v>
      </x:c>
      <x:c r="B141" s="32" t="e">
        <x:f>IF(A141=1,Dashboard!$F$14,F140)</x:f>
      </x:c>
      <x:c r="C141" s="32" t="n">
        <x:f>0</x:f>
        <x:v>0</x:v>
      </x:c>
      <x:c r="D141" s="32" t="e">
        <x:f>IF(A141&lt;=Dashboard!$F$15,B141*Dashboard!$F$6,0)</x:f>
      </x:c>
      <x:c r="E141" s="32" t="e">
        <x:f>IF(A141&lt;=Dashboard!$F$15,MIN(Dashboard!$F$10,B141+D141),0)</x:f>
      </x:c>
      <x:c r="F141" s="32" t="e">
        <x:f>IF(A141&lt;=Dashboard!$F$15,MAX(0,B141-MAX(0,E141-D141)),0)</x:f>
      </x:c>
      <x:c r="G141" s="32" t="e">
        <x:f>IF(A141=1,D141,G140+D141)</x:f>
      </x:c>
      <x:c r="H141" s="32"/>
      <x:c r="I141" s="32" t="e">
        <x:f>IF(A141=1,Dashboard!$F$14,M140)</x:f>
      </x:c>
      <x:c r="J141" s="32" t="e">
        <x:f>IF(A141&lt;=Dashboard!$F$17,MIN(I141,$B$5),0)</x:f>
      </x:c>
      <x:c r="K141" s="32" t="e">
        <x:f>IF(A141&lt;=Dashboard!$F$17,MAX(0,I141-J141)*Dashboard!$F$6,0)</x:f>
      </x:c>
      <x:c r="L141" s="32" t="e">
        <x:f>IF(A141&lt;=Dashboard!$F$17,MIN(Dashboard!$F$10,MAX(0,I141-J141)+K141),0)</x:f>
      </x:c>
      <x:c r="M141" s="32" t="e">
        <x:f>IF(A141&lt;=Dashboard!$F$17,MAX(0,I141-J141-MAX(0,L141-K141)),0)</x:f>
      </x:c>
      <x:c r="N141" s="32" t="e">
        <x:f>IF(A141=1,K141,N140+K141)</x:f>
      </x:c>
      <x:c r="O141" s="32"/>
      <x:c r="P141" s="32" t="e">
        <x:f>IF(A141=1,Dashboard!$F$14,T140)</x:f>
      </x:c>
      <x:c r="Q141" s="32" t="e">
        <x:f>IF(A141&lt;=Dashboard!$F$17,MIN(P141,$B$6*52/12),0)</x:f>
      </x:c>
      <x:c r="R141" s="32" t="e">
        <x:f>IF(A141&lt;=Dashboard!$F$17,MAX(0,P141-Q141)*Dashboard!$F$6,0)</x:f>
      </x:c>
      <x:c r="S141" s="32" t="e">
        <x:f>IF(A141&lt;=Dashboard!$F$17,MIN(Dashboard!$F$10,MAX(0,P141-Q141)+R141),0)</x:f>
      </x:c>
      <x:c r="T141" s="32" t="e">
        <x:f>IF(A141&lt;=Dashboard!$F$17,MAX(0,P141-Q141-MAX(0,S141-R141)),0)</x:f>
      </x:c>
      <x:c r="U141" s="32" t="e">
        <x:f>IF(A141=1,R141,U140+R141)</x:f>
      </x:c>
      <x:c r="V141" s="32"/>
      <x:c r="W141" s="32" t="e">
        <x:f>IF(A141=1,Dashboard!$F$14,AA140)</x:f>
      </x:c>
      <x:c r="X141" s="32" t="e">
        <x:f>IF(AND(A141&lt;=Dashboard!$F$17,MOD(A141-1,12)=0),MIN(W141,$B$7),0)</x:f>
      </x:c>
      <x:c r="Y141" s="32" t="e">
        <x:f>IF(A141&lt;=Dashboard!$F$17,MAX(0,W141-X141)*Dashboard!$F$6,0)</x:f>
      </x:c>
      <x:c r="Z141" s="32" t="e">
        <x:f>IF(A141&lt;=Dashboard!$F$17,MIN(Dashboard!$F$10,MAX(0,W141-X141)+Y141),0)</x:f>
      </x:c>
      <x:c r="AA141" s="32" t="e">
        <x:f>IF(A141&lt;=Dashboard!$F$17,MAX(0,W141-X141-MAX(0,Z141-Y141)),0)</x:f>
      </x:c>
      <x:c r="AB141" s="32" t="e">
        <x:f>IF(A141=1,Y141,AB140+Y141)</x:f>
      </x:c>
      <x:c r="AC141" s="32"/>
      <x:c r="AD141" s="32" t="e">
        <x:f>IF(A141=1,MAX(0,Dashboard!$F$14-$B$8),AG140)</x:f>
      </x:c>
      <x:c r="AE141" s="32" t="n">
        <x:f>0</x:f>
        <x:v>0</x:v>
      </x:c>
      <x:c r="AF141" s="32" t="e">
        <x:f>IF(A141&lt;=Dashboard!$F$17,AD141*Dashboard!$F$6,0)</x:f>
      </x:c>
      <x:c r="AG141" s="32" t="e">
        <x:f>IF(A141&lt;=Dashboard!$F$17,MIN(Dashboard!$F$10,AD141+AF141),0)</x:f>
      </x:c>
      <x:c r="AH141" s="32" t="e">
        <x:f>IF(A141&lt;=Dashboard!$F$17,MAX(0,AD141-MAX(0,AG141-AF141)),0)</x:f>
      </x:c>
      <x:c r="AI141" s="32" t="e">
        <x:f>IF(A141=1,AF141,AI140+AF141)</x:f>
      </x:c>
      <x:c r="AJ141" s="33"/>
      <x:c r="AK141" s="33"/>
      <x:c r="AL141" s="33"/>
      <x:c r="AM141" s="33"/>
    </x:row>
    <x:row r="142">
      <x:c r="A142" s="33" t="n">
        <x:v>130</x:v>
      </x:c>
      <x:c r="B142" s="32" t="e">
        <x:f>IF(A142=1,Dashboard!$F$14,F141)</x:f>
      </x:c>
      <x:c r="C142" s="32" t="n">
        <x:f>0</x:f>
        <x:v>0</x:v>
      </x:c>
      <x:c r="D142" s="32" t="e">
        <x:f>IF(A142&lt;=Dashboard!$F$15,B142*Dashboard!$F$6,0)</x:f>
      </x:c>
      <x:c r="E142" s="32" t="e">
        <x:f>IF(A142&lt;=Dashboard!$F$15,MIN(Dashboard!$F$10,B142+D142),0)</x:f>
      </x:c>
      <x:c r="F142" s="32" t="e">
        <x:f>IF(A142&lt;=Dashboard!$F$15,MAX(0,B142-MAX(0,E142-D142)),0)</x:f>
      </x:c>
      <x:c r="G142" s="32" t="e">
        <x:f>IF(A142=1,D142,G141+D142)</x:f>
      </x:c>
      <x:c r="H142" s="32"/>
      <x:c r="I142" s="32" t="e">
        <x:f>IF(A142=1,Dashboard!$F$14,M141)</x:f>
      </x:c>
      <x:c r="J142" s="32" t="e">
        <x:f>IF(A142&lt;=Dashboard!$F$17,MIN(I142,$B$5),0)</x:f>
      </x:c>
      <x:c r="K142" s="32" t="e">
        <x:f>IF(A142&lt;=Dashboard!$F$17,MAX(0,I142-J142)*Dashboard!$F$6,0)</x:f>
      </x:c>
      <x:c r="L142" s="32" t="e">
        <x:f>IF(A142&lt;=Dashboard!$F$17,MIN(Dashboard!$F$10,MAX(0,I142-J142)+K142),0)</x:f>
      </x:c>
      <x:c r="M142" s="32" t="e">
        <x:f>IF(A142&lt;=Dashboard!$F$17,MAX(0,I142-J142-MAX(0,L142-K142)),0)</x:f>
      </x:c>
      <x:c r="N142" s="32" t="e">
        <x:f>IF(A142=1,K142,N141+K142)</x:f>
      </x:c>
      <x:c r="O142" s="32"/>
      <x:c r="P142" s="32" t="e">
        <x:f>IF(A142=1,Dashboard!$F$14,T141)</x:f>
      </x:c>
      <x:c r="Q142" s="32" t="e">
        <x:f>IF(A142&lt;=Dashboard!$F$17,MIN(P142,$B$6*52/12),0)</x:f>
      </x:c>
      <x:c r="R142" s="32" t="e">
        <x:f>IF(A142&lt;=Dashboard!$F$17,MAX(0,P142-Q142)*Dashboard!$F$6,0)</x:f>
      </x:c>
      <x:c r="S142" s="32" t="e">
        <x:f>IF(A142&lt;=Dashboard!$F$17,MIN(Dashboard!$F$10,MAX(0,P142-Q142)+R142),0)</x:f>
      </x:c>
      <x:c r="T142" s="32" t="e">
        <x:f>IF(A142&lt;=Dashboard!$F$17,MAX(0,P142-Q142-MAX(0,S142-R142)),0)</x:f>
      </x:c>
      <x:c r="U142" s="32" t="e">
        <x:f>IF(A142=1,R142,U141+R142)</x:f>
      </x:c>
      <x:c r="V142" s="32"/>
      <x:c r="W142" s="32" t="e">
        <x:f>IF(A142=1,Dashboard!$F$14,AA141)</x:f>
      </x:c>
      <x:c r="X142" s="32" t="e">
        <x:f>IF(AND(A142&lt;=Dashboard!$F$17,MOD(A142-1,12)=0),MIN(W142,$B$7),0)</x:f>
      </x:c>
      <x:c r="Y142" s="32" t="e">
        <x:f>IF(A142&lt;=Dashboard!$F$17,MAX(0,W142-X142)*Dashboard!$F$6,0)</x:f>
      </x:c>
      <x:c r="Z142" s="32" t="e">
        <x:f>IF(A142&lt;=Dashboard!$F$17,MIN(Dashboard!$F$10,MAX(0,W142-X142)+Y142),0)</x:f>
      </x:c>
      <x:c r="AA142" s="32" t="e">
        <x:f>IF(A142&lt;=Dashboard!$F$17,MAX(0,W142-X142-MAX(0,Z142-Y142)),0)</x:f>
      </x:c>
      <x:c r="AB142" s="32" t="e">
        <x:f>IF(A142=1,Y142,AB141+Y142)</x:f>
      </x:c>
      <x:c r="AC142" s="32"/>
      <x:c r="AD142" s="32" t="e">
        <x:f>IF(A142=1,MAX(0,Dashboard!$F$14-$B$8),AG141)</x:f>
      </x:c>
      <x:c r="AE142" s="32" t="n">
        <x:f>0</x:f>
        <x:v>0</x:v>
      </x:c>
      <x:c r="AF142" s="32" t="e">
        <x:f>IF(A142&lt;=Dashboard!$F$17,AD142*Dashboard!$F$6,0)</x:f>
      </x:c>
      <x:c r="AG142" s="32" t="e">
        <x:f>IF(A142&lt;=Dashboard!$F$17,MIN(Dashboard!$F$10,AD142+AF142),0)</x:f>
      </x:c>
      <x:c r="AH142" s="32" t="e">
        <x:f>IF(A142&lt;=Dashboard!$F$17,MAX(0,AD142-MAX(0,AG142-AF142)),0)</x:f>
      </x:c>
      <x:c r="AI142" s="32" t="e">
        <x:f>IF(A142=1,AF142,AI141+AF142)</x:f>
      </x:c>
      <x:c r="AJ142" s="33"/>
      <x:c r="AK142" s="33"/>
      <x:c r="AL142" s="33"/>
      <x:c r="AM142" s="33"/>
    </x:row>
    <x:row r="143">
      <x:c r="A143" s="33" t="n">
        <x:v>131</x:v>
      </x:c>
      <x:c r="B143" s="32" t="e">
        <x:f>IF(A143=1,Dashboard!$F$14,F142)</x:f>
      </x:c>
      <x:c r="C143" s="32" t="n">
        <x:f>0</x:f>
        <x:v>0</x:v>
      </x:c>
      <x:c r="D143" s="32" t="e">
        <x:f>IF(A143&lt;=Dashboard!$F$15,B143*Dashboard!$F$6,0)</x:f>
      </x:c>
      <x:c r="E143" s="32" t="e">
        <x:f>IF(A143&lt;=Dashboard!$F$15,MIN(Dashboard!$F$10,B143+D143),0)</x:f>
      </x:c>
      <x:c r="F143" s="32" t="e">
        <x:f>IF(A143&lt;=Dashboard!$F$15,MAX(0,B143-MAX(0,E143-D143)),0)</x:f>
      </x:c>
      <x:c r="G143" s="32" t="e">
        <x:f>IF(A143=1,D143,G142+D143)</x:f>
      </x:c>
      <x:c r="H143" s="32"/>
      <x:c r="I143" s="32" t="e">
        <x:f>IF(A143=1,Dashboard!$F$14,M142)</x:f>
      </x:c>
      <x:c r="J143" s="32" t="e">
        <x:f>IF(A143&lt;=Dashboard!$F$17,MIN(I143,$B$5),0)</x:f>
      </x:c>
      <x:c r="K143" s="32" t="e">
        <x:f>IF(A143&lt;=Dashboard!$F$17,MAX(0,I143-J143)*Dashboard!$F$6,0)</x:f>
      </x:c>
      <x:c r="L143" s="32" t="e">
        <x:f>IF(A143&lt;=Dashboard!$F$17,MIN(Dashboard!$F$10,MAX(0,I143-J143)+K143),0)</x:f>
      </x:c>
      <x:c r="M143" s="32" t="e">
        <x:f>IF(A143&lt;=Dashboard!$F$17,MAX(0,I143-J143-MAX(0,L143-K143)),0)</x:f>
      </x:c>
      <x:c r="N143" s="32" t="e">
        <x:f>IF(A143=1,K143,N142+K143)</x:f>
      </x:c>
      <x:c r="O143" s="32"/>
      <x:c r="P143" s="32" t="e">
        <x:f>IF(A143=1,Dashboard!$F$14,T142)</x:f>
      </x:c>
      <x:c r="Q143" s="32" t="e">
        <x:f>IF(A143&lt;=Dashboard!$F$17,MIN(P143,$B$6*52/12),0)</x:f>
      </x:c>
      <x:c r="R143" s="32" t="e">
        <x:f>IF(A143&lt;=Dashboard!$F$17,MAX(0,P143-Q143)*Dashboard!$F$6,0)</x:f>
      </x:c>
      <x:c r="S143" s="32" t="e">
        <x:f>IF(A143&lt;=Dashboard!$F$17,MIN(Dashboard!$F$10,MAX(0,P143-Q143)+R143),0)</x:f>
      </x:c>
      <x:c r="T143" s="32" t="e">
        <x:f>IF(A143&lt;=Dashboard!$F$17,MAX(0,P143-Q143-MAX(0,S143-R143)),0)</x:f>
      </x:c>
      <x:c r="U143" s="32" t="e">
        <x:f>IF(A143=1,R143,U142+R143)</x:f>
      </x:c>
      <x:c r="V143" s="32"/>
      <x:c r="W143" s="32" t="e">
        <x:f>IF(A143=1,Dashboard!$F$14,AA142)</x:f>
      </x:c>
      <x:c r="X143" s="32" t="e">
        <x:f>IF(AND(A143&lt;=Dashboard!$F$17,MOD(A143-1,12)=0),MIN(W143,$B$7),0)</x:f>
      </x:c>
      <x:c r="Y143" s="32" t="e">
        <x:f>IF(A143&lt;=Dashboard!$F$17,MAX(0,W143-X143)*Dashboard!$F$6,0)</x:f>
      </x:c>
      <x:c r="Z143" s="32" t="e">
        <x:f>IF(A143&lt;=Dashboard!$F$17,MIN(Dashboard!$F$10,MAX(0,W143-X143)+Y143),0)</x:f>
      </x:c>
      <x:c r="AA143" s="32" t="e">
        <x:f>IF(A143&lt;=Dashboard!$F$17,MAX(0,W143-X143-MAX(0,Z143-Y143)),0)</x:f>
      </x:c>
      <x:c r="AB143" s="32" t="e">
        <x:f>IF(A143=1,Y143,AB142+Y143)</x:f>
      </x:c>
      <x:c r="AC143" s="32"/>
      <x:c r="AD143" s="32" t="e">
        <x:f>IF(A143=1,MAX(0,Dashboard!$F$14-$B$8),AG142)</x:f>
      </x:c>
      <x:c r="AE143" s="32" t="n">
        <x:f>0</x:f>
        <x:v>0</x:v>
      </x:c>
      <x:c r="AF143" s="32" t="e">
        <x:f>IF(A143&lt;=Dashboard!$F$17,AD143*Dashboard!$F$6,0)</x:f>
      </x:c>
      <x:c r="AG143" s="32" t="e">
        <x:f>IF(A143&lt;=Dashboard!$F$17,MIN(Dashboard!$F$10,AD143+AF143),0)</x:f>
      </x:c>
      <x:c r="AH143" s="32" t="e">
        <x:f>IF(A143&lt;=Dashboard!$F$17,MAX(0,AD143-MAX(0,AG143-AF143)),0)</x:f>
      </x:c>
      <x:c r="AI143" s="32" t="e">
        <x:f>IF(A143=1,AF143,AI142+AF143)</x:f>
      </x:c>
      <x:c r="AJ143" s="33"/>
      <x:c r="AK143" s="33"/>
      <x:c r="AL143" s="33"/>
      <x:c r="AM143" s="33"/>
    </x:row>
    <x:row r="144">
      <x:c r="A144" s="33" t="n">
        <x:v>132</x:v>
      </x:c>
      <x:c r="B144" s="32" t="e">
        <x:f>IF(A144=1,Dashboard!$F$14,F143)</x:f>
      </x:c>
      <x:c r="C144" s="32" t="n">
        <x:f>0</x:f>
        <x:v>0</x:v>
      </x:c>
      <x:c r="D144" s="32" t="e">
        <x:f>IF(A144&lt;=Dashboard!$F$15,B144*Dashboard!$F$6,0)</x:f>
      </x:c>
      <x:c r="E144" s="32" t="e">
        <x:f>IF(A144&lt;=Dashboard!$F$15,MIN(Dashboard!$F$10,B144+D144),0)</x:f>
      </x:c>
      <x:c r="F144" s="32" t="e">
        <x:f>IF(A144&lt;=Dashboard!$F$15,MAX(0,B144-MAX(0,E144-D144)),0)</x:f>
      </x:c>
      <x:c r="G144" s="32" t="e">
        <x:f>IF(A144=1,D144,G143+D144)</x:f>
      </x:c>
      <x:c r="H144" s="32"/>
      <x:c r="I144" s="32" t="e">
        <x:f>IF(A144=1,Dashboard!$F$14,M143)</x:f>
      </x:c>
      <x:c r="J144" s="32" t="e">
        <x:f>IF(A144&lt;=Dashboard!$F$17,MIN(I144,$B$5),0)</x:f>
      </x:c>
      <x:c r="K144" s="32" t="e">
        <x:f>IF(A144&lt;=Dashboard!$F$17,MAX(0,I144-J144)*Dashboard!$F$6,0)</x:f>
      </x:c>
      <x:c r="L144" s="32" t="e">
        <x:f>IF(A144&lt;=Dashboard!$F$17,MIN(Dashboard!$F$10,MAX(0,I144-J144)+K144),0)</x:f>
      </x:c>
      <x:c r="M144" s="32" t="e">
        <x:f>IF(A144&lt;=Dashboard!$F$17,MAX(0,I144-J144-MAX(0,L144-K144)),0)</x:f>
      </x:c>
      <x:c r="N144" s="32" t="e">
        <x:f>IF(A144=1,K144,N143+K144)</x:f>
      </x:c>
      <x:c r="O144" s="32"/>
      <x:c r="P144" s="32" t="e">
        <x:f>IF(A144=1,Dashboard!$F$14,T143)</x:f>
      </x:c>
      <x:c r="Q144" s="32" t="e">
        <x:f>IF(A144&lt;=Dashboard!$F$17,MIN(P144,$B$6*52/12),0)</x:f>
      </x:c>
      <x:c r="R144" s="32" t="e">
        <x:f>IF(A144&lt;=Dashboard!$F$17,MAX(0,P144-Q144)*Dashboard!$F$6,0)</x:f>
      </x:c>
      <x:c r="S144" s="32" t="e">
        <x:f>IF(A144&lt;=Dashboard!$F$17,MIN(Dashboard!$F$10,MAX(0,P144-Q144)+R144),0)</x:f>
      </x:c>
      <x:c r="T144" s="32" t="e">
        <x:f>IF(A144&lt;=Dashboard!$F$17,MAX(0,P144-Q144-MAX(0,S144-R144)),0)</x:f>
      </x:c>
      <x:c r="U144" s="32" t="e">
        <x:f>IF(A144=1,R144,U143+R144)</x:f>
      </x:c>
      <x:c r="V144" s="32"/>
      <x:c r="W144" s="32" t="e">
        <x:f>IF(A144=1,Dashboard!$F$14,AA143)</x:f>
      </x:c>
      <x:c r="X144" s="32" t="e">
        <x:f>IF(AND(A144&lt;=Dashboard!$F$17,MOD(A144-1,12)=0),MIN(W144,$B$7),0)</x:f>
      </x:c>
      <x:c r="Y144" s="32" t="e">
        <x:f>IF(A144&lt;=Dashboard!$F$17,MAX(0,W144-X144)*Dashboard!$F$6,0)</x:f>
      </x:c>
      <x:c r="Z144" s="32" t="e">
        <x:f>IF(A144&lt;=Dashboard!$F$17,MIN(Dashboard!$F$10,MAX(0,W144-X144)+Y144),0)</x:f>
      </x:c>
      <x:c r="AA144" s="32" t="e">
        <x:f>IF(A144&lt;=Dashboard!$F$17,MAX(0,W144-X144-MAX(0,Z144-Y144)),0)</x:f>
      </x:c>
      <x:c r="AB144" s="32" t="e">
        <x:f>IF(A144=1,Y144,AB143+Y144)</x:f>
      </x:c>
      <x:c r="AC144" s="32"/>
      <x:c r="AD144" s="32" t="e">
        <x:f>IF(A144=1,MAX(0,Dashboard!$F$14-$B$8),AG143)</x:f>
      </x:c>
      <x:c r="AE144" s="32" t="n">
        <x:f>0</x:f>
        <x:v>0</x:v>
      </x:c>
      <x:c r="AF144" s="32" t="e">
        <x:f>IF(A144&lt;=Dashboard!$F$17,AD144*Dashboard!$F$6,0)</x:f>
      </x:c>
      <x:c r="AG144" s="32" t="e">
        <x:f>IF(A144&lt;=Dashboard!$F$17,MIN(Dashboard!$F$10,AD144+AF144),0)</x:f>
      </x:c>
      <x:c r="AH144" s="32" t="e">
        <x:f>IF(A144&lt;=Dashboard!$F$17,MAX(0,AD144-MAX(0,AG144-AF144)),0)</x:f>
      </x:c>
      <x:c r="AI144" s="32" t="e">
        <x:f>IF(A144=1,AF144,AI143+AF144)</x:f>
      </x:c>
      <x:c r="AJ144" s="33"/>
      <x:c r="AK144" s="33"/>
      <x:c r="AL144" s="33"/>
      <x:c r="AM144" s="33"/>
    </x:row>
    <x:row r="145">
      <x:c r="A145" s="33" t="n">
        <x:v>133</x:v>
      </x:c>
      <x:c r="B145" s="32" t="e">
        <x:f>IF(A145=1,Dashboard!$F$14,F144)</x:f>
      </x:c>
      <x:c r="C145" s="32" t="n">
        <x:f>0</x:f>
        <x:v>0</x:v>
      </x:c>
      <x:c r="D145" s="32" t="e">
        <x:f>IF(A145&lt;=Dashboard!$F$15,B145*Dashboard!$F$6,0)</x:f>
      </x:c>
      <x:c r="E145" s="32" t="e">
        <x:f>IF(A145&lt;=Dashboard!$F$15,MIN(Dashboard!$F$10,B145+D145),0)</x:f>
      </x:c>
      <x:c r="F145" s="32" t="e">
        <x:f>IF(A145&lt;=Dashboard!$F$15,MAX(0,B145-MAX(0,E145-D145)),0)</x:f>
      </x:c>
      <x:c r="G145" s="32" t="e">
        <x:f>IF(A145=1,D145,G144+D145)</x:f>
      </x:c>
      <x:c r="H145" s="32"/>
      <x:c r="I145" s="32" t="e">
        <x:f>IF(A145=1,Dashboard!$F$14,M144)</x:f>
      </x:c>
      <x:c r="J145" s="32" t="e">
        <x:f>IF(A145&lt;=Dashboard!$F$17,MIN(I145,$B$5),0)</x:f>
      </x:c>
      <x:c r="K145" s="32" t="e">
        <x:f>IF(A145&lt;=Dashboard!$F$17,MAX(0,I145-J145)*Dashboard!$F$6,0)</x:f>
      </x:c>
      <x:c r="L145" s="32" t="e">
        <x:f>IF(A145&lt;=Dashboard!$F$17,MIN(Dashboard!$F$10,MAX(0,I145-J145)+K145),0)</x:f>
      </x:c>
      <x:c r="M145" s="32" t="e">
        <x:f>IF(A145&lt;=Dashboard!$F$17,MAX(0,I145-J145-MAX(0,L145-K145)),0)</x:f>
      </x:c>
      <x:c r="N145" s="32" t="e">
        <x:f>IF(A145=1,K145,N144+K145)</x:f>
      </x:c>
      <x:c r="O145" s="32"/>
      <x:c r="P145" s="32" t="e">
        <x:f>IF(A145=1,Dashboard!$F$14,T144)</x:f>
      </x:c>
      <x:c r="Q145" s="32" t="e">
        <x:f>IF(A145&lt;=Dashboard!$F$17,MIN(P145,$B$6*52/12),0)</x:f>
      </x:c>
      <x:c r="R145" s="32" t="e">
        <x:f>IF(A145&lt;=Dashboard!$F$17,MAX(0,P145-Q145)*Dashboard!$F$6,0)</x:f>
      </x:c>
      <x:c r="S145" s="32" t="e">
        <x:f>IF(A145&lt;=Dashboard!$F$17,MIN(Dashboard!$F$10,MAX(0,P145-Q145)+R145),0)</x:f>
      </x:c>
      <x:c r="T145" s="32" t="e">
        <x:f>IF(A145&lt;=Dashboard!$F$17,MAX(0,P145-Q145-MAX(0,S145-R145)),0)</x:f>
      </x:c>
      <x:c r="U145" s="32" t="e">
        <x:f>IF(A145=1,R145,U144+R145)</x:f>
      </x:c>
      <x:c r="V145" s="32"/>
      <x:c r="W145" s="32" t="e">
        <x:f>IF(A145=1,Dashboard!$F$14,AA144)</x:f>
      </x:c>
      <x:c r="X145" s="32" t="e">
        <x:f>IF(AND(A145&lt;=Dashboard!$F$17,MOD(A145-1,12)=0),MIN(W145,$B$7),0)</x:f>
      </x:c>
      <x:c r="Y145" s="32" t="e">
        <x:f>IF(A145&lt;=Dashboard!$F$17,MAX(0,W145-X145)*Dashboard!$F$6,0)</x:f>
      </x:c>
      <x:c r="Z145" s="32" t="e">
        <x:f>IF(A145&lt;=Dashboard!$F$17,MIN(Dashboard!$F$10,MAX(0,W145-X145)+Y145),0)</x:f>
      </x:c>
      <x:c r="AA145" s="32" t="e">
        <x:f>IF(A145&lt;=Dashboard!$F$17,MAX(0,W145-X145-MAX(0,Z145-Y145)),0)</x:f>
      </x:c>
      <x:c r="AB145" s="32" t="e">
        <x:f>IF(A145=1,Y145,AB144+Y145)</x:f>
      </x:c>
      <x:c r="AC145" s="32"/>
      <x:c r="AD145" s="32" t="e">
        <x:f>IF(A145=1,MAX(0,Dashboard!$F$14-$B$8),AG144)</x:f>
      </x:c>
      <x:c r="AE145" s="32" t="n">
        <x:f>0</x:f>
        <x:v>0</x:v>
      </x:c>
      <x:c r="AF145" s="32" t="e">
        <x:f>IF(A145&lt;=Dashboard!$F$17,AD145*Dashboard!$F$6,0)</x:f>
      </x:c>
      <x:c r="AG145" s="32" t="e">
        <x:f>IF(A145&lt;=Dashboard!$F$17,MIN(Dashboard!$F$10,AD145+AF145),0)</x:f>
      </x:c>
      <x:c r="AH145" s="32" t="e">
        <x:f>IF(A145&lt;=Dashboard!$F$17,MAX(0,AD145-MAX(0,AG145-AF145)),0)</x:f>
      </x:c>
      <x:c r="AI145" s="32" t="e">
        <x:f>IF(A145=1,AF145,AI144+AF145)</x:f>
      </x:c>
      <x:c r="AJ145" s="33"/>
      <x:c r="AK145" s="33"/>
      <x:c r="AL145" s="33"/>
      <x:c r="AM145" s="33"/>
    </x:row>
    <x:row r="146">
      <x:c r="A146" s="33" t="n">
        <x:v>134</x:v>
      </x:c>
      <x:c r="B146" s="32" t="e">
        <x:f>IF(A146=1,Dashboard!$F$14,F145)</x:f>
      </x:c>
      <x:c r="C146" s="32" t="n">
        <x:f>0</x:f>
        <x:v>0</x:v>
      </x:c>
      <x:c r="D146" s="32" t="e">
        <x:f>IF(A146&lt;=Dashboard!$F$15,B146*Dashboard!$F$6,0)</x:f>
      </x:c>
      <x:c r="E146" s="32" t="e">
        <x:f>IF(A146&lt;=Dashboard!$F$15,MIN(Dashboard!$F$10,B146+D146),0)</x:f>
      </x:c>
      <x:c r="F146" s="32" t="e">
        <x:f>IF(A146&lt;=Dashboard!$F$15,MAX(0,B146-MAX(0,E146-D146)),0)</x:f>
      </x:c>
      <x:c r="G146" s="32" t="e">
        <x:f>IF(A146=1,D146,G145+D146)</x:f>
      </x:c>
      <x:c r="H146" s="32"/>
      <x:c r="I146" s="32" t="e">
        <x:f>IF(A146=1,Dashboard!$F$14,M145)</x:f>
      </x:c>
      <x:c r="J146" s="32" t="e">
        <x:f>IF(A146&lt;=Dashboard!$F$17,MIN(I146,$B$5),0)</x:f>
      </x:c>
      <x:c r="K146" s="32" t="e">
        <x:f>IF(A146&lt;=Dashboard!$F$17,MAX(0,I146-J146)*Dashboard!$F$6,0)</x:f>
      </x:c>
      <x:c r="L146" s="32" t="e">
        <x:f>IF(A146&lt;=Dashboard!$F$17,MIN(Dashboard!$F$10,MAX(0,I146-J146)+K146),0)</x:f>
      </x:c>
      <x:c r="M146" s="32" t="e">
        <x:f>IF(A146&lt;=Dashboard!$F$17,MAX(0,I146-J146-MAX(0,L146-K146)),0)</x:f>
      </x:c>
      <x:c r="N146" s="32" t="e">
        <x:f>IF(A146=1,K146,N145+K146)</x:f>
      </x:c>
      <x:c r="O146" s="32"/>
      <x:c r="P146" s="32" t="e">
        <x:f>IF(A146=1,Dashboard!$F$14,T145)</x:f>
      </x:c>
      <x:c r="Q146" s="32" t="e">
        <x:f>IF(A146&lt;=Dashboard!$F$17,MIN(P146,$B$6*52/12),0)</x:f>
      </x:c>
      <x:c r="R146" s="32" t="e">
        <x:f>IF(A146&lt;=Dashboard!$F$17,MAX(0,P146-Q146)*Dashboard!$F$6,0)</x:f>
      </x:c>
      <x:c r="S146" s="32" t="e">
        <x:f>IF(A146&lt;=Dashboard!$F$17,MIN(Dashboard!$F$10,MAX(0,P146-Q146)+R146),0)</x:f>
      </x:c>
      <x:c r="T146" s="32" t="e">
        <x:f>IF(A146&lt;=Dashboard!$F$17,MAX(0,P146-Q146-MAX(0,S146-R146)),0)</x:f>
      </x:c>
      <x:c r="U146" s="32" t="e">
        <x:f>IF(A146=1,R146,U145+R146)</x:f>
      </x:c>
      <x:c r="V146" s="32"/>
      <x:c r="W146" s="32" t="e">
        <x:f>IF(A146=1,Dashboard!$F$14,AA145)</x:f>
      </x:c>
      <x:c r="X146" s="32" t="e">
        <x:f>IF(AND(A146&lt;=Dashboard!$F$17,MOD(A146-1,12)=0),MIN(W146,$B$7),0)</x:f>
      </x:c>
      <x:c r="Y146" s="32" t="e">
        <x:f>IF(A146&lt;=Dashboard!$F$17,MAX(0,W146-X146)*Dashboard!$F$6,0)</x:f>
      </x:c>
      <x:c r="Z146" s="32" t="e">
        <x:f>IF(A146&lt;=Dashboard!$F$17,MIN(Dashboard!$F$10,MAX(0,W146-X146)+Y146),0)</x:f>
      </x:c>
      <x:c r="AA146" s="32" t="e">
        <x:f>IF(A146&lt;=Dashboard!$F$17,MAX(0,W146-X146-MAX(0,Z146-Y146)),0)</x:f>
      </x:c>
      <x:c r="AB146" s="32" t="e">
        <x:f>IF(A146=1,Y146,AB145+Y146)</x:f>
      </x:c>
      <x:c r="AC146" s="32"/>
      <x:c r="AD146" s="32" t="e">
        <x:f>IF(A146=1,MAX(0,Dashboard!$F$14-$B$8),AG145)</x:f>
      </x:c>
      <x:c r="AE146" s="32" t="n">
        <x:f>0</x:f>
        <x:v>0</x:v>
      </x:c>
      <x:c r="AF146" s="32" t="e">
        <x:f>IF(A146&lt;=Dashboard!$F$17,AD146*Dashboard!$F$6,0)</x:f>
      </x:c>
      <x:c r="AG146" s="32" t="e">
        <x:f>IF(A146&lt;=Dashboard!$F$17,MIN(Dashboard!$F$10,AD146+AF146),0)</x:f>
      </x:c>
      <x:c r="AH146" s="32" t="e">
        <x:f>IF(A146&lt;=Dashboard!$F$17,MAX(0,AD146-MAX(0,AG146-AF146)),0)</x:f>
      </x:c>
      <x:c r="AI146" s="32" t="e">
        <x:f>IF(A146=1,AF146,AI145+AF146)</x:f>
      </x:c>
      <x:c r="AJ146" s="33"/>
      <x:c r="AK146" s="33"/>
      <x:c r="AL146" s="33"/>
      <x:c r="AM146" s="33"/>
    </x:row>
    <x:row r="147">
      <x:c r="A147" s="33" t="n">
        <x:v>135</x:v>
      </x:c>
      <x:c r="B147" s="32" t="e">
        <x:f>IF(A147=1,Dashboard!$F$14,F146)</x:f>
      </x:c>
      <x:c r="C147" s="32" t="n">
        <x:f>0</x:f>
        <x:v>0</x:v>
      </x:c>
      <x:c r="D147" s="32" t="e">
        <x:f>IF(A147&lt;=Dashboard!$F$15,B147*Dashboard!$F$6,0)</x:f>
      </x:c>
      <x:c r="E147" s="32" t="e">
        <x:f>IF(A147&lt;=Dashboard!$F$15,MIN(Dashboard!$F$10,B147+D147),0)</x:f>
      </x:c>
      <x:c r="F147" s="32" t="e">
        <x:f>IF(A147&lt;=Dashboard!$F$15,MAX(0,B147-MAX(0,E147-D147)),0)</x:f>
      </x:c>
      <x:c r="G147" s="32" t="e">
        <x:f>IF(A147=1,D147,G146+D147)</x:f>
      </x:c>
      <x:c r="H147" s="32"/>
      <x:c r="I147" s="32" t="e">
        <x:f>IF(A147=1,Dashboard!$F$14,M146)</x:f>
      </x:c>
      <x:c r="J147" s="32" t="e">
        <x:f>IF(A147&lt;=Dashboard!$F$17,MIN(I147,$B$5),0)</x:f>
      </x:c>
      <x:c r="K147" s="32" t="e">
        <x:f>IF(A147&lt;=Dashboard!$F$17,MAX(0,I147-J147)*Dashboard!$F$6,0)</x:f>
      </x:c>
      <x:c r="L147" s="32" t="e">
        <x:f>IF(A147&lt;=Dashboard!$F$17,MIN(Dashboard!$F$10,MAX(0,I147-J147)+K147),0)</x:f>
      </x:c>
      <x:c r="M147" s="32" t="e">
        <x:f>IF(A147&lt;=Dashboard!$F$17,MAX(0,I147-J147-MAX(0,L147-K147)),0)</x:f>
      </x:c>
      <x:c r="N147" s="32" t="e">
        <x:f>IF(A147=1,K147,N146+K147)</x:f>
      </x:c>
      <x:c r="O147" s="32"/>
      <x:c r="P147" s="32" t="e">
        <x:f>IF(A147=1,Dashboard!$F$14,T146)</x:f>
      </x:c>
      <x:c r="Q147" s="32" t="e">
        <x:f>IF(A147&lt;=Dashboard!$F$17,MIN(P147,$B$6*52/12),0)</x:f>
      </x:c>
      <x:c r="R147" s="32" t="e">
        <x:f>IF(A147&lt;=Dashboard!$F$17,MAX(0,P147-Q147)*Dashboard!$F$6,0)</x:f>
      </x:c>
      <x:c r="S147" s="32" t="e">
        <x:f>IF(A147&lt;=Dashboard!$F$17,MIN(Dashboard!$F$10,MAX(0,P147-Q147)+R147),0)</x:f>
      </x:c>
      <x:c r="T147" s="32" t="e">
        <x:f>IF(A147&lt;=Dashboard!$F$17,MAX(0,P147-Q147-MAX(0,S147-R147)),0)</x:f>
      </x:c>
      <x:c r="U147" s="32" t="e">
        <x:f>IF(A147=1,R147,U146+R147)</x:f>
      </x:c>
      <x:c r="V147" s="32"/>
      <x:c r="W147" s="32" t="e">
        <x:f>IF(A147=1,Dashboard!$F$14,AA146)</x:f>
      </x:c>
      <x:c r="X147" s="32" t="e">
        <x:f>IF(AND(A147&lt;=Dashboard!$F$17,MOD(A147-1,12)=0),MIN(W147,$B$7),0)</x:f>
      </x:c>
      <x:c r="Y147" s="32" t="e">
        <x:f>IF(A147&lt;=Dashboard!$F$17,MAX(0,W147-X147)*Dashboard!$F$6,0)</x:f>
      </x:c>
      <x:c r="Z147" s="32" t="e">
        <x:f>IF(A147&lt;=Dashboard!$F$17,MIN(Dashboard!$F$10,MAX(0,W147-X147)+Y147),0)</x:f>
      </x:c>
      <x:c r="AA147" s="32" t="e">
        <x:f>IF(A147&lt;=Dashboard!$F$17,MAX(0,W147-X147-MAX(0,Z147-Y147)),0)</x:f>
      </x:c>
      <x:c r="AB147" s="32" t="e">
        <x:f>IF(A147=1,Y147,AB146+Y147)</x:f>
      </x:c>
      <x:c r="AC147" s="32"/>
      <x:c r="AD147" s="32" t="e">
        <x:f>IF(A147=1,MAX(0,Dashboard!$F$14-$B$8),AG146)</x:f>
      </x:c>
      <x:c r="AE147" s="32" t="n">
        <x:f>0</x:f>
        <x:v>0</x:v>
      </x:c>
      <x:c r="AF147" s="32" t="e">
        <x:f>IF(A147&lt;=Dashboard!$F$17,AD147*Dashboard!$F$6,0)</x:f>
      </x:c>
      <x:c r="AG147" s="32" t="e">
        <x:f>IF(A147&lt;=Dashboard!$F$17,MIN(Dashboard!$F$10,AD147+AF147),0)</x:f>
      </x:c>
      <x:c r="AH147" s="32" t="e">
        <x:f>IF(A147&lt;=Dashboard!$F$17,MAX(0,AD147-MAX(0,AG147-AF147)),0)</x:f>
      </x:c>
      <x:c r="AI147" s="32" t="e">
        <x:f>IF(A147=1,AF147,AI146+AF147)</x:f>
      </x:c>
      <x:c r="AJ147" s="33"/>
      <x:c r="AK147" s="33"/>
      <x:c r="AL147" s="33"/>
      <x:c r="AM147" s="33"/>
    </x:row>
    <x:row r="148">
      <x:c r="A148" s="33" t="n">
        <x:v>136</x:v>
      </x:c>
      <x:c r="B148" s="32" t="e">
        <x:f>IF(A148=1,Dashboard!$F$14,F147)</x:f>
      </x:c>
      <x:c r="C148" s="32" t="n">
        <x:f>0</x:f>
        <x:v>0</x:v>
      </x:c>
      <x:c r="D148" s="32" t="e">
        <x:f>IF(A148&lt;=Dashboard!$F$15,B148*Dashboard!$F$6,0)</x:f>
      </x:c>
      <x:c r="E148" s="32" t="e">
        <x:f>IF(A148&lt;=Dashboard!$F$15,MIN(Dashboard!$F$10,B148+D148),0)</x:f>
      </x:c>
      <x:c r="F148" s="32" t="e">
        <x:f>IF(A148&lt;=Dashboard!$F$15,MAX(0,B148-MAX(0,E148-D148)),0)</x:f>
      </x:c>
      <x:c r="G148" s="32" t="e">
        <x:f>IF(A148=1,D148,G147+D148)</x:f>
      </x:c>
      <x:c r="H148" s="32"/>
      <x:c r="I148" s="32" t="e">
        <x:f>IF(A148=1,Dashboard!$F$14,M147)</x:f>
      </x:c>
      <x:c r="J148" s="32" t="e">
        <x:f>IF(A148&lt;=Dashboard!$F$17,MIN(I148,$B$5),0)</x:f>
      </x:c>
      <x:c r="K148" s="32" t="e">
        <x:f>IF(A148&lt;=Dashboard!$F$17,MAX(0,I148-J148)*Dashboard!$F$6,0)</x:f>
      </x:c>
      <x:c r="L148" s="32" t="e">
        <x:f>IF(A148&lt;=Dashboard!$F$17,MIN(Dashboard!$F$10,MAX(0,I148-J148)+K148),0)</x:f>
      </x:c>
      <x:c r="M148" s="32" t="e">
        <x:f>IF(A148&lt;=Dashboard!$F$17,MAX(0,I148-J148-MAX(0,L148-K148)),0)</x:f>
      </x:c>
      <x:c r="N148" s="32" t="e">
        <x:f>IF(A148=1,K148,N147+K148)</x:f>
      </x:c>
      <x:c r="O148" s="32"/>
      <x:c r="P148" s="32" t="e">
        <x:f>IF(A148=1,Dashboard!$F$14,T147)</x:f>
      </x:c>
      <x:c r="Q148" s="32" t="e">
        <x:f>IF(A148&lt;=Dashboard!$F$17,MIN(P148,$B$6*52/12),0)</x:f>
      </x:c>
      <x:c r="R148" s="32" t="e">
        <x:f>IF(A148&lt;=Dashboard!$F$17,MAX(0,P148-Q148)*Dashboard!$F$6,0)</x:f>
      </x:c>
      <x:c r="S148" s="32" t="e">
        <x:f>IF(A148&lt;=Dashboard!$F$17,MIN(Dashboard!$F$10,MAX(0,P148-Q148)+R148),0)</x:f>
      </x:c>
      <x:c r="T148" s="32" t="e">
        <x:f>IF(A148&lt;=Dashboard!$F$17,MAX(0,P148-Q148-MAX(0,S148-R148)),0)</x:f>
      </x:c>
      <x:c r="U148" s="32" t="e">
        <x:f>IF(A148=1,R148,U147+R148)</x:f>
      </x:c>
      <x:c r="V148" s="32"/>
      <x:c r="W148" s="32" t="e">
        <x:f>IF(A148=1,Dashboard!$F$14,AA147)</x:f>
      </x:c>
      <x:c r="X148" s="32" t="e">
        <x:f>IF(AND(A148&lt;=Dashboard!$F$17,MOD(A148-1,12)=0),MIN(W148,$B$7),0)</x:f>
      </x:c>
      <x:c r="Y148" s="32" t="e">
        <x:f>IF(A148&lt;=Dashboard!$F$17,MAX(0,W148-X148)*Dashboard!$F$6,0)</x:f>
      </x:c>
      <x:c r="Z148" s="32" t="e">
        <x:f>IF(A148&lt;=Dashboard!$F$17,MIN(Dashboard!$F$10,MAX(0,W148-X148)+Y148),0)</x:f>
      </x:c>
      <x:c r="AA148" s="32" t="e">
        <x:f>IF(A148&lt;=Dashboard!$F$17,MAX(0,W148-X148-MAX(0,Z148-Y148)),0)</x:f>
      </x:c>
      <x:c r="AB148" s="32" t="e">
        <x:f>IF(A148=1,Y148,AB147+Y148)</x:f>
      </x:c>
      <x:c r="AC148" s="32"/>
      <x:c r="AD148" s="32" t="e">
        <x:f>IF(A148=1,MAX(0,Dashboard!$F$14-$B$8),AG147)</x:f>
      </x:c>
      <x:c r="AE148" s="32" t="n">
        <x:f>0</x:f>
        <x:v>0</x:v>
      </x:c>
      <x:c r="AF148" s="32" t="e">
        <x:f>IF(A148&lt;=Dashboard!$F$17,AD148*Dashboard!$F$6,0)</x:f>
      </x:c>
      <x:c r="AG148" s="32" t="e">
        <x:f>IF(A148&lt;=Dashboard!$F$17,MIN(Dashboard!$F$10,AD148+AF148),0)</x:f>
      </x:c>
      <x:c r="AH148" s="32" t="e">
        <x:f>IF(A148&lt;=Dashboard!$F$17,MAX(0,AD148-MAX(0,AG148-AF148)),0)</x:f>
      </x:c>
      <x:c r="AI148" s="32" t="e">
        <x:f>IF(A148=1,AF148,AI147+AF148)</x:f>
      </x:c>
      <x:c r="AJ148" s="33"/>
      <x:c r="AK148" s="33"/>
      <x:c r="AL148" s="33"/>
      <x:c r="AM148" s="33"/>
    </x:row>
    <x:row r="149">
      <x:c r="A149" s="33" t="n">
        <x:v>137</x:v>
      </x:c>
      <x:c r="B149" s="32" t="e">
        <x:f>IF(A149=1,Dashboard!$F$14,F148)</x:f>
      </x:c>
      <x:c r="C149" s="32" t="n">
        <x:f>0</x:f>
        <x:v>0</x:v>
      </x:c>
      <x:c r="D149" s="32" t="e">
        <x:f>IF(A149&lt;=Dashboard!$F$15,B149*Dashboard!$F$6,0)</x:f>
      </x:c>
      <x:c r="E149" s="32" t="e">
        <x:f>IF(A149&lt;=Dashboard!$F$15,MIN(Dashboard!$F$10,B149+D149),0)</x:f>
      </x:c>
      <x:c r="F149" s="32" t="e">
        <x:f>IF(A149&lt;=Dashboard!$F$15,MAX(0,B149-MAX(0,E149-D149)),0)</x:f>
      </x:c>
      <x:c r="G149" s="32" t="e">
        <x:f>IF(A149=1,D149,G148+D149)</x:f>
      </x:c>
      <x:c r="H149" s="32"/>
      <x:c r="I149" s="32" t="e">
        <x:f>IF(A149=1,Dashboard!$F$14,M148)</x:f>
      </x:c>
      <x:c r="J149" s="32" t="e">
        <x:f>IF(A149&lt;=Dashboard!$F$17,MIN(I149,$B$5),0)</x:f>
      </x:c>
      <x:c r="K149" s="32" t="e">
        <x:f>IF(A149&lt;=Dashboard!$F$17,MAX(0,I149-J149)*Dashboard!$F$6,0)</x:f>
      </x:c>
      <x:c r="L149" s="32" t="e">
        <x:f>IF(A149&lt;=Dashboard!$F$17,MIN(Dashboard!$F$10,MAX(0,I149-J149)+K149),0)</x:f>
      </x:c>
      <x:c r="M149" s="32" t="e">
        <x:f>IF(A149&lt;=Dashboard!$F$17,MAX(0,I149-J149-MAX(0,L149-K149)),0)</x:f>
      </x:c>
      <x:c r="N149" s="32" t="e">
        <x:f>IF(A149=1,K149,N148+K149)</x:f>
      </x:c>
      <x:c r="O149" s="32"/>
      <x:c r="P149" s="32" t="e">
        <x:f>IF(A149=1,Dashboard!$F$14,T148)</x:f>
      </x:c>
      <x:c r="Q149" s="32" t="e">
        <x:f>IF(A149&lt;=Dashboard!$F$17,MIN(P149,$B$6*52/12),0)</x:f>
      </x:c>
      <x:c r="R149" s="32" t="e">
        <x:f>IF(A149&lt;=Dashboard!$F$17,MAX(0,P149-Q149)*Dashboard!$F$6,0)</x:f>
      </x:c>
      <x:c r="S149" s="32" t="e">
        <x:f>IF(A149&lt;=Dashboard!$F$17,MIN(Dashboard!$F$10,MAX(0,P149-Q149)+R149),0)</x:f>
      </x:c>
      <x:c r="T149" s="32" t="e">
        <x:f>IF(A149&lt;=Dashboard!$F$17,MAX(0,P149-Q149-MAX(0,S149-R149)),0)</x:f>
      </x:c>
      <x:c r="U149" s="32" t="e">
        <x:f>IF(A149=1,R149,U148+R149)</x:f>
      </x:c>
      <x:c r="V149" s="32"/>
      <x:c r="W149" s="32" t="e">
        <x:f>IF(A149=1,Dashboard!$F$14,AA148)</x:f>
      </x:c>
      <x:c r="X149" s="32" t="e">
        <x:f>IF(AND(A149&lt;=Dashboard!$F$17,MOD(A149-1,12)=0),MIN(W149,$B$7),0)</x:f>
      </x:c>
      <x:c r="Y149" s="32" t="e">
        <x:f>IF(A149&lt;=Dashboard!$F$17,MAX(0,W149-X149)*Dashboard!$F$6,0)</x:f>
      </x:c>
      <x:c r="Z149" s="32" t="e">
        <x:f>IF(A149&lt;=Dashboard!$F$17,MIN(Dashboard!$F$10,MAX(0,W149-X149)+Y149),0)</x:f>
      </x:c>
      <x:c r="AA149" s="32" t="e">
        <x:f>IF(A149&lt;=Dashboard!$F$17,MAX(0,W149-X149-MAX(0,Z149-Y149)),0)</x:f>
      </x:c>
      <x:c r="AB149" s="32" t="e">
        <x:f>IF(A149=1,Y149,AB148+Y149)</x:f>
      </x:c>
      <x:c r="AC149" s="32"/>
      <x:c r="AD149" s="32" t="e">
        <x:f>IF(A149=1,MAX(0,Dashboard!$F$14-$B$8),AG148)</x:f>
      </x:c>
      <x:c r="AE149" s="32" t="n">
        <x:f>0</x:f>
        <x:v>0</x:v>
      </x:c>
      <x:c r="AF149" s="32" t="e">
        <x:f>IF(A149&lt;=Dashboard!$F$17,AD149*Dashboard!$F$6,0)</x:f>
      </x:c>
      <x:c r="AG149" s="32" t="e">
        <x:f>IF(A149&lt;=Dashboard!$F$17,MIN(Dashboard!$F$10,AD149+AF149),0)</x:f>
      </x:c>
      <x:c r="AH149" s="32" t="e">
        <x:f>IF(A149&lt;=Dashboard!$F$17,MAX(0,AD149-MAX(0,AG149-AF149)),0)</x:f>
      </x:c>
      <x:c r="AI149" s="32" t="e">
        <x:f>IF(A149=1,AF149,AI148+AF149)</x:f>
      </x:c>
      <x:c r="AJ149" s="33"/>
      <x:c r="AK149" s="33"/>
      <x:c r="AL149" s="33"/>
      <x:c r="AM149" s="33"/>
    </x:row>
    <x:row r="150">
      <x:c r="A150" s="33" t="n">
        <x:v>138</x:v>
      </x:c>
      <x:c r="B150" s="32" t="e">
        <x:f>IF(A150=1,Dashboard!$F$14,F149)</x:f>
      </x:c>
      <x:c r="C150" s="32" t="n">
        <x:f>0</x:f>
        <x:v>0</x:v>
      </x:c>
      <x:c r="D150" s="32" t="e">
        <x:f>IF(A150&lt;=Dashboard!$F$15,B150*Dashboard!$F$6,0)</x:f>
      </x:c>
      <x:c r="E150" s="32" t="e">
        <x:f>IF(A150&lt;=Dashboard!$F$15,MIN(Dashboard!$F$10,B150+D150),0)</x:f>
      </x:c>
      <x:c r="F150" s="32" t="e">
        <x:f>IF(A150&lt;=Dashboard!$F$15,MAX(0,B150-MAX(0,E150-D150)),0)</x:f>
      </x:c>
      <x:c r="G150" s="32" t="e">
        <x:f>IF(A150=1,D150,G149+D150)</x:f>
      </x:c>
      <x:c r="H150" s="32"/>
      <x:c r="I150" s="32" t="e">
        <x:f>IF(A150=1,Dashboard!$F$14,M149)</x:f>
      </x:c>
      <x:c r="J150" s="32" t="e">
        <x:f>IF(A150&lt;=Dashboard!$F$17,MIN(I150,$B$5),0)</x:f>
      </x:c>
      <x:c r="K150" s="32" t="e">
        <x:f>IF(A150&lt;=Dashboard!$F$17,MAX(0,I150-J150)*Dashboard!$F$6,0)</x:f>
      </x:c>
      <x:c r="L150" s="32" t="e">
        <x:f>IF(A150&lt;=Dashboard!$F$17,MIN(Dashboard!$F$10,MAX(0,I150-J150)+K150),0)</x:f>
      </x:c>
      <x:c r="M150" s="32" t="e">
        <x:f>IF(A150&lt;=Dashboard!$F$17,MAX(0,I150-J150-MAX(0,L150-K150)),0)</x:f>
      </x:c>
      <x:c r="N150" s="32" t="e">
        <x:f>IF(A150=1,K150,N149+K150)</x:f>
      </x:c>
      <x:c r="O150" s="32"/>
      <x:c r="P150" s="32" t="e">
        <x:f>IF(A150=1,Dashboard!$F$14,T149)</x:f>
      </x:c>
      <x:c r="Q150" s="32" t="e">
        <x:f>IF(A150&lt;=Dashboard!$F$17,MIN(P150,$B$6*52/12),0)</x:f>
      </x:c>
      <x:c r="R150" s="32" t="e">
        <x:f>IF(A150&lt;=Dashboard!$F$17,MAX(0,P150-Q150)*Dashboard!$F$6,0)</x:f>
      </x:c>
      <x:c r="S150" s="32" t="e">
        <x:f>IF(A150&lt;=Dashboard!$F$17,MIN(Dashboard!$F$10,MAX(0,P150-Q150)+R150),0)</x:f>
      </x:c>
      <x:c r="T150" s="32" t="e">
        <x:f>IF(A150&lt;=Dashboard!$F$17,MAX(0,P150-Q150-MAX(0,S150-R150)),0)</x:f>
      </x:c>
      <x:c r="U150" s="32" t="e">
        <x:f>IF(A150=1,R150,U149+R150)</x:f>
      </x:c>
      <x:c r="V150" s="32"/>
      <x:c r="W150" s="32" t="e">
        <x:f>IF(A150=1,Dashboard!$F$14,AA149)</x:f>
      </x:c>
      <x:c r="X150" s="32" t="e">
        <x:f>IF(AND(A150&lt;=Dashboard!$F$17,MOD(A150-1,12)=0),MIN(W150,$B$7),0)</x:f>
      </x:c>
      <x:c r="Y150" s="32" t="e">
        <x:f>IF(A150&lt;=Dashboard!$F$17,MAX(0,W150-X150)*Dashboard!$F$6,0)</x:f>
      </x:c>
      <x:c r="Z150" s="32" t="e">
        <x:f>IF(A150&lt;=Dashboard!$F$17,MIN(Dashboard!$F$10,MAX(0,W150-X150)+Y150),0)</x:f>
      </x:c>
      <x:c r="AA150" s="32" t="e">
        <x:f>IF(A150&lt;=Dashboard!$F$17,MAX(0,W150-X150-MAX(0,Z150-Y150)),0)</x:f>
      </x:c>
      <x:c r="AB150" s="32" t="e">
        <x:f>IF(A150=1,Y150,AB149+Y150)</x:f>
      </x:c>
      <x:c r="AC150" s="32"/>
      <x:c r="AD150" s="32" t="e">
        <x:f>IF(A150=1,MAX(0,Dashboard!$F$14-$B$8),AG149)</x:f>
      </x:c>
      <x:c r="AE150" s="32" t="n">
        <x:f>0</x:f>
        <x:v>0</x:v>
      </x:c>
      <x:c r="AF150" s="32" t="e">
        <x:f>IF(A150&lt;=Dashboard!$F$17,AD150*Dashboard!$F$6,0)</x:f>
      </x:c>
      <x:c r="AG150" s="32" t="e">
        <x:f>IF(A150&lt;=Dashboard!$F$17,MIN(Dashboard!$F$10,AD150+AF150),0)</x:f>
      </x:c>
      <x:c r="AH150" s="32" t="e">
        <x:f>IF(A150&lt;=Dashboard!$F$17,MAX(0,AD150-MAX(0,AG150-AF150)),0)</x:f>
      </x:c>
      <x:c r="AI150" s="32" t="e">
        <x:f>IF(A150=1,AF150,AI149+AF150)</x:f>
      </x:c>
      <x:c r="AJ150" s="33"/>
      <x:c r="AK150" s="33"/>
      <x:c r="AL150" s="33"/>
      <x:c r="AM150" s="33"/>
    </x:row>
    <x:row r="151">
      <x:c r="A151" s="33" t="n">
        <x:v>139</x:v>
      </x:c>
      <x:c r="B151" s="32" t="e">
        <x:f>IF(A151=1,Dashboard!$F$14,F150)</x:f>
      </x:c>
      <x:c r="C151" s="32" t="n">
        <x:f>0</x:f>
        <x:v>0</x:v>
      </x:c>
      <x:c r="D151" s="32" t="e">
        <x:f>IF(A151&lt;=Dashboard!$F$15,B151*Dashboard!$F$6,0)</x:f>
      </x:c>
      <x:c r="E151" s="32" t="e">
        <x:f>IF(A151&lt;=Dashboard!$F$15,MIN(Dashboard!$F$10,B151+D151),0)</x:f>
      </x:c>
      <x:c r="F151" s="32" t="e">
        <x:f>IF(A151&lt;=Dashboard!$F$15,MAX(0,B151-MAX(0,E151-D151)),0)</x:f>
      </x:c>
      <x:c r="G151" s="32" t="e">
        <x:f>IF(A151=1,D151,G150+D151)</x:f>
      </x:c>
      <x:c r="H151" s="32"/>
      <x:c r="I151" s="32" t="e">
        <x:f>IF(A151=1,Dashboard!$F$14,M150)</x:f>
      </x:c>
      <x:c r="J151" s="32" t="e">
        <x:f>IF(A151&lt;=Dashboard!$F$17,MIN(I151,$B$5),0)</x:f>
      </x:c>
      <x:c r="K151" s="32" t="e">
        <x:f>IF(A151&lt;=Dashboard!$F$17,MAX(0,I151-J151)*Dashboard!$F$6,0)</x:f>
      </x:c>
      <x:c r="L151" s="32" t="e">
        <x:f>IF(A151&lt;=Dashboard!$F$17,MIN(Dashboard!$F$10,MAX(0,I151-J151)+K151),0)</x:f>
      </x:c>
      <x:c r="M151" s="32" t="e">
        <x:f>IF(A151&lt;=Dashboard!$F$17,MAX(0,I151-J151-MAX(0,L151-K151)),0)</x:f>
      </x:c>
      <x:c r="N151" s="32" t="e">
        <x:f>IF(A151=1,K151,N150+K151)</x:f>
      </x:c>
      <x:c r="O151" s="32"/>
      <x:c r="P151" s="32" t="e">
        <x:f>IF(A151=1,Dashboard!$F$14,T150)</x:f>
      </x:c>
      <x:c r="Q151" s="32" t="e">
        <x:f>IF(A151&lt;=Dashboard!$F$17,MIN(P151,$B$6*52/12),0)</x:f>
      </x:c>
      <x:c r="R151" s="32" t="e">
        <x:f>IF(A151&lt;=Dashboard!$F$17,MAX(0,P151-Q151)*Dashboard!$F$6,0)</x:f>
      </x:c>
      <x:c r="S151" s="32" t="e">
        <x:f>IF(A151&lt;=Dashboard!$F$17,MIN(Dashboard!$F$10,MAX(0,P151-Q151)+R151),0)</x:f>
      </x:c>
      <x:c r="T151" s="32" t="e">
        <x:f>IF(A151&lt;=Dashboard!$F$17,MAX(0,P151-Q151-MAX(0,S151-R151)),0)</x:f>
      </x:c>
      <x:c r="U151" s="32" t="e">
        <x:f>IF(A151=1,R151,U150+R151)</x:f>
      </x:c>
      <x:c r="V151" s="32"/>
      <x:c r="W151" s="32" t="e">
        <x:f>IF(A151=1,Dashboard!$F$14,AA150)</x:f>
      </x:c>
      <x:c r="X151" s="32" t="e">
        <x:f>IF(AND(A151&lt;=Dashboard!$F$17,MOD(A151-1,12)=0),MIN(W151,$B$7),0)</x:f>
      </x:c>
      <x:c r="Y151" s="32" t="e">
        <x:f>IF(A151&lt;=Dashboard!$F$17,MAX(0,W151-X151)*Dashboard!$F$6,0)</x:f>
      </x:c>
      <x:c r="Z151" s="32" t="e">
        <x:f>IF(A151&lt;=Dashboard!$F$17,MIN(Dashboard!$F$10,MAX(0,W151-X151)+Y151),0)</x:f>
      </x:c>
      <x:c r="AA151" s="32" t="e">
        <x:f>IF(A151&lt;=Dashboard!$F$17,MAX(0,W151-X151-MAX(0,Z151-Y151)),0)</x:f>
      </x:c>
      <x:c r="AB151" s="32" t="e">
        <x:f>IF(A151=1,Y151,AB150+Y151)</x:f>
      </x:c>
      <x:c r="AC151" s="32"/>
      <x:c r="AD151" s="32" t="e">
        <x:f>IF(A151=1,MAX(0,Dashboard!$F$14-$B$8),AG150)</x:f>
      </x:c>
      <x:c r="AE151" s="32" t="n">
        <x:f>0</x:f>
        <x:v>0</x:v>
      </x:c>
      <x:c r="AF151" s="32" t="e">
        <x:f>IF(A151&lt;=Dashboard!$F$17,AD151*Dashboard!$F$6,0)</x:f>
      </x:c>
      <x:c r="AG151" s="32" t="e">
        <x:f>IF(A151&lt;=Dashboard!$F$17,MIN(Dashboard!$F$10,AD151+AF151),0)</x:f>
      </x:c>
      <x:c r="AH151" s="32" t="e">
        <x:f>IF(A151&lt;=Dashboard!$F$17,MAX(0,AD151-MAX(0,AG151-AF151)),0)</x:f>
      </x:c>
      <x:c r="AI151" s="32" t="e">
        <x:f>IF(A151=1,AF151,AI150+AF151)</x:f>
      </x:c>
      <x:c r="AJ151" s="33"/>
      <x:c r="AK151" s="33"/>
      <x:c r="AL151" s="33"/>
      <x:c r="AM151" s="33"/>
    </x:row>
    <x:row r="152">
      <x:c r="A152" s="33" t="n">
        <x:v>140</x:v>
      </x:c>
      <x:c r="B152" s="32" t="e">
        <x:f>IF(A152=1,Dashboard!$F$14,F151)</x:f>
      </x:c>
      <x:c r="C152" s="32" t="n">
        <x:f>0</x:f>
        <x:v>0</x:v>
      </x:c>
      <x:c r="D152" s="32" t="e">
        <x:f>IF(A152&lt;=Dashboard!$F$15,B152*Dashboard!$F$6,0)</x:f>
      </x:c>
      <x:c r="E152" s="32" t="e">
        <x:f>IF(A152&lt;=Dashboard!$F$15,MIN(Dashboard!$F$10,B152+D152),0)</x:f>
      </x:c>
      <x:c r="F152" s="32" t="e">
        <x:f>IF(A152&lt;=Dashboard!$F$15,MAX(0,B152-MAX(0,E152-D152)),0)</x:f>
      </x:c>
      <x:c r="G152" s="32" t="e">
        <x:f>IF(A152=1,D152,G151+D152)</x:f>
      </x:c>
      <x:c r="H152" s="32"/>
      <x:c r="I152" s="32" t="e">
        <x:f>IF(A152=1,Dashboard!$F$14,M151)</x:f>
      </x:c>
      <x:c r="J152" s="32" t="e">
        <x:f>IF(A152&lt;=Dashboard!$F$17,MIN(I152,$B$5),0)</x:f>
      </x:c>
      <x:c r="K152" s="32" t="e">
        <x:f>IF(A152&lt;=Dashboard!$F$17,MAX(0,I152-J152)*Dashboard!$F$6,0)</x:f>
      </x:c>
      <x:c r="L152" s="32" t="e">
        <x:f>IF(A152&lt;=Dashboard!$F$17,MIN(Dashboard!$F$10,MAX(0,I152-J152)+K152),0)</x:f>
      </x:c>
      <x:c r="M152" s="32" t="e">
        <x:f>IF(A152&lt;=Dashboard!$F$17,MAX(0,I152-J152-MAX(0,L152-K152)),0)</x:f>
      </x:c>
      <x:c r="N152" s="32" t="e">
        <x:f>IF(A152=1,K152,N151+K152)</x:f>
      </x:c>
      <x:c r="O152" s="32"/>
      <x:c r="P152" s="32" t="e">
        <x:f>IF(A152=1,Dashboard!$F$14,T151)</x:f>
      </x:c>
      <x:c r="Q152" s="32" t="e">
        <x:f>IF(A152&lt;=Dashboard!$F$17,MIN(P152,$B$6*52/12),0)</x:f>
      </x:c>
      <x:c r="R152" s="32" t="e">
        <x:f>IF(A152&lt;=Dashboard!$F$17,MAX(0,P152-Q152)*Dashboard!$F$6,0)</x:f>
      </x:c>
      <x:c r="S152" s="32" t="e">
        <x:f>IF(A152&lt;=Dashboard!$F$17,MIN(Dashboard!$F$10,MAX(0,P152-Q152)+R152),0)</x:f>
      </x:c>
      <x:c r="T152" s="32" t="e">
        <x:f>IF(A152&lt;=Dashboard!$F$17,MAX(0,P152-Q152-MAX(0,S152-R152)),0)</x:f>
      </x:c>
      <x:c r="U152" s="32" t="e">
        <x:f>IF(A152=1,R152,U151+R152)</x:f>
      </x:c>
      <x:c r="V152" s="32"/>
      <x:c r="W152" s="32" t="e">
        <x:f>IF(A152=1,Dashboard!$F$14,AA151)</x:f>
      </x:c>
      <x:c r="X152" s="32" t="e">
        <x:f>IF(AND(A152&lt;=Dashboard!$F$17,MOD(A152-1,12)=0),MIN(W152,$B$7),0)</x:f>
      </x:c>
      <x:c r="Y152" s="32" t="e">
        <x:f>IF(A152&lt;=Dashboard!$F$17,MAX(0,W152-X152)*Dashboard!$F$6,0)</x:f>
      </x:c>
      <x:c r="Z152" s="32" t="e">
        <x:f>IF(A152&lt;=Dashboard!$F$17,MIN(Dashboard!$F$10,MAX(0,W152-X152)+Y152),0)</x:f>
      </x:c>
      <x:c r="AA152" s="32" t="e">
        <x:f>IF(A152&lt;=Dashboard!$F$17,MAX(0,W152-X152-MAX(0,Z152-Y152)),0)</x:f>
      </x:c>
      <x:c r="AB152" s="32" t="e">
        <x:f>IF(A152=1,Y152,AB151+Y152)</x:f>
      </x:c>
      <x:c r="AC152" s="32"/>
      <x:c r="AD152" s="32" t="e">
        <x:f>IF(A152=1,MAX(0,Dashboard!$F$14-$B$8),AG151)</x:f>
      </x:c>
      <x:c r="AE152" s="32" t="n">
        <x:f>0</x:f>
        <x:v>0</x:v>
      </x:c>
      <x:c r="AF152" s="32" t="e">
        <x:f>IF(A152&lt;=Dashboard!$F$17,AD152*Dashboard!$F$6,0)</x:f>
      </x:c>
      <x:c r="AG152" s="32" t="e">
        <x:f>IF(A152&lt;=Dashboard!$F$17,MIN(Dashboard!$F$10,AD152+AF152),0)</x:f>
      </x:c>
      <x:c r="AH152" s="32" t="e">
        <x:f>IF(A152&lt;=Dashboard!$F$17,MAX(0,AD152-MAX(0,AG152-AF152)),0)</x:f>
      </x:c>
      <x:c r="AI152" s="32" t="e">
        <x:f>IF(A152=1,AF152,AI151+AF152)</x:f>
      </x:c>
      <x:c r="AJ152" s="33"/>
      <x:c r="AK152" s="33"/>
      <x:c r="AL152" s="33"/>
      <x:c r="AM152" s="33"/>
    </x:row>
    <x:row r="153">
      <x:c r="A153" s="33" t="n">
        <x:v>141</x:v>
      </x:c>
      <x:c r="B153" s="32" t="e">
        <x:f>IF(A153=1,Dashboard!$F$14,F152)</x:f>
      </x:c>
      <x:c r="C153" s="32" t="n">
        <x:f>0</x:f>
        <x:v>0</x:v>
      </x:c>
      <x:c r="D153" s="32" t="e">
        <x:f>IF(A153&lt;=Dashboard!$F$15,B153*Dashboard!$F$6,0)</x:f>
      </x:c>
      <x:c r="E153" s="32" t="e">
        <x:f>IF(A153&lt;=Dashboard!$F$15,MIN(Dashboard!$F$10,B153+D153),0)</x:f>
      </x:c>
      <x:c r="F153" s="32" t="e">
        <x:f>IF(A153&lt;=Dashboard!$F$15,MAX(0,B153-MAX(0,E153-D153)),0)</x:f>
      </x:c>
      <x:c r="G153" s="32" t="e">
        <x:f>IF(A153=1,D153,G152+D153)</x:f>
      </x:c>
      <x:c r="H153" s="32"/>
      <x:c r="I153" s="32" t="e">
        <x:f>IF(A153=1,Dashboard!$F$14,M152)</x:f>
      </x:c>
      <x:c r="J153" s="32" t="e">
        <x:f>IF(A153&lt;=Dashboard!$F$17,MIN(I153,$B$5),0)</x:f>
      </x:c>
      <x:c r="K153" s="32" t="e">
        <x:f>IF(A153&lt;=Dashboard!$F$17,MAX(0,I153-J153)*Dashboard!$F$6,0)</x:f>
      </x:c>
      <x:c r="L153" s="32" t="e">
        <x:f>IF(A153&lt;=Dashboard!$F$17,MIN(Dashboard!$F$10,MAX(0,I153-J153)+K153),0)</x:f>
      </x:c>
      <x:c r="M153" s="32" t="e">
        <x:f>IF(A153&lt;=Dashboard!$F$17,MAX(0,I153-J153-MAX(0,L153-K153)),0)</x:f>
      </x:c>
      <x:c r="N153" s="32" t="e">
        <x:f>IF(A153=1,K153,N152+K153)</x:f>
      </x:c>
      <x:c r="O153" s="32"/>
      <x:c r="P153" s="32" t="e">
        <x:f>IF(A153=1,Dashboard!$F$14,T152)</x:f>
      </x:c>
      <x:c r="Q153" s="32" t="e">
        <x:f>IF(A153&lt;=Dashboard!$F$17,MIN(P153,$B$6*52/12),0)</x:f>
      </x:c>
      <x:c r="R153" s="32" t="e">
        <x:f>IF(A153&lt;=Dashboard!$F$17,MAX(0,P153-Q153)*Dashboard!$F$6,0)</x:f>
      </x:c>
      <x:c r="S153" s="32" t="e">
        <x:f>IF(A153&lt;=Dashboard!$F$17,MIN(Dashboard!$F$10,MAX(0,P153-Q153)+R153),0)</x:f>
      </x:c>
      <x:c r="T153" s="32" t="e">
        <x:f>IF(A153&lt;=Dashboard!$F$17,MAX(0,P153-Q153-MAX(0,S153-R153)),0)</x:f>
      </x:c>
      <x:c r="U153" s="32" t="e">
        <x:f>IF(A153=1,R153,U152+R153)</x:f>
      </x:c>
      <x:c r="V153" s="32"/>
      <x:c r="W153" s="32" t="e">
        <x:f>IF(A153=1,Dashboard!$F$14,AA152)</x:f>
      </x:c>
      <x:c r="X153" s="32" t="e">
        <x:f>IF(AND(A153&lt;=Dashboard!$F$17,MOD(A153-1,12)=0),MIN(W153,$B$7),0)</x:f>
      </x:c>
      <x:c r="Y153" s="32" t="e">
        <x:f>IF(A153&lt;=Dashboard!$F$17,MAX(0,W153-X153)*Dashboard!$F$6,0)</x:f>
      </x:c>
      <x:c r="Z153" s="32" t="e">
        <x:f>IF(A153&lt;=Dashboard!$F$17,MIN(Dashboard!$F$10,MAX(0,W153-X153)+Y153),0)</x:f>
      </x:c>
      <x:c r="AA153" s="32" t="e">
        <x:f>IF(A153&lt;=Dashboard!$F$17,MAX(0,W153-X153-MAX(0,Z153-Y153)),0)</x:f>
      </x:c>
      <x:c r="AB153" s="32" t="e">
        <x:f>IF(A153=1,Y153,AB152+Y153)</x:f>
      </x:c>
      <x:c r="AC153" s="32"/>
      <x:c r="AD153" s="32" t="e">
        <x:f>IF(A153=1,MAX(0,Dashboard!$F$14-$B$8),AG152)</x:f>
      </x:c>
      <x:c r="AE153" s="32" t="n">
        <x:f>0</x:f>
        <x:v>0</x:v>
      </x:c>
      <x:c r="AF153" s="32" t="e">
        <x:f>IF(A153&lt;=Dashboard!$F$17,AD153*Dashboard!$F$6,0)</x:f>
      </x:c>
      <x:c r="AG153" s="32" t="e">
        <x:f>IF(A153&lt;=Dashboard!$F$17,MIN(Dashboard!$F$10,AD153+AF153),0)</x:f>
      </x:c>
      <x:c r="AH153" s="32" t="e">
        <x:f>IF(A153&lt;=Dashboard!$F$17,MAX(0,AD153-MAX(0,AG153-AF153)),0)</x:f>
      </x:c>
      <x:c r="AI153" s="32" t="e">
        <x:f>IF(A153=1,AF153,AI152+AF153)</x:f>
      </x:c>
      <x:c r="AJ153" s="33"/>
      <x:c r="AK153" s="33"/>
      <x:c r="AL153" s="33"/>
      <x:c r="AM153" s="33"/>
    </x:row>
    <x:row r="154">
      <x:c r="A154" s="33" t="n">
        <x:v>142</x:v>
      </x:c>
      <x:c r="B154" s="32" t="e">
        <x:f>IF(A154=1,Dashboard!$F$14,F153)</x:f>
      </x:c>
      <x:c r="C154" s="32" t="n">
        <x:f>0</x:f>
        <x:v>0</x:v>
      </x:c>
      <x:c r="D154" s="32" t="e">
        <x:f>IF(A154&lt;=Dashboard!$F$15,B154*Dashboard!$F$6,0)</x:f>
      </x:c>
      <x:c r="E154" s="32" t="e">
        <x:f>IF(A154&lt;=Dashboard!$F$15,MIN(Dashboard!$F$10,B154+D154),0)</x:f>
      </x:c>
      <x:c r="F154" s="32" t="e">
        <x:f>IF(A154&lt;=Dashboard!$F$15,MAX(0,B154-MAX(0,E154-D154)),0)</x:f>
      </x:c>
      <x:c r="G154" s="32" t="e">
        <x:f>IF(A154=1,D154,G153+D154)</x:f>
      </x:c>
      <x:c r="H154" s="32"/>
      <x:c r="I154" s="32" t="e">
        <x:f>IF(A154=1,Dashboard!$F$14,M153)</x:f>
      </x:c>
      <x:c r="J154" s="32" t="e">
        <x:f>IF(A154&lt;=Dashboard!$F$17,MIN(I154,$B$5),0)</x:f>
      </x:c>
      <x:c r="K154" s="32" t="e">
        <x:f>IF(A154&lt;=Dashboard!$F$17,MAX(0,I154-J154)*Dashboard!$F$6,0)</x:f>
      </x:c>
      <x:c r="L154" s="32" t="e">
        <x:f>IF(A154&lt;=Dashboard!$F$17,MIN(Dashboard!$F$10,MAX(0,I154-J154)+K154),0)</x:f>
      </x:c>
      <x:c r="M154" s="32" t="e">
        <x:f>IF(A154&lt;=Dashboard!$F$17,MAX(0,I154-J154-MAX(0,L154-K154)),0)</x:f>
      </x:c>
      <x:c r="N154" s="32" t="e">
        <x:f>IF(A154=1,K154,N153+K154)</x:f>
      </x:c>
      <x:c r="O154" s="32"/>
      <x:c r="P154" s="32" t="e">
        <x:f>IF(A154=1,Dashboard!$F$14,T153)</x:f>
      </x:c>
      <x:c r="Q154" s="32" t="e">
        <x:f>IF(A154&lt;=Dashboard!$F$17,MIN(P154,$B$6*52/12),0)</x:f>
      </x:c>
      <x:c r="R154" s="32" t="e">
        <x:f>IF(A154&lt;=Dashboard!$F$17,MAX(0,P154-Q154)*Dashboard!$F$6,0)</x:f>
      </x:c>
      <x:c r="S154" s="32" t="e">
        <x:f>IF(A154&lt;=Dashboard!$F$17,MIN(Dashboard!$F$10,MAX(0,P154-Q154)+R154),0)</x:f>
      </x:c>
      <x:c r="T154" s="32" t="e">
        <x:f>IF(A154&lt;=Dashboard!$F$17,MAX(0,P154-Q154-MAX(0,S154-R154)),0)</x:f>
      </x:c>
      <x:c r="U154" s="32" t="e">
        <x:f>IF(A154=1,R154,U153+R154)</x:f>
      </x:c>
      <x:c r="V154" s="32"/>
      <x:c r="W154" s="32" t="e">
        <x:f>IF(A154=1,Dashboard!$F$14,AA153)</x:f>
      </x:c>
      <x:c r="X154" s="32" t="e">
        <x:f>IF(AND(A154&lt;=Dashboard!$F$17,MOD(A154-1,12)=0),MIN(W154,$B$7),0)</x:f>
      </x:c>
      <x:c r="Y154" s="32" t="e">
        <x:f>IF(A154&lt;=Dashboard!$F$17,MAX(0,W154-X154)*Dashboard!$F$6,0)</x:f>
      </x:c>
      <x:c r="Z154" s="32" t="e">
        <x:f>IF(A154&lt;=Dashboard!$F$17,MIN(Dashboard!$F$10,MAX(0,W154-X154)+Y154),0)</x:f>
      </x:c>
      <x:c r="AA154" s="32" t="e">
        <x:f>IF(A154&lt;=Dashboard!$F$17,MAX(0,W154-X154-MAX(0,Z154-Y154)),0)</x:f>
      </x:c>
      <x:c r="AB154" s="32" t="e">
        <x:f>IF(A154=1,Y154,AB153+Y154)</x:f>
      </x:c>
      <x:c r="AC154" s="32"/>
      <x:c r="AD154" s="32" t="e">
        <x:f>IF(A154=1,MAX(0,Dashboard!$F$14-$B$8),AG153)</x:f>
      </x:c>
      <x:c r="AE154" s="32" t="n">
        <x:f>0</x:f>
        <x:v>0</x:v>
      </x:c>
      <x:c r="AF154" s="32" t="e">
        <x:f>IF(A154&lt;=Dashboard!$F$17,AD154*Dashboard!$F$6,0)</x:f>
      </x:c>
      <x:c r="AG154" s="32" t="e">
        <x:f>IF(A154&lt;=Dashboard!$F$17,MIN(Dashboard!$F$10,AD154+AF154),0)</x:f>
      </x:c>
      <x:c r="AH154" s="32" t="e">
        <x:f>IF(A154&lt;=Dashboard!$F$17,MAX(0,AD154-MAX(0,AG154-AF154)),0)</x:f>
      </x:c>
      <x:c r="AI154" s="32" t="e">
        <x:f>IF(A154=1,AF154,AI153+AF154)</x:f>
      </x:c>
      <x:c r="AJ154" s="33"/>
      <x:c r="AK154" s="33"/>
      <x:c r="AL154" s="33"/>
      <x:c r="AM154" s="33"/>
    </x:row>
    <x:row r="155">
      <x:c r="A155" s="33" t="n">
        <x:v>143</x:v>
      </x:c>
      <x:c r="B155" s="32" t="e">
        <x:f>IF(A155=1,Dashboard!$F$14,F154)</x:f>
      </x:c>
      <x:c r="C155" s="32" t="n">
        <x:f>0</x:f>
        <x:v>0</x:v>
      </x:c>
      <x:c r="D155" s="32" t="e">
        <x:f>IF(A155&lt;=Dashboard!$F$15,B155*Dashboard!$F$6,0)</x:f>
      </x:c>
      <x:c r="E155" s="32" t="e">
        <x:f>IF(A155&lt;=Dashboard!$F$15,MIN(Dashboard!$F$10,B155+D155),0)</x:f>
      </x:c>
      <x:c r="F155" s="32" t="e">
        <x:f>IF(A155&lt;=Dashboard!$F$15,MAX(0,B155-MAX(0,E155-D155)),0)</x:f>
      </x:c>
      <x:c r="G155" s="32" t="e">
        <x:f>IF(A155=1,D155,G154+D155)</x:f>
      </x:c>
      <x:c r="H155" s="32"/>
      <x:c r="I155" s="32" t="e">
        <x:f>IF(A155=1,Dashboard!$F$14,M154)</x:f>
      </x:c>
      <x:c r="J155" s="32" t="e">
        <x:f>IF(A155&lt;=Dashboard!$F$17,MIN(I155,$B$5),0)</x:f>
      </x:c>
      <x:c r="K155" s="32" t="e">
        <x:f>IF(A155&lt;=Dashboard!$F$17,MAX(0,I155-J155)*Dashboard!$F$6,0)</x:f>
      </x:c>
      <x:c r="L155" s="32" t="e">
        <x:f>IF(A155&lt;=Dashboard!$F$17,MIN(Dashboard!$F$10,MAX(0,I155-J155)+K155),0)</x:f>
      </x:c>
      <x:c r="M155" s="32" t="e">
        <x:f>IF(A155&lt;=Dashboard!$F$17,MAX(0,I155-J155-MAX(0,L155-K155)),0)</x:f>
      </x:c>
      <x:c r="N155" s="32" t="e">
        <x:f>IF(A155=1,K155,N154+K155)</x:f>
      </x:c>
      <x:c r="O155" s="32"/>
      <x:c r="P155" s="32" t="e">
        <x:f>IF(A155=1,Dashboard!$F$14,T154)</x:f>
      </x:c>
      <x:c r="Q155" s="32" t="e">
        <x:f>IF(A155&lt;=Dashboard!$F$17,MIN(P155,$B$6*52/12),0)</x:f>
      </x:c>
      <x:c r="R155" s="32" t="e">
        <x:f>IF(A155&lt;=Dashboard!$F$17,MAX(0,P155-Q155)*Dashboard!$F$6,0)</x:f>
      </x:c>
      <x:c r="S155" s="32" t="e">
        <x:f>IF(A155&lt;=Dashboard!$F$17,MIN(Dashboard!$F$10,MAX(0,P155-Q155)+R155),0)</x:f>
      </x:c>
      <x:c r="T155" s="32" t="e">
        <x:f>IF(A155&lt;=Dashboard!$F$17,MAX(0,P155-Q155-MAX(0,S155-R155)),0)</x:f>
      </x:c>
      <x:c r="U155" s="32" t="e">
        <x:f>IF(A155=1,R155,U154+R155)</x:f>
      </x:c>
      <x:c r="V155" s="32"/>
      <x:c r="W155" s="32" t="e">
        <x:f>IF(A155=1,Dashboard!$F$14,AA154)</x:f>
      </x:c>
      <x:c r="X155" s="32" t="e">
        <x:f>IF(AND(A155&lt;=Dashboard!$F$17,MOD(A155-1,12)=0),MIN(W155,$B$7),0)</x:f>
      </x:c>
      <x:c r="Y155" s="32" t="e">
        <x:f>IF(A155&lt;=Dashboard!$F$17,MAX(0,W155-X155)*Dashboard!$F$6,0)</x:f>
      </x:c>
      <x:c r="Z155" s="32" t="e">
        <x:f>IF(A155&lt;=Dashboard!$F$17,MIN(Dashboard!$F$10,MAX(0,W155-X155)+Y155),0)</x:f>
      </x:c>
      <x:c r="AA155" s="32" t="e">
        <x:f>IF(A155&lt;=Dashboard!$F$17,MAX(0,W155-X155-MAX(0,Z155-Y155)),0)</x:f>
      </x:c>
      <x:c r="AB155" s="32" t="e">
        <x:f>IF(A155=1,Y155,AB154+Y155)</x:f>
      </x:c>
      <x:c r="AC155" s="32"/>
      <x:c r="AD155" s="32" t="e">
        <x:f>IF(A155=1,MAX(0,Dashboard!$F$14-$B$8),AG154)</x:f>
      </x:c>
      <x:c r="AE155" s="32" t="n">
        <x:f>0</x:f>
        <x:v>0</x:v>
      </x:c>
      <x:c r="AF155" s="32" t="e">
        <x:f>IF(A155&lt;=Dashboard!$F$17,AD155*Dashboard!$F$6,0)</x:f>
      </x:c>
      <x:c r="AG155" s="32" t="e">
        <x:f>IF(A155&lt;=Dashboard!$F$17,MIN(Dashboard!$F$10,AD155+AF155),0)</x:f>
      </x:c>
      <x:c r="AH155" s="32" t="e">
        <x:f>IF(A155&lt;=Dashboard!$F$17,MAX(0,AD155-MAX(0,AG155-AF155)),0)</x:f>
      </x:c>
      <x:c r="AI155" s="32" t="e">
        <x:f>IF(A155=1,AF155,AI154+AF155)</x:f>
      </x:c>
      <x:c r="AJ155" s="33"/>
      <x:c r="AK155" s="33"/>
      <x:c r="AL155" s="33"/>
      <x:c r="AM155" s="33"/>
    </x:row>
    <x:row r="156">
      <x:c r="A156" s="33" t="n">
        <x:v>144</x:v>
      </x:c>
      <x:c r="B156" s="32" t="e">
        <x:f>IF(A156=1,Dashboard!$F$14,F155)</x:f>
      </x:c>
      <x:c r="C156" s="32" t="n">
        <x:f>0</x:f>
        <x:v>0</x:v>
      </x:c>
      <x:c r="D156" s="32" t="e">
        <x:f>IF(A156&lt;=Dashboard!$F$15,B156*Dashboard!$F$6,0)</x:f>
      </x:c>
      <x:c r="E156" s="32" t="e">
        <x:f>IF(A156&lt;=Dashboard!$F$15,MIN(Dashboard!$F$10,B156+D156),0)</x:f>
      </x:c>
      <x:c r="F156" s="32" t="e">
        <x:f>IF(A156&lt;=Dashboard!$F$15,MAX(0,B156-MAX(0,E156-D156)),0)</x:f>
      </x:c>
      <x:c r="G156" s="32" t="e">
        <x:f>IF(A156=1,D156,G155+D156)</x:f>
      </x:c>
      <x:c r="H156" s="32"/>
      <x:c r="I156" s="32" t="e">
        <x:f>IF(A156=1,Dashboard!$F$14,M155)</x:f>
      </x:c>
      <x:c r="J156" s="32" t="e">
        <x:f>IF(A156&lt;=Dashboard!$F$17,MIN(I156,$B$5),0)</x:f>
      </x:c>
      <x:c r="K156" s="32" t="e">
        <x:f>IF(A156&lt;=Dashboard!$F$17,MAX(0,I156-J156)*Dashboard!$F$6,0)</x:f>
      </x:c>
      <x:c r="L156" s="32" t="e">
        <x:f>IF(A156&lt;=Dashboard!$F$17,MIN(Dashboard!$F$10,MAX(0,I156-J156)+K156),0)</x:f>
      </x:c>
      <x:c r="M156" s="32" t="e">
        <x:f>IF(A156&lt;=Dashboard!$F$17,MAX(0,I156-J156-MAX(0,L156-K156)),0)</x:f>
      </x:c>
      <x:c r="N156" s="32" t="e">
        <x:f>IF(A156=1,K156,N155+K156)</x:f>
      </x:c>
      <x:c r="O156" s="32"/>
      <x:c r="P156" s="32" t="e">
        <x:f>IF(A156=1,Dashboard!$F$14,T155)</x:f>
      </x:c>
      <x:c r="Q156" s="32" t="e">
        <x:f>IF(A156&lt;=Dashboard!$F$17,MIN(P156,$B$6*52/12),0)</x:f>
      </x:c>
      <x:c r="R156" s="32" t="e">
        <x:f>IF(A156&lt;=Dashboard!$F$17,MAX(0,P156-Q156)*Dashboard!$F$6,0)</x:f>
      </x:c>
      <x:c r="S156" s="32" t="e">
        <x:f>IF(A156&lt;=Dashboard!$F$17,MIN(Dashboard!$F$10,MAX(0,P156-Q156)+R156),0)</x:f>
      </x:c>
      <x:c r="T156" s="32" t="e">
        <x:f>IF(A156&lt;=Dashboard!$F$17,MAX(0,P156-Q156-MAX(0,S156-R156)),0)</x:f>
      </x:c>
      <x:c r="U156" s="32" t="e">
        <x:f>IF(A156=1,R156,U155+R156)</x:f>
      </x:c>
      <x:c r="V156" s="32"/>
      <x:c r="W156" s="32" t="e">
        <x:f>IF(A156=1,Dashboard!$F$14,AA155)</x:f>
      </x:c>
      <x:c r="X156" s="32" t="e">
        <x:f>IF(AND(A156&lt;=Dashboard!$F$17,MOD(A156-1,12)=0),MIN(W156,$B$7),0)</x:f>
      </x:c>
      <x:c r="Y156" s="32" t="e">
        <x:f>IF(A156&lt;=Dashboard!$F$17,MAX(0,W156-X156)*Dashboard!$F$6,0)</x:f>
      </x:c>
      <x:c r="Z156" s="32" t="e">
        <x:f>IF(A156&lt;=Dashboard!$F$17,MIN(Dashboard!$F$10,MAX(0,W156-X156)+Y156),0)</x:f>
      </x:c>
      <x:c r="AA156" s="32" t="e">
        <x:f>IF(A156&lt;=Dashboard!$F$17,MAX(0,W156-X156-MAX(0,Z156-Y156)),0)</x:f>
      </x:c>
      <x:c r="AB156" s="32" t="e">
        <x:f>IF(A156=1,Y156,AB155+Y156)</x:f>
      </x:c>
      <x:c r="AC156" s="32"/>
      <x:c r="AD156" s="32" t="e">
        <x:f>IF(A156=1,MAX(0,Dashboard!$F$14-$B$8),AG155)</x:f>
      </x:c>
      <x:c r="AE156" s="32" t="n">
        <x:f>0</x:f>
        <x:v>0</x:v>
      </x:c>
      <x:c r="AF156" s="32" t="e">
        <x:f>IF(A156&lt;=Dashboard!$F$17,AD156*Dashboard!$F$6,0)</x:f>
      </x:c>
      <x:c r="AG156" s="32" t="e">
        <x:f>IF(A156&lt;=Dashboard!$F$17,MIN(Dashboard!$F$10,AD156+AF156),0)</x:f>
      </x:c>
      <x:c r="AH156" s="32" t="e">
        <x:f>IF(A156&lt;=Dashboard!$F$17,MAX(0,AD156-MAX(0,AG156-AF156)),0)</x:f>
      </x:c>
      <x:c r="AI156" s="32" t="e">
        <x:f>IF(A156=1,AF156,AI155+AF156)</x:f>
      </x:c>
      <x:c r="AJ156" s="33"/>
      <x:c r="AK156" s="33"/>
      <x:c r="AL156" s="33"/>
      <x:c r="AM156" s="33"/>
    </x:row>
    <x:row r="157">
      <x:c r="A157" s="33" t="n">
        <x:v>145</x:v>
      </x:c>
      <x:c r="B157" s="32" t="e">
        <x:f>IF(A157=1,Dashboard!$F$14,F156)</x:f>
      </x:c>
      <x:c r="C157" s="32" t="n">
        <x:f>0</x:f>
        <x:v>0</x:v>
      </x:c>
      <x:c r="D157" s="32" t="e">
        <x:f>IF(A157&lt;=Dashboard!$F$15,B157*Dashboard!$F$6,0)</x:f>
      </x:c>
      <x:c r="E157" s="32" t="e">
        <x:f>IF(A157&lt;=Dashboard!$F$15,MIN(Dashboard!$F$10,B157+D157),0)</x:f>
      </x:c>
      <x:c r="F157" s="32" t="e">
        <x:f>IF(A157&lt;=Dashboard!$F$15,MAX(0,B157-MAX(0,E157-D157)),0)</x:f>
      </x:c>
      <x:c r="G157" s="32" t="e">
        <x:f>IF(A157=1,D157,G156+D157)</x:f>
      </x:c>
      <x:c r="H157" s="32"/>
      <x:c r="I157" s="32" t="e">
        <x:f>IF(A157=1,Dashboard!$F$14,M156)</x:f>
      </x:c>
      <x:c r="J157" s="32" t="e">
        <x:f>IF(A157&lt;=Dashboard!$F$17,MIN(I157,$B$5),0)</x:f>
      </x:c>
      <x:c r="K157" s="32" t="e">
        <x:f>IF(A157&lt;=Dashboard!$F$17,MAX(0,I157-J157)*Dashboard!$F$6,0)</x:f>
      </x:c>
      <x:c r="L157" s="32" t="e">
        <x:f>IF(A157&lt;=Dashboard!$F$17,MIN(Dashboard!$F$10,MAX(0,I157-J157)+K157),0)</x:f>
      </x:c>
      <x:c r="M157" s="32" t="e">
        <x:f>IF(A157&lt;=Dashboard!$F$17,MAX(0,I157-J157-MAX(0,L157-K157)),0)</x:f>
      </x:c>
      <x:c r="N157" s="32" t="e">
        <x:f>IF(A157=1,K157,N156+K157)</x:f>
      </x:c>
      <x:c r="O157" s="32"/>
      <x:c r="P157" s="32" t="e">
        <x:f>IF(A157=1,Dashboard!$F$14,T156)</x:f>
      </x:c>
      <x:c r="Q157" s="32" t="e">
        <x:f>IF(A157&lt;=Dashboard!$F$17,MIN(P157,$B$6*52/12),0)</x:f>
      </x:c>
      <x:c r="R157" s="32" t="e">
        <x:f>IF(A157&lt;=Dashboard!$F$17,MAX(0,P157-Q157)*Dashboard!$F$6,0)</x:f>
      </x:c>
      <x:c r="S157" s="32" t="e">
        <x:f>IF(A157&lt;=Dashboard!$F$17,MIN(Dashboard!$F$10,MAX(0,P157-Q157)+R157),0)</x:f>
      </x:c>
      <x:c r="T157" s="32" t="e">
        <x:f>IF(A157&lt;=Dashboard!$F$17,MAX(0,P157-Q157-MAX(0,S157-R157)),0)</x:f>
      </x:c>
      <x:c r="U157" s="32" t="e">
        <x:f>IF(A157=1,R157,U156+R157)</x:f>
      </x:c>
      <x:c r="V157" s="32"/>
      <x:c r="W157" s="32" t="e">
        <x:f>IF(A157=1,Dashboard!$F$14,AA156)</x:f>
      </x:c>
      <x:c r="X157" s="32" t="e">
        <x:f>IF(AND(A157&lt;=Dashboard!$F$17,MOD(A157-1,12)=0),MIN(W157,$B$7),0)</x:f>
      </x:c>
      <x:c r="Y157" s="32" t="e">
        <x:f>IF(A157&lt;=Dashboard!$F$17,MAX(0,W157-X157)*Dashboard!$F$6,0)</x:f>
      </x:c>
      <x:c r="Z157" s="32" t="e">
        <x:f>IF(A157&lt;=Dashboard!$F$17,MIN(Dashboard!$F$10,MAX(0,W157-X157)+Y157),0)</x:f>
      </x:c>
      <x:c r="AA157" s="32" t="e">
        <x:f>IF(A157&lt;=Dashboard!$F$17,MAX(0,W157-X157-MAX(0,Z157-Y157)),0)</x:f>
      </x:c>
      <x:c r="AB157" s="32" t="e">
        <x:f>IF(A157=1,Y157,AB156+Y157)</x:f>
      </x:c>
      <x:c r="AC157" s="32"/>
      <x:c r="AD157" s="32" t="e">
        <x:f>IF(A157=1,MAX(0,Dashboard!$F$14-$B$8),AG156)</x:f>
      </x:c>
      <x:c r="AE157" s="32" t="n">
        <x:f>0</x:f>
        <x:v>0</x:v>
      </x:c>
      <x:c r="AF157" s="32" t="e">
        <x:f>IF(A157&lt;=Dashboard!$F$17,AD157*Dashboard!$F$6,0)</x:f>
      </x:c>
      <x:c r="AG157" s="32" t="e">
        <x:f>IF(A157&lt;=Dashboard!$F$17,MIN(Dashboard!$F$10,AD157+AF157),0)</x:f>
      </x:c>
      <x:c r="AH157" s="32" t="e">
        <x:f>IF(A157&lt;=Dashboard!$F$17,MAX(0,AD157-MAX(0,AG157-AF157)),0)</x:f>
      </x:c>
      <x:c r="AI157" s="32" t="e">
        <x:f>IF(A157=1,AF157,AI156+AF157)</x:f>
      </x:c>
      <x:c r="AJ157" s="33"/>
      <x:c r="AK157" s="33"/>
      <x:c r="AL157" s="33"/>
      <x:c r="AM157" s="33"/>
    </x:row>
    <x:row r="158">
      <x:c r="A158" s="33" t="n">
        <x:v>146</x:v>
      </x:c>
      <x:c r="B158" s="32" t="e">
        <x:f>IF(A158=1,Dashboard!$F$14,F157)</x:f>
      </x:c>
      <x:c r="C158" s="32" t="n">
        <x:f>0</x:f>
        <x:v>0</x:v>
      </x:c>
      <x:c r="D158" s="32" t="e">
        <x:f>IF(A158&lt;=Dashboard!$F$15,B158*Dashboard!$F$6,0)</x:f>
      </x:c>
      <x:c r="E158" s="32" t="e">
        <x:f>IF(A158&lt;=Dashboard!$F$15,MIN(Dashboard!$F$10,B158+D158),0)</x:f>
      </x:c>
      <x:c r="F158" s="32" t="e">
        <x:f>IF(A158&lt;=Dashboard!$F$15,MAX(0,B158-MAX(0,E158-D158)),0)</x:f>
      </x:c>
      <x:c r="G158" s="32" t="e">
        <x:f>IF(A158=1,D158,G157+D158)</x:f>
      </x:c>
      <x:c r="H158" s="32"/>
      <x:c r="I158" s="32" t="e">
        <x:f>IF(A158=1,Dashboard!$F$14,M157)</x:f>
      </x:c>
      <x:c r="J158" s="32" t="e">
        <x:f>IF(A158&lt;=Dashboard!$F$17,MIN(I158,$B$5),0)</x:f>
      </x:c>
      <x:c r="K158" s="32" t="e">
        <x:f>IF(A158&lt;=Dashboard!$F$17,MAX(0,I158-J158)*Dashboard!$F$6,0)</x:f>
      </x:c>
      <x:c r="L158" s="32" t="e">
        <x:f>IF(A158&lt;=Dashboard!$F$17,MIN(Dashboard!$F$10,MAX(0,I158-J158)+K158),0)</x:f>
      </x:c>
      <x:c r="M158" s="32" t="e">
        <x:f>IF(A158&lt;=Dashboard!$F$17,MAX(0,I158-J158-MAX(0,L158-K158)),0)</x:f>
      </x:c>
      <x:c r="N158" s="32" t="e">
        <x:f>IF(A158=1,K158,N157+K158)</x:f>
      </x:c>
      <x:c r="O158" s="32"/>
      <x:c r="P158" s="32" t="e">
        <x:f>IF(A158=1,Dashboard!$F$14,T157)</x:f>
      </x:c>
      <x:c r="Q158" s="32" t="e">
        <x:f>IF(A158&lt;=Dashboard!$F$17,MIN(P158,$B$6*52/12),0)</x:f>
      </x:c>
      <x:c r="R158" s="32" t="e">
        <x:f>IF(A158&lt;=Dashboard!$F$17,MAX(0,P158-Q158)*Dashboard!$F$6,0)</x:f>
      </x:c>
      <x:c r="S158" s="32" t="e">
        <x:f>IF(A158&lt;=Dashboard!$F$17,MIN(Dashboard!$F$10,MAX(0,P158-Q158)+R158),0)</x:f>
      </x:c>
      <x:c r="T158" s="32" t="e">
        <x:f>IF(A158&lt;=Dashboard!$F$17,MAX(0,P158-Q158-MAX(0,S158-R158)),0)</x:f>
      </x:c>
      <x:c r="U158" s="32" t="e">
        <x:f>IF(A158=1,R158,U157+R158)</x:f>
      </x:c>
      <x:c r="V158" s="32"/>
      <x:c r="W158" s="32" t="e">
        <x:f>IF(A158=1,Dashboard!$F$14,AA157)</x:f>
      </x:c>
      <x:c r="X158" s="32" t="e">
        <x:f>IF(AND(A158&lt;=Dashboard!$F$17,MOD(A158-1,12)=0),MIN(W158,$B$7),0)</x:f>
      </x:c>
      <x:c r="Y158" s="32" t="e">
        <x:f>IF(A158&lt;=Dashboard!$F$17,MAX(0,W158-X158)*Dashboard!$F$6,0)</x:f>
      </x:c>
      <x:c r="Z158" s="32" t="e">
        <x:f>IF(A158&lt;=Dashboard!$F$17,MIN(Dashboard!$F$10,MAX(0,W158-X158)+Y158),0)</x:f>
      </x:c>
      <x:c r="AA158" s="32" t="e">
        <x:f>IF(A158&lt;=Dashboard!$F$17,MAX(0,W158-X158-MAX(0,Z158-Y158)),0)</x:f>
      </x:c>
      <x:c r="AB158" s="32" t="e">
        <x:f>IF(A158=1,Y158,AB157+Y158)</x:f>
      </x:c>
      <x:c r="AC158" s="32"/>
      <x:c r="AD158" s="32" t="e">
        <x:f>IF(A158=1,MAX(0,Dashboard!$F$14-$B$8),AG157)</x:f>
      </x:c>
      <x:c r="AE158" s="32" t="n">
        <x:f>0</x:f>
        <x:v>0</x:v>
      </x:c>
      <x:c r="AF158" s="32" t="e">
        <x:f>IF(A158&lt;=Dashboard!$F$17,AD158*Dashboard!$F$6,0)</x:f>
      </x:c>
      <x:c r="AG158" s="32" t="e">
        <x:f>IF(A158&lt;=Dashboard!$F$17,MIN(Dashboard!$F$10,AD158+AF158),0)</x:f>
      </x:c>
      <x:c r="AH158" s="32" t="e">
        <x:f>IF(A158&lt;=Dashboard!$F$17,MAX(0,AD158-MAX(0,AG158-AF158)),0)</x:f>
      </x:c>
      <x:c r="AI158" s="32" t="e">
        <x:f>IF(A158=1,AF158,AI157+AF158)</x:f>
      </x:c>
      <x:c r="AJ158" s="33"/>
      <x:c r="AK158" s="33"/>
      <x:c r="AL158" s="33"/>
      <x:c r="AM158" s="33"/>
    </x:row>
    <x:row r="159">
      <x:c r="A159" s="33" t="n">
        <x:v>147</x:v>
      </x:c>
      <x:c r="B159" s="32" t="e">
        <x:f>IF(A159=1,Dashboard!$F$14,F158)</x:f>
      </x:c>
      <x:c r="C159" s="32" t="n">
        <x:f>0</x:f>
        <x:v>0</x:v>
      </x:c>
      <x:c r="D159" s="32" t="e">
        <x:f>IF(A159&lt;=Dashboard!$F$15,B159*Dashboard!$F$6,0)</x:f>
      </x:c>
      <x:c r="E159" s="32" t="e">
        <x:f>IF(A159&lt;=Dashboard!$F$15,MIN(Dashboard!$F$10,B159+D159),0)</x:f>
      </x:c>
      <x:c r="F159" s="32" t="e">
        <x:f>IF(A159&lt;=Dashboard!$F$15,MAX(0,B159-MAX(0,E159-D159)),0)</x:f>
      </x:c>
      <x:c r="G159" s="32" t="e">
        <x:f>IF(A159=1,D159,G158+D159)</x:f>
      </x:c>
      <x:c r="H159" s="32"/>
      <x:c r="I159" s="32" t="e">
        <x:f>IF(A159=1,Dashboard!$F$14,M158)</x:f>
      </x:c>
      <x:c r="J159" s="32" t="e">
        <x:f>IF(A159&lt;=Dashboard!$F$17,MIN(I159,$B$5),0)</x:f>
      </x:c>
      <x:c r="K159" s="32" t="e">
        <x:f>IF(A159&lt;=Dashboard!$F$17,MAX(0,I159-J159)*Dashboard!$F$6,0)</x:f>
      </x:c>
      <x:c r="L159" s="32" t="e">
        <x:f>IF(A159&lt;=Dashboard!$F$17,MIN(Dashboard!$F$10,MAX(0,I159-J159)+K159),0)</x:f>
      </x:c>
      <x:c r="M159" s="32" t="e">
        <x:f>IF(A159&lt;=Dashboard!$F$17,MAX(0,I159-J159-MAX(0,L159-K159)),0)</x:f>
      </x:c>
      <x:c r="N159" s="32" t="e">
        <x:f>IF(A159=1,K159,N158+K159)</x:f>
      </x:c>
      <x:c r="O159" s="32"/>
      <x:c r="P159" s="32" t="e">
        <x:f>IF(A159=1,Dashboard!$F$14,T158)</x:f>
      </x:c>
      <x:c r="Q159" s="32" t="e">
        <x:f>IF(A159&lt;=Dashboard!$F$17,MIN(P159,$B$6*52/12),0)</x:f>
      </x:c>
      <x:c r="R159" s="32" t="e">
        <x:f>IF(A159&lt;=Dashboard!$F$17,MAX(0,P159-Q159)*Dashboard!$F$6,0)</x:f>
      </x:c>
      <x:c r="S159" s="32" t="e">
        <x:f>IF(A159&lt;=Dashboard!$F$17,MIN(Dashboard!$F$10,MAX(0,P159-Q159)+R159),0)</x:f>
      </x:c>
      <x:c r="T159" s="32" t="e">
        <x:f>IF(A159&lt;=Dashboard!$F$17,MAX(0,P159-Q159-MAX(0,S159-R159)),0)</x:f>
      </x:c>
      <x:c r="U159" s="32" t="e">
        <x:f>IF(A159=1,R159,U158+R159)</x:f>
      </x:c>
      <x:c r="V159" s="32"/>
      <x:c r="W159" s="32" t="e">
        <x:f>IF(A159=1,Dashboard!$F$14,AA158)</x:f>
      </x:c>
      <x:c r="X159" s="32" t="e">
        <x:f>IF(AND(A159&lt;=Dashboard!$F$17,MOD(A159-1,12)=0),MIN(W159,$B$7),0)</x:f>
      </x:c>
      <x:c r="Y159" s="32" t="e">
        <x:f>IF(A159&lt;=Dashboard!$F$17,MAX(0,W159-X159)*Dashboard!$F$6,0)</x:f>
      </x:c>
      <x:c r="Z159" s="32" t="e">
        <x:f>IF(A159&lt;=Dashboard!$F$17,MIN(Dashboard!$F$10,MAX(0,W159-X159)+Y159),0)</x:f>
      </x:c>
      <x:c r="AA159" s="32" t="e">
        <x:f>IF(A159&lt;=Dashboard!$F$17,MAX(0,W159-X159-MAX(0,Z159-Y159)),0)</x:f>
      </x:c>
      <x:c r="AB159" s="32" t="e">
        <x:f>IF(A159=1,Y159,AB158+Y159)</x:f>
      </x:c>
      <x:c r="AC159" s="32"/>
      <x:c r="AD159" s="32" t="e">
        <x:f>IF(A159=1,MAX(0,Dashboard!$F$14-$B$8),AG158)</x:f>
      </x:c>
      <x:c r="AE159" s="32" t="n">
        <x:f>0</x:f>
        <x:v>0</x:v>
      </x:c>
      <x:c r="AF159" s="32" t="e">
        <x:f>IF(A159&lt;=Dashboard!$F$17,AD159*Dashboard!$F$6,0)</x:f>
      </x:c>
      <x:c r="AG159" s="32" t="e">
        <x:f>IF(A159&lt;=Dashboard!$F$17,MIN(Dashboard!$F$10,AD159+AF159),0)</x:f>
      </x:c>
      <x:c r="AH159" s="32" t="e">
        <x:f>IF(A159&lt;=Dashboard!$F$17,MAX(0,AD159-MAX(0,AG159-AF159)),0)</x:f>
      </x:c>
      <x:c r="AI159" s="32" t="e">
        <x:f>IF(A159=1,AF159,AI158+AF159)</x:f>
      </x:c>
      <x:c r="AJ159" s="33"/>
      <x:c r="AK159" s="33"/>
      <x:c r="AL159" s="33"/>
      <x:c r="AM159" s="33"/>
    </x:row>
    <x:row r="160">
      <x:c r="A160" s="33" t="n">
        <x:v>148</x:v>
      </x:c>
      <x:c r="B160" s="32" t="e">
        <x:f>IF(A160=1,Dashboard!$F$14,F159)</x:f>
      </x:c>
      <x:c r="C160" s="32" t="n">
        <x:f>0</x:f>
        <x:v>0</x:v>
      </x:c>
      <x:c r="D160" s="32" t="e">
        <x:f>IF(A160&lt;=Dashboard!$F$15,B160*Dashboard!$F$6,0)</x:f>
      </x:c>
      <x:c r="E160" s="32" t="e">
        <x:f>IF(A160&lt;=Dashboard!$F$15,MIN(Dashboard!$F$10,B160+D160),0)</x:f>
      </x:c>
      <x:c r="F160" s="32" t="e">
        <x:f>IF(A160&lt;=Dashboard!$F$15,MAX(0,B160-MAX(0,E160-D160)),0)</x:f>
      </x:c>
      <x:c r="G160" s="32" t="e">
        <x:f>IF(A160=1,D160,G159+D160)</x:f>
      </x:c>
      <x:c r="H160" s="32"/>
      <x:c r="I160" s="32" t="e">
        <x:f>IF(A160=1,Dashboard!$F$14,M159)</x:f>
      </x:c>
      <x:c r="J160" s="32" t="e">
        <x:f>IF(A160&lt;=Dashboard!$F$17,MIN(I160,$B$5),0)</x:f>
      </x:c>
      <x:c r="K160" s="32" t="e">
        <x:f>IF(A160&lt;=Dashboard!$F$17,MAX(0,I160-J160)*Dashboard!$F$6,0)</x:f>
      </x:c>
      <x:c r="L160" s="32" t="e">
        <x:f>IF(A160&lt;=Dashboard!$F$17,MIN(Dashboard!$F$10,MAX(0,I160-J160)+K160),0)</x:f>
      </x:c>
      <x:c r="M160" s="32" t="e">
        <x:f>IF(A160&lt;=Dashboard!$F$17,MAX(0,I160-J160-MAX(0,L160-K160)),0)</x:f>
      </x:c>
      <x:c r="N160" s="32" t="e">
        <x:f>IF(A160=1,K160,N159+K160)</x:f>
      </x:c>
      <x:c r="O160" s="32"/>
      <x:c r="P160" s="32" t="e">
        <x:f>IF(A160=1,Dashboard!$F$14,T159)</x:f>
      </x:c>
      <x:c r="Q160" s="32" t="e">
        <x:f>IF(A160&lt;=Dashboard!$F$17,MIN(P160,$B$6*52/12),0)</x:f>
      </x:c>
      <x:c r="R160" s="32" t="e">
        <x:f>IF(A160&lt;=Dashboard!$F$17,MAX(0,P160-Q160)*Dashboard!$F$6,0)</x:f>
      </x:c>
      <x:c r="S160" s="32" t="e">
        <x:f>IF(A160&lt;=Dashboard!$F$17,MIN(Dashboard!$F$10,MAX(0,P160-Q160)+R160),0)</x:f>
      </x:c>
      <x:c r="T160" s="32" t="e">
        <x:f>IF(A160&lt;=Dashboard!$F$17,MAX(0,P160-Q160-MAX(0,S160-R160)),0)</x:f>
      </x:c>
      <x:c r="U160" s="32" t="e">
        <x:f>IF(A160=1,R160,U159+R160)</x:f>
      </x:c>
      <x:c r="V160" s="32"/>
      <x:c r="W160" s="32" t="e">
        <x:f>IF(A160=1,Dashboard!$F$14,AA159)</x:f>
      </x:c>
      <x:c r="X160" s="32" t="e">
        <x:f>IF(AND(A160&lt;=Dashboard!$F$17,MOD(A160-1,12)=0),MIN(W160,$B$7),0)</x:f>
      </x:c>
      <x:c r="Y160" s="32" t="e">
        <x:f>IF(A160&lt;=Dashboard!$F$17,MAX(0,W160-X160)*Dashboard!$F$6,0)</x:f>
      </x:c>
      <x:c r="Z160" s="32" t="e">
        <x:f>IF(A160&lt;=Dashboard!$F$17,MIN(Dashboard!$F$10,MAX(0,W160-X160)+Y160),0)</x:f>
      </x:c>
      <x:c r="AA160" s="32" t="e">
        <x:f>IF(A160&lt;=Dashboard!$F$17,MAX(0,W160-X160-MAX(0,Z160-Y160)),0)</x:f>
      </x:c>
      <x:c r="AB160" s="32" t="e">
        <x:f>IF(A160=1,Y160,AB159+Y160)</x:f>
      </x:c>
      <x:c r="AC160" s="32"/>
      <x:c r="AD160" s="32" t="e">
        <x:f>IF(A160=1,MAX(0,Dashboard!$F$14-$B$8),AG159)</x:f>
      </x:c>
      <x:c r="AE160" s="32" t="n">
        <x:f>0</x:f>
        <x:v>0</x:v>
      </x:c>
      <x:c r="AF160" s="32" t="e">
        <x:f>IF(A160&lt;=Dashboard!$F$17,AD160*Dashboard!$F$6,0)</x:f>
      </x:c>
      <x:c r="AG160" s="32" t="e">
        <x:f>IF(A160&lt;=Dashboard!$F$17,MIN(Dashboard!$F$10,AD160+AF160),0)</x:f>
      </x:c>
      <x:c r="AH160" s="32" t="e">
        <x:f>IF(A160&lt;=Dashboard!$F$17,MAX(0,AD160-MAX(0,AG160-AF160)),0)</x:f>
      </x:c>
      <x:c r="AI160" s="32" t="e">
        <x:f>IF(A160=1,AF160,AI159+AF160)</x:f>
      </x:c>
      <x:c r="AJ160" s="33"/>
      <x:c r="AK160" s="33"/>
      <x:c r="AL160" s="33"/>
      <x:c r="AM160" s="33"/>
    </x:row>
    <x:row r="161">
      <x:c r="A161" s="33" t="n">
        <x:v>149</x:v>
      </x:c>
      <x:c r="B161" s="32" t="e">
        <x:f>IF(A161=1,Dashboard!$F$14,F160)</x:f>
      </x:c>
      <x:c r="C161" s="32" t="n">
        <x:f>0</x:f>
        <x:v>0</x:v>
      </x:c>
      <x:c r="D161" s="32" t="e">
        <x:f>IF(A161&lt;=Dashboard!$F$15,B161*Dashboard!$F$6,0)</x:f>
      </x:c>
      <x:c r="E161" s="32" t="e">
        <x:f>IF(A161&lt;=Dashboard!$F$15,MIN(Dashboard!$F$10,B161+D161),0)</x:f>
      </x:c>
      <x:c r="F161" s="32" t="e">
        <x:f>IF(A161&lt;=Dashboard!$F$15,MAX(0,B161-MAX(0,E161-D161)),0)</x:f>
      </x:c>
      <x:c r="G161" s="32" t="e">
        <x:f>IF(A161=1,D161,G160+D161)</x:f>
      </x:c>
      <x:c r="H161" s="32"/>
      <x:c r="I161" s="32" t="e">
        <x:f>IF(A161=1,Dashboard!$F$14,M160)</x:f>
      </x:c>
      <x:c r="J161" s="32" t="e">
        <x:f>IF(A161&lt;=Dashboard!$F$17,MIN(I161,$B$5),0)</x:f>
      </x:c>
      <x:c r="K161" s="32" t="e">
        <x:f>IF(A161&lt;=Dashboard!$F$17,MAX(0,I161-J161)*Dashboard!$F$6,0)</x:f>
      </x:c>
      <x:c r="L161" s="32" t="e">
        <x:f>IF(A161&lt;=Dashboard!$F$17,MIN(Dashboard!$F$10,MAX(0,I161-J161)+K161),0)</x:f>
      </x:c>
      <x:c r="M161" s="32" t="e">
        <x:f>IF(A161&lt;=Dashboard!$F$17,MAX(0,I161-J161-MAX(0,L161-K161)),0)</x:f>
      </x:c>
      <x:c r="N161" s="32" t="e">
        <x:f>IF(A161=1,K161,N160+K161)</x:f>
      </x:c>
      <x:c r="O161" s="32"/>
      <x:c r="P161" s="32" t="e">
        <x:f>IF(A161=1,Dashboard!$F$14,T160)</x:f>
      </x:c>
      <x:c r="Q161" s="32" t="e">
        <x:f>IF(A161&lt;=Dashboard!$F$17,MIN(P161,$B$6*52/12),0)</x:f>
      </x:c>
      <x:c r="R161" s="32" t="e">
        <x:f>IF(A161&lt;=Dashboard!$F$17,MAX(0,P161-Q161)*Dashboard!$F$6,0)</x:f>
      </x:c>
      <x:c r="S161" s="32" t="e">
        <x:f>IF(A161&lt;=Dashboard!$F$17,MIN(Dashboard!$F$10,MAX(0,P161-Q161)+R161),0)</x:f>
      </x:c>
      <x:c r="T161" s="32" t="e">
        <x:f>IF(A161&lt;=Dashboard!$F$17,MAX(0,P161-Q161-MAX(0,S161-R161)),0)</x:f>
      </x:c>
      <x:c r="U161" s="32" t="e">
        <x:f>IF(A161=1,R161,U160+R161)</x:f>
      </x:c>
      <x:c r="V161" s="32"/>
      <x:c r="W161" s="32" t="e">
        <x:f>IF(A161=1,Dashboard!$F$14,AA160)</x:f>
      </x:c>
      <x:c r="X161" s="32" t="e">
        <x:f>IF(AND(A161&lt;=Dashboard!$F$17,MOD(A161-1,12)=0),MIN(W161,$B$7),0)</x:f>
      </x:c>
      <x:c r="Y161" s="32" t="e">
        <x:f>IF(A161&lt;=Dashboard!$F$17,MAX(0,W161-X161)*Dashboard!$F$6,0)</x:f>
      </x:c>
      <x:c r="Z161" s="32" t="e">
        <x:f>IF(A161&lt;=Dashboard!$F$17,MIN(Dashboard!$F$10,MAX(0,W161-X161)+Y161),0)</x:f>
      </x:c>
      <x:c r="AA161" s="32" t="e">
        <x:f>IF(A161&lt;=Dashboard!$F$17,MAX(0,W161-X161-MAX(0,Z161-Y161)),0)</x:f>
      </x:c>
      <x:c r="AB161" s="32" t="e">
        <x:f>IF(A161=1,Y161,AB160+Y161)</x:f>
      </x:c>
      <x:c r="AC161" s="32"/>
      <x:c r="AD161" s="32" t="e">
        <x:f>IF(A161=1,MAX(0,Dashboard!$F$14-$B$8),AG160)</x:f>
      </x:c>
      <x:c r="AE161" s="32" t="n">
        <x:f>0</x:f>
        <x:v>0</x:v>
      </x:c>
      <x:c r="AF161" s="32" t="e">
        <x:f>IF(A161&lt;=Dashboard!$F$17,AD161*Dashboard!$F$6,0)</x:f>
      </x:c>
      <x:c r="AG161" s="32" t="e">
        <x:f>IF(A161&lt;=Dashboard!$F$17,MIN(Dashboard!$F$10,AD161+AF161),0)</x:f>
      </x:c>
      <x:c r="AH161" s="32" t="e">
        <x:f>IF(A161&lt;=Dashboard!$F$17,MAX(0,AD161-MAX(0,AG161-AF161)),0)</x:f>
      </x:c>
      <x:c r="AI161" s="32" t="e">
        <x:f>IF(A161=1,AF161,AI160+AF161)</x:f>
      </x:c>
      <x:c r="AJ161" s="33"/>
      <x:c r="AK161" s="33"/>
      <x:c r="AL161" s="33"/>
      <x:c r="AM161" s="33"/>
    </x:row>
    <x:row r="162">
      <x:c r="A162" s="33" t="n">
        <x:v>150</x:v>
      </x:c>
      <x:c r="B162" s="32" t="e">
        <x:f>IF(A162=1,Dashboard!$F$14,F161)</x:f>
      </x:c>
      <x:c r="C162" s="32" t="n">
        <x:f>0</x:f>
        <x:v>0</x:v>
      </x:c>
      <x:c r="D162" s="32" t="e">
        <x:f>IF(A162&lt;=Dashboard!$F$15,B162*Dashboard!$F$6,0)</x:f>
      </x:c>
      <x:c r="E162" s="32" t="e">
        <x:f>IF(A162&lt;=Dashboard!$F$15,MIN(Dashboard!$F$10,B162+D162),0)</x:f>
      </x:c>
      <x:c r="F162" s="32" t="e">
        <x:f>IF(A162&lt;=Dashboard!$F$15,MAX(0,B162-MAX(0,E162-D162)),0)</x:f>
      </x:c>
      <x:c r="G162" s="32" t="e">
        <x:f>IF(A162=1,D162,G161+D162)</x:f>
      </x:c>
      <x:c r="H162" s="32"/>
      <x:c r="I162" s="32" t="e">
        <x:f>IF(A162=1,Dashboard!$F$14,M161)</x:f>
      </x:c>
      <x:c r="J162" s="32" t="e">
        <x:f>IF(A162&lt;=Dashboard!$F$17,MIN(I162,$B$5),0)</x:f>
      </x:c>
      <x:c r="K162" s="32" t="e">
        <x:f>IF(A162&lt;=Dashboard!$F$17,MAX(0,I162-J162)*Dashboard!$F$6,0)</x:f>
      </x:c>
      <x:c r="L162" s="32" t="e">
        <x:f>IF(A162&lt;=Dashboard!$F$17,MIN(Dashboard!$F$10,MAX(0,I162-J162)+K162),0)</x:f>
      </x:c>
      <x:c r="M162" s="32" t="e">
        <x:f>IF(A162&lt;=Dashboard!$F$17,MAX(0,I162-J162-MAX(0,L162-K162)),0)</x:f>
      </x:c>
      <x:c r="N162" s="32" t="e">
        <x:f>IF(A162=1,K162,N161+K162)</x:f>
      </x:c>
      <x:c r="O162" s="32"/>
      <x:c r="P162" s="32" t="e">
        <x:f>IF(A162=1,Dashboard!$F$14,T161)</x:f>
      </x:c>
      <x:c r="Q162" s="32" t="e">
        <x:f>IF(A162&lt;=Dashboard!$F$17,MIN(P162,$B$6*52/12),0)</x:f>
      </x:c>
      <x:c r="R162" s="32" t="e">
        <x:f>IF(A162&lt;=Dashboard!$F$17,MAX(0,P162-Q162)*Dashboard!$F$6,0)</x:f>
      </x:c>
      <x:c r="S162" s="32" t="e">
        <x:f>IF(A162&lt;=Dashboard!$F$17,MIN(Dashboard!$F$10,MAX(0,P162-Q162)+R162),0)</x:f>
      </x:c>
      <x:c r="T162" s="32" t="e">
        <x:f>IF(A162&lt;=Dashboard!$F$17,MAX(0,P162-Q162-MAX(0,S162-R162)),0)</x:f>
      </x:c>
      <x:c r="U162" s="32" t="e">
        <x:f>IF(A162=1,R162,U161+R162)</x:f>
      </x:c>
      <x:c r="V162" s="32"/>
      <x:c r="W162" s="32" t="e">
        <x:f>IF(A162=1,Dashboard!$F$14,AA161)</x:f>
      </x:c>
      <x:c r="X162" s="32" t="e">
        <x:f>IF(AND(A162&lt;=Dashboard!$F$17,MOD(A162-1,12)=0),MIN(W162,$B$7),0)</x:f>
      </x:c>
      <x:c r="Y162" s="32" t="e">
        <x:f>IF(A162&lt;=Dashboard!$F$17,MAX(0,W162-X162)*Dashboard!$F$6,0)</x:f>
      </x:c>
      <x:c r="Z162" s="32" t="e">
        <x:f>IF(A162&lt;=Dashboard!$F$17,MIN(Dashboard!$F$10,MAX(0,W162-X162)+Y162),0)</x:f>
      </x:c>
      <x:c r="AA162" s="32" t="e">
        <x:f>IF(A162&lt;=Dashboard!$F$17,MAX(0,W162-X162-MAX(0,Z162-Y162)),0)</x:f>
      </x:c>
      <x:c r="AB162" s="32" t="e">
        <x:f>IF(A162=1,Y162,AB161+Y162)</x:f>
      </x:c>
      <x:c r="AC162" s="32"/>
      <x:c r="AD162" s="32" t="e">
        <x:f>IF(A162=1,MAX(0,Dashboard!$F$14-$B$8),AG161)</x:f>
      </x:c>
      <x:c r="AE162" s="32" t="n">
        <x:f>0</x:f>
        <x:v>0</x:v>
      </x:c>
      <x:c r="AF162" s="32" t="e">
        <x:f>IF(A162&lt;=Dashboard!$F$17,AD162*Dashboard!$F$6,0)</x:f>
      </x:c>
      <x:c r="AG162" s="32" t="e">
        <x:f>IF(A162&lt;=Dashboard!$F$17,MIN(Dashboard!$F$10,AD162+AF162),0)</x:f>
      </x:c>
      <x:c r="AH162" s="32" t="e">
        <x:f>IF(A162&lt;=Dashboard!$F$17,MAX(0,AD162-MAX(0,AG162-AF162)),0)</x:f>
      </x:c>
      <x:c r="AI162" s="32" t="e">
        <x:f>IF(A162=1,AF162,AI161+AF162)</x:f>
      </x:c>
      <x:c r="AJ162" s="33"/>
      <x:c r="AK162" s="33"/>
      <x:c r="AL162" s="33"/>
      <x:c r="AM162" s="33"/>
    </x:row>
    <x:row r="163">
      <x:c r="A163" s="33" t="n">
        <x:v>151</x:v>
      </x:c>
      <x:c r="B163" s="32" t="e">
        <x:f>IF(A163=1,Dashboard!$F$14,F162)</x:f>
      </x:c>
      <x:c r="C163" s="32" t="n">
        <x:f>0</x:f>
        <x:v>0</x:v>
      </x:c>
      <x:c r="D163" s="32" t="e">
        <x:f>IF(A163&lt;=Dashboard!$F$15,B163*Dashboard!$F$6,0)</x:f>
      </x:c>
      <x:c r="E163" s="32" t="e">
        <x:f>IF(A163&lt;=Dashboard!$F$15,MIN(Dashboard!$F$10,B163+D163),0)</x:f>
      </x:c>
      <x:c r="F163" s="32" t="e">
        <x:f>IF(A163&lt;=Dashboard!$F$15,MAX(0,B163-MAX(0,E163-D163)),0)</x:f>
      </x:c>
      <x:c r="G163" s="32" t="e">
        <x:f>IF(A163=1,D163,G162+D163)</x:f>
      </x:c>
      <x:c r="H163" s="32"/>
      <x:c r="I163" s="32" t="e">
        <x:f>IF(A163=1,Dashboard!$F$14,M162)</x:f>
      </x:c>
      <x:c r="J163" s="32" t="e">
        <x:f>IF(A163&lt;=Dashboard!$F$17,MIN(I163,$B$5),0)</x:f>
      </x:c>
      <x:c r="K163" s="32" t="e">
        <x:f>IF(A163&lt;=Dashboard!$F$17,MAX(0,I163-J163)*Dashboard!$F$6,0)</x:f>
      </x:c>
      <x:c r="L163" s="32" t="e">
        <x:f>IF(A163&lt;=Dashboard!$F$17,MIN(Dashboard!$F$10,MAX(0,I163-J163)+K163),0)</x:f>
      </x:c>
      <x:c r="M163" s="32" t="e">
        <x:f>IF(A163&lt;=Dashboard!$F$17,MAX(0,I163-J163-MAX(0,L163-K163)),0)</x:f>
      </x:c>
      <x:c r="N163" s="32" t="e">
        <x:f>IF(A163=1,K163,N162+K163)</x:f>
      </x:c>
      <x:c r="O163" s="32"/>
      <x:c r="P163" s="32" t="e">
        <x:f>IF(A163=1,Dashboard!$F$14,T162)</x:f>
      </x:c>
      <x:c r="Q163" s="32" t="e">
        <x:f>IF(A163&lt;=Dashboard!$F$17,MIN(P163,$B$6*52/12),0)</x:f>
      </x:c>
      <x:c r="R163" s="32" t="e">
        <x:f>IF(A163&lt;=Dashboard!$F$17,MAX(0,P163-Q163)*Dashboard!$F$6,0)</x:f>
      </x:c>
      <x:c r="S163" s="32" t="e">
        <x:f>IF(A163&lt;=Dashboard!$F$17,MIN(Dashboard!$F$10,MAX(0,P163-Q163)+R163),0)</x:f>
      </x:c>
      <x:c r="T163" s="32" t="e">
        <x:f>IF(A163&lt;=Dashboard!$F$17,MAX(0,P163-Q163-MAX(0,S163-R163)),0)</x:f>
      </x:c>
      <x:c r="U163" s="32" t="e">
        <x:f>IF(A163=1,R163,U162+R163)</x:f>
      </x:c>
      <x:c r="V163" s="32"/>
      <x:c r="W163" s="32" t="e">
        <x:f>IF(A163=1,Dashboard!$F$14,AA162)</x:f>
      </x:c>
      <x:c r="X163" s="32" t="e">
        <x:f>IF(AND(A163&lt;=Dashboard!$F$17,MOD(A163-1,12)=0),MIN(W163,$B$7),0)</x:f>
      </x:c>
      <x:c r="Y163" s="32" t="e">
        <x:f>IF(A163&lt;=Dashboard!$F$17,MAX(0,W163-X163)*Dashboard!$F$6,0)</x:f>
      </x:c>
      <x:c r="Z163" s="32" t="e">
        <x:f>IF(A163&lt;=Dashboard!$F$17,MIN(Dashboard!$F$10,MAX(0,W163-X163)+Y163),0)</x:f>
      </x:c>
      <x:c r="AA163" s="32" t="e">
        <x:f>IF(A163&lt;=Dashboard!$F$17,MAX(0,W163-X163-MAX(0,Z163-Y163)),0)</x:f>
      </x:c>
      <x:c r="AB163" s="32" t="e">
        <x:f>IF(A163=1,Y163,AB162+Y163)</x:f>
      </x:c>
      <x:c r="AC163" s="32"/>
      <x:c r="AD163" s="32" t="e">
        <x:f>IF(A163=1,MAX(0,Dashboard!$F$14-$B$8),AG162)</x:f>
      </x:c>
      <x:c r="AE163" s="32" t="n">
        <x:f>0</x:f>
        <x:v>0</x:v>
      </x:c>
      <x:c r="AF163" s="32" t="e">
        <x:f>IF(A163&lt;=Dashboard!$F$17,AD163*Dashboard!$F$6,0)</x:f>
      </x:c>
      <x:c r="AG163" s="32" t="e">
        <x:f>IF(A163&lt;=Dashboard!$F$17,MIN(Dashboard!$F$10,AD163+AF163),0)</x:f>
      </x:c>
      <x:c r="AH163" s="32" t="e">
        <x:f>IF(A163&lt;=Dashboard!$F$17,MAX(0,AD163-MAX(0,AG163-AF163)),0)</x:f>
      </x:c>
      <x:c r="AI163" s="32" t="e">
        <x:f>IF(A163=1,AF163,AI162+AF163)</x:f>
      </x:c>
      <x:c r="AJ163" s="33"/>
      <x:c r="AK163" s="33"/>
      <x:c r="AL163" s="33"/>
      <x:c r="AM163" s="33"/>
    </x:row>
    <x:row r="164">
      <x:c r="A164" s="33" t="n">
        <x:v>152</x:v>
      </x:c>
      <x:c r="B164" s="32" t="e">
        <x:f>IF(A164=1,Dashboard!$F$14,F163)</x:f>
      </x:c>
      <x:c r="C164" s="32" t="n">
        <x:f>0</x:f>
        <x:v>0</x:v>
      </x:c>
      <x:c r="D164" s="32" t="e">
        <x:f>IF(A164&lt;=Dashboard!$F$15,B164*Dashboard!$F$6,0)</x:f>
      </x:c>
      <x:c r="E164" s="32" t="e">
        <x:f>IF(A164&lt;=Dashboard!$F$15,MIN(Dashboard!$F$10,B164+D164),0)</x:f>
      </x:c>
      <x:c r="F164" s="32" t="e">
        <x:f>IF(A164&lt;=Dashboard!$F$15,MAX(0,B164-MAX(0,E164-D164)),0)</x:f>
      </x:c>
      <x:c r="G164" s="32" t="e">
        <x:f>IF(A164=1,D164,G163+D164)</x:f>
      </x:c>
      <x:c r="H164" s="32"/>
      <x:c r="I164" s="32" t="e">
        <x:f>IF(A164=1,Dashboard!$F$14,M163)</x:f>
      </x:c>
      <x:c r="J164" s="32" t="e">
        <x:f>IF(A164&lt;=Dashboard!$F$17,MIN(I164,$B$5),0)</x:f>
      </x:c>
      <x:c r="K164" s="32" t="e">
        <x:f>IF(A164&lt;=Dashboard!$F$17,MAX(0,I164-J164)*Dashboard!$F$6,0)</x:f>
      </x:c>
      <x:c r="L164" s="32" t="e">
        <x:f>IF(A164&lt;=Dashboard!$F$17,MIN(Dashboard!$F$10,MAX(0,I164-J164)+K164),0)</x:f>
      </x:c>
      <x:c r="M164" s="32" t="e">
        <x:f>IF(A164&lt;=Dashboard!$F$17,MAX(0,I164-J164-MAX(0,L164-K164)),0)</x:f>
      </x:c>
      <x:c r="N164" s="32" t="e">
        <x:f>IF(A164=1,K164,N163+K164)</x:f>
      </x:c>
      <x:c r="O164" s="32"/>
      <x:c r="P164" s="32" t="e">
        <x:f>IF(A164=1,Dashboard!$F$14,T163)</x:f>
      </x:c>
      <x:c r="Q164" s="32" t="e">
        <x:f>IF(A164&lt;=Dashboard!$F$17,MIN(P164,$B$6*52/12),0)</x:f>
      </x:c>
      <x:c r="R164" s="32" t="e">
        <x:f>IF(A164&lt;=Dashboard!$F$17,MAX(0,P164-Q164)*Dashboard!$F$6,0)</x:f>
      </x:c>
      <x:c r="S164" s="32" t="e">
        <x:f>IF(A164&lt;=Dashboard!$F$17,MIN(Dashboard!$F$10,MAX(0,P164-Q164)+R164),0)</x:f>
      </x:c>
      <x:c r="T164" s="32" t="e">
        <x:f>IF(A164&lt;=Dashboard!$F$17,MAX(0,P164-Q164-MAX(0,S164-R164)),0)</x:f>
      </x:c>
      <x:c r="U164" s="32" t="e">
        <x:f>IF(A164=1,R164,U163+R164)</x:f>
      </x:c>
      <x:c r="V164" s="32"/>
      <x:c r="W164" s="32" t="e">
        <x:f>IF(A164=1,Dashboard!$F$14,AA163)</x:f>
      </x:c>
      <x:c r="X164" s="32" t="e">
        <x:f>IF(AND(A164&lt;=Dashboard!$F$17,MOD(A164-1,12)=0),MIN(W164,$B$7),0)</x:f>
      </x:c>
      <x:c r="Y164" s="32" t="e">
        <x:f>IF(A164&lt;=Dashboard!$F$17,MAX(0,W164-X164)*Dashboard!$F$6,0)</x:f>
      </x:c>
      <x:c r="Z164" s="32" t="e">
        <x:f>IF(A164&lt;=Dashboard!$F$17,MIN(Dashboard!$F$10,MAX(0,W164-X164)+Y164),0)</x:f>
      </x:c>
      <x:c r="AA164" s="32" t="e">
        <x:f>IF(A164&lt;=Dashboard!$F$17,MAX(0,W164-X164-MAX(0,Z164-Y164)),0)</x:f>
      </x:c>
      <x:c r="AB164" s="32" t="e">
        <x:f>IF(A164=1,Y164,AB163+Y164)</x:f>
      </x:c>
      <x:c r="AC164" s="32"/>
      <x:c r="AD164" s="32" t="e">
        <x:f>IF(A164=1,MAX(0,Dashboard!$F$14-$B$8),AG163)</x:f>
      </x:c>
      <x:c r="AE164" s="32" t="n">
        <x:f>0</x:f>
        <x:v>0</x:v>
      </x:c>
      <x:c r="AF164" s="32" t="e">
        <x:f>IF(A164&lt;=Dashboard!$F$17,AD164*Dashboard!$F$6,0)</x:f>
      </x:c>
      <x:c r="AG164" s="32" t="e">
        <x:f>IF(A164&lt;=Dashboard!$F$17,MIN(Dashboard!$F$10,AD164+AF164),0)</x:f>
      </x:c>
      <x:c r="AH164" s="32" t="e">
        <x:f>IF(A164&lt;=Dashboard!$F$17,MAX(0,AD164-MAX(0,AG164-AF164)),0)</x:f>
      </x:c>
      <x:c r="AI164" s="32" t="e">
        <x:f>IF(A164=1,AF164,AI163+AF164)</x:f>
      </x:c>
      <x:c r="AJ164" s="33"/>
      <x:c r="AK164" s="33"/>
      <x:c r="AL164" s="33"/>
      <x:c r="AM164" s="33"/>
    </x:row>
    <x:row r="165">
      <x:c r="A165" s="33" t="n">
        <x:v>153</x:v>
      </x:c>
      <x:c r="B165" s="32" t="e">
        <x:f>IF(A165=1,Dashboard!$F$14,F164)</x:f>
      </x:c>
      <x:c r="C165" s="32" t="n">
        <x:f>0</x:f>
        <x:v>0</x:v>
      </x:c>
      <x:c r="D165" s="32" t="e">
        <x:f>IF(A165&lt;=Dashboard!$F$15,B165*Dashboard!$F$6,0)</x:f>
      </x:c>
      <x:c r="E165" s="32" t="e">
        <x:f>IF(A165&lt;=Dashboard!$F$15,MIN(Dashboard!$F$10,B165+D165),0)</x:f>
      </x:c>
      <x:c r="F165" s="32" t="e">
        <x:f>IF(A165&lt;=Dashboard!$F$15,MAX(0,B165-MAX(0,E165-D165)),0)</x:f>
      </x:c>
      <x:c r="G165" s="32" t="e">
        <x:f>IF(A165=1,D165,G164+D165)</x:f>
      </x:c>
      <x:c r="H165" s="32"/>
      <x:c r="I165" s="32" t="e">
        <x:f>IF(A165=1,Dashboard!$F$14,M164)</x:f>
      </x:c>
      <x:c r="J165" s="32" t="e">
        <x:f>IF(A165&lt;=Dashboard!$F$17,MIN(I165,$B$5),0)</x:f>
      </x:c>
      <x:c r="K165" s="32" t="e">
        <x:f>IF(A165&lt;=Dashboard!$F$17,MAX(0,I165-J165)*Dashboard!$F$6,0)</x:f>
      </x:c>
      <x:c r="L165" s="32" t="e">
        <x:f>IF(A165&lt;=Dashboard!$F$17,MIN(Dashboard!$F$10,MAX(0,I165-J165)+K165),0)</x:f>
      </x:c>
      <x:c r="M165" s="32" t="e">
        <x:f>IF(A165&lt;=Dashboard!$F$17,MAX(0,I165-J165-MAX(0,L165-K165)),0)</x:f>
      </x:c>
      <x:c r="N165" s="32" t="e">
        <x:f>IF(A165=1,K165,N164+K165)</x:f>
      </x:c>
      <x:c r="O165" s="32"/>
      <x:c r="P165" s="32" t="e">
        <x:f>IF(A165=1,Dashboard!$F$14,T164)</x:f>
      </x:c>
      <x:c r="Q165" s="32" t="e">
        <x:f>IF(A165&lt;=Dashboard!$F$17,MIN(P165,$B$6*52/12),0)</x:f>
      </x:c>
      <x:c r="R165" s="32" t="e">
        <x:f>IF(A165&lt;=Dashboard!$F$17,MAX(0,P165-Q165)*Dashboard!$F$6,0)</x:f>
      </x:c>
      <x:c r="S165" s="32" t="e">
        <x:f>IF(A165&lt;=Dashboard!$F$17,MIN(Dashboard!$F$10,MAX(0,P165-Q165)+R165),0)</x:f>
      </x:c>
      <x:c r="T165" s="32" t="e">
        <x:f>IF(A165&lt;=Dashboard!$F$17,MAX(0,P165-Q165-MAX(0,S165-R165)),0)</x:f>
      </x:c>
      <x:c r="U165" s="32" t="e">
        <x:f>IF(A165=1,R165,U164+R165)</x:f>
      </x:c>
      <x:c r="V165" s="32"/>
      <x:c r="W165" s="32" t="e">
        <x:f>IF(A165=1,Dashboard!$F$14,AA164)</x:f>
      </x:c>
      <x:c r="X165" s="32" t="e">
        <x:f>IF(AND(A165&lt;=Dashboard!$F$17,MOD(A165-1,12)=0),MIN(W165,$B$7),0)</x:f>
      </x:c>
      <x:c r="Y165" s="32" t="e">
        <x:f>IF(A165&lt;=Dashboard!$F$17,MAX(0,W165-X165)*Dashboard!$F$6,0)</x:f>
      </x:c>
      <x:c r="Z165" s="32" t="e">
        <x:f>IF(A165&lt;=Dashboard!$F$17,MIN(Dashboard!$F$10,MAX(0,W165-X165)+Y165),0)</x:f>
      </x:c>
      <x:c r="AA165" s="32" t="e">
        <x:f>IF(A165&lt;=Dashboard!$F$17,MAX(0,W165-X165-MAX(0,Z165-Y165)),0)</x:f>
      </x:c>
      <x:c r="AB165" s="32" t="e">
        <x:f>IF(A165=1,Y165,AB164+Y165)</x:f>
      </x:c>
      <x:c r="AC165" s="32"/>
      <x:c r="AD165" s="32" t="e">
        <x:f>IF(A165=1,MAX(0,Dashboard!$F$14-$B$8),AG164)</x:f>
      </x:c>
      <x:c r="AE165" s="32" t="n">
        <x:f>0</x:f>
        <x:v>0</x:v>
      </x:c>
      <x:c r="AF165" s="32" t="e">
        <x:f>IF(A165&lt;=Dashboard!$F$17,AD165*Dashboard!$F$6,0)</x:f>
      </x:c>
      <x:c r="AG165" s="32" t="e">
        <x:f>IF(A165&lt;=Dashboard!$F$17,MIN(Dashboard!$F$10,AD165+AF165),0)</x:f>
      </x:c>
      <x:c r="AH165" s="32" t="e">
        <x:f>IF(A165&lt;=Dashboard!$F$17,MAX(0,AD165-MAX(0,AG165-AF165)),0)</x:f>
      </x:c>
      <x:c r="AI165" s="32" t="e">
        <x:f>IF(A165=1,AF165,AI164+AF165)</x:f>
      </x:c>
      <x:c r="AJ165" s="33"/>
      <x:c r="AK165" s="33"/>
      <x:c r="AL165" s="33"/>
      <x:c r="AM165" s="33"/>
    </x:row>
    <x:row r="166">
      <x:c r="A166" s="33" t="n">
        <x:v>154</x:v>
      </x:c>
      <x:c r="B166" s="32" t="e">
        <x:f>IF(A166=1,Dashboard!$F$14,F165)</x:f>
      </x:c>
      <x:c r="C166" s="32" t="n">
        <x:f>0</x:f>
        <x:v>0</x:v>
      </x:c>
      <x:c r="D166" s="32" t="e">
        <x:f>IF(A166&lt;=Dashboard!$F$15,B166*Dashboard!$F$6,0)</x:f>
      </x:c>
      <x:c r="E166" s="32" t="e">
        <x:f>IF(A166&lt;=Dashboard!$F$15,MIN(Dashboard!$F$10,B166+D166),0)</x:f>
      </x:c>
      <x:c r="F166" s="32" t="e">
        <x:f>IF(A166&lt;=Dashboard!$F$15,MAX(0,B166-MAX(0,E166-D166)),0)</x:f>
      </x:c>
      <x:c r="G166" s="32" t="e">
        <x:f>IF(A166=1,D166,G165+D166)</x:f>
      </x:c>
      <x:c r="H166" s="32"/>
      <x:c r="I166" s="32" t="e">
        <x:f>IF(A166=1,Dashboard!$F$14,M165)</x:f>
      </x:c>
      <x:c r="J166" s="32" t="e">
        <x:f>IF(A166&lt;=Dashboard!$F$17,MIN(I166,$B$5),0)</x:f>
      </x:c>
      <x:c r="K166" s="32" t="e">
        <x:f>IF(A166&lt;=Dashboard!$F$17,MAX(0,I166-J166)*Dashboard!$F$6,0)</x:f>
      </x:c>
      <x:c r="L166" s="32" t="e">
        <x:f>IF(A166&lt;=Dashboard!$F$17,MIN(Dashboard!$F$10,MAX(0,I166-J166)+K166),0)</x:f>
      </x:c>
      <x:c r="M166" s="32" t="e">
        <x:f>IF(A166&lt;=Dashboard!$F$17,MAX(0,I166-J166-MAX(0,L166-K166)),0)</x:f>
      </x:c>
      <x:c r="N166" s="32" t="e">
        <x:f>IF(A166=1,K166,N165+K166)</x:f>
      </x:c>
      <x:c r="O166" s="32"/>
      <x:c r="P166" s="32" t="e">
        <x:f>IF(A166=1,Dashboard!$F$14,T165)</x:f>
      </x:c>
      <x:c r="Q166" s="32" t="e">
        <x:f>IF(A166&lt;=Dashboard!$F$17,MIN(P166,$B$6*52/12),0)</x:f>
      </x:c>
      <x:c r="R166" s="32" t="e">
        <x:f>IF(A166&lt;=Dashboard!$F$17,MAX(0,P166-Q166)*Dashboard!$F$6,0)</x:f>
      </x:c>
      <x:c r="S166" s="32" t="e">
        <x:f>IF(A166&lt;=Dashboard!$F$17,MIN(Dashboard!$F$10,MAX(0,P166-Q166)+R166),0)</x:f>
      </x:c>
      <x:c r="T166" s="32" t="e">
        <x:f>IF(A166&lt;=Dashboard!$F$17,MAX(0,P166-Q166-MAX(0,S166-R166)),0)</x:f>
      </x:c>
      <x:c r="U166" s="32" t="e">
        <x:f>IF(A166=1,R166,U165+R166)</x:f>
      </x:c>
      <x:c r="V166" s="32"/>
      <x:c r="W166" s="32" t="e">
        <x:f>IF(A166=1,Dashboard!$F$14,AA165)</x:f>
      </x:c>
      <x:c r="X166" s="32" t="e">
        <x:f>IF(AND(A166&lt;=Dashboard!$F$17,MOD(A166-1,12)=0),MIN(W166,$B$7),0)</x:f>
      </x:c>
      <x:c r="Y166" s="32" t="e">
        <x:f>IF(A166&lt;=Dashboard!$F$17,MAX(0,W166-X166)*Dashboard!$F$6,0)</x:f>
      </x:c>
      <x:c r="Z166" s="32" t="e">
        <x:f>IF(A166&lt;=Dashboard!$F$17,MIN(Dashboard!$F$10,MAX(0,W166-X166)+Y166),0)</x:f>
      </x:c>
      <x:c r="AA166" s="32" t="e">
        <x:f>IF(A166&lt;=Dashboard!$F$17,MAX(0,W166-X166-MAX(0,Z166-Y166)),0)</x:f>
      </x:c>
      <x:c r="AB166" s="32" t="e">
        <x:f>IF(A166=1,Y166,AB165+Y166)</x:f>
      </x:c>
      <x:c r="AC166" s="32"/>
      <x:c r="AD166" s="32" t="e">
        <x:f>IF(A166=1,MAX(0,Dashboard!$F$14-$B$8),AG165)</x:f>
      </x:c>
      <x:c r="AE166" s="32" t="n">
        <x:f>0</x:f>
        <x:v>0</x:v>
      </x:c>
      <x:c r="AF166" s="32" t="e">
        <x:f>IF(A166&lt;=Dashboard!$F$17,AD166*Dashboard!$F$6,0)</x:f>
      </x:c>
      <x:c r="AG166" s="32" t="e">
        <x:f>IF(A166&lt;=Dashboard!$F$17,MIN(Dashboard!$F$10,AD166+AF166),0)</x:f>
      </x:c>
      <x:c r="AH166" s="32" t="e">
        <x:f>IF(A166&lt;=Dashboard!$F$17,MAX(0,AD166-MAX(0,AG166-AF166)),0)</x:f>
      </x:c>
      <x:c r="AI166" s="32" t="e">
        <x:f>IF(A166=1,AF166,AI165+AF166)</x:f>
      </x:c>
      <x:c r="AJ166" s="33"/>
      <x:c r="AK166" s="33"/>
      <x:c r="AL166" s="33"/>
      <x:c r="AM166" s="33"/>
    </x:row>
    <x:row r="167">
      <x:c r="A167" s="33" t="n">
        <x:v>155</x:v>
      </x:c>
      <x:c r="B167" s="32" t="e">
        <x:f>IF(A167=1,Dashboard!$F$14,F166)</x:f>
      </x:c>
      <x:c r="C167" s="32" t="n">
        <x:f>0</x:f>
        <x:v>0</x:v>
      </x:c>
      <x:c r="D167" s="32" t="e">
        <x:f>IF(A167&lt;=Dashboard!$F$15,B167*Dashboard!$F$6,0)</x:f>
      </x:c>
      <x:c r="E167" s="32" t="e">
        <x:f>IF(A167&lt;=Dashboard!$F$15,MIN(Dashboard!$F$10,B167+D167),0)</x:f>
      </x:c>
      <x:c r="F167" s="32" t="e">
        <x:f>IF(A167&lt;=Dashboard!$F$15,MAX(0,B167-MAX(0,E167-D167)),0)</x:f>
      </x:c>
      <x:c r="G167" s="32" t="e">
        <x:f>IF(A167=1,D167,G166+D167)</x:f>
      </x:c>
      <x:c r="H167" s="32"/>
      <x:c r="I167" s="32" t="e">
        <x:f>IF(A167=1,Dashboard!$F$14,M166)</x:f>
      </x:c>
      <x:c r="J167" s="32" t="e">
        <x:f>IF(A167&lt;=Dashboard!$F$17,MIN(I167,$B$5),0)</x:f>
      </x:c>
      <x:c r="K167" s="32" t="e">
        <x:f>IF(A167&lt;=Dashboard!$F$17,MAX(0,I167-J167)*Dashboard!$F$6,0)</x:f>
      </x:c>
      <x:c r="L167" s="32" t="e">
        <x:f>IF(A167&lt;=Dashboard!$F$17,MIN(Dashboard!$F$10,MAX(0,I167-J167)+K167),0)</x:f>
      </x:c>
      <x:c r="M167" s="32" t="e">
        <x:f>IF(A167&lt;=Dashboard!$F$17,MAX(0,I167-J167-MAX(0,L167-K167)),0)</x:f>
      </x:c>
      <x:c r="N167" s="32" t="e">
        <x:f>IF(A167=1,K167,N166+K167)</x:f>
      </x:c>
      <x:c r="O167" s="32"/>
      <x:c r="P167" s="32" t="e">
        <x:f>IF(A167=1,Dashboard!$F$14,T166)</x:f>
      </x:c>
      <x:c r="Q167" s="32" t="e">
        <x:f>IF(A167&lt;=Dashboard!$F$17,MIN(P167,$B$6*52/12),0)</x:f>
      </x:c>
      <x:c r="R167" s="32" t="e">
        <x:f>IF(A167&lt;=Dashboard!$F$17,MAX(0,P167-Q167)*Dashboard!$F$6,0)</x:f>
      </x:c>
      <x:c r="S167" s="32" t="e">
        <x:f>IF(A167&lt;=Dashboard!$F$17,MIN(Dashboard!$F$10,MAX(0,P167-Q167)+R167),0)</x:f>
      </x:c>
      <x:c r="T167" s="32" t="e">
        <x:f>IF(A167&lt;=Dashboard!$F$17,MAX(0,P167-Q167-MAX(0,S167-R167)),0)</x:f>
      </x:c>
      <x:c r="U167" s="32" t="e">
        <x:f>IF(A167=1,R167,U166+R167)</x:f>
      </x:c>
      <x:c r="V167" s="32"/>
      <x:c r="W167" s="32" t="e">
        <x:f>IF(A167=1,Dashboard!$F$14,AA166)</x:f>
      </x:c>
      <x:c r="X167" s="32" t="e">
        <x:f>IF(AND(A167&lt;=Dashboard!$F$17,MOD(A167-1,12)=0),MIN(W167,$B$7),0)</x:f>
      </x:c>
      <x:c r="Y167" s="32" t="e">
        <x:f>IF(A167&lt;=Dashboard!$F$17,MAX(0,W167-X167)*Dashboard!$F$6,0)</x:f>
      </x:c>
      <x:c r="Z167" s="32" t="e">
        <x:f>IF(A167&lt;=Dashboard!$F$17,MIN(Dashboard!$F$10,MAX(0,W167-X167)+Y167),0)</x:f>
      </x:c>
      <x:c r="AA167" s="32" t="e">
        <x:f>IF(A167&lt;=Dashboard!$F$17,MAX(0,W167-X167-MAX(0,Z167-Y167)),0)</x:f>
      </x:c>
      <x:c r="AB167" s="32" t="e">
        <x:f>IF(A167=1,Y167,AB166+Y167)</x:f>
      </x:c>
      <x:c r="AC167" s="32"/>
      <x:c r="AD167" s="32" t="e">
        <x:f>IF(A167=1,MAX(0,Dashboard!$F$14-$B$8),AG166)</x:f>
      </x:c>
      <x:c r="AE167" s="32" t="n">
        <x:f>0</x:f>
        <x:v>0</x:v>
      </x:c>
      <x:c r="AF167" s="32" t="e">
        <x:f>IF(A167&lt;=Dashboard!$F$17,AD167*Dashboard!$F$6,0)</x:f>
      </x:c>
      <x:c r="AG167" s="32" t="e">
        <x:f>IF(A167&lt;=Dashboard!$F$17,MIN(Dashboard!$F$10,AD167+AF167),0)</x:f>
      </x:c>
      <x:c r="AH167" s="32" t="e">
        <x:f>IF(A167&lt;=Dashboard!$F$17,MAX(0,AD167-MAX(0,AG167-AF167)),0)</x:f>
      </x:c>
      <x:c r="AI167" s="32" t="e">
        <x:f>IF(A167=1,AF167,AI166+AF167)</x:f>
      </x:c>
      <x:c r="AJ167" s="33"/>
      <x:c r="AK167" s="33"/>
      <x:c r="AL167" s="33"/>
      <x:c r="AM167" s="33"/>
    </x:row>
    <x:row r="168">
      <x:c r="A168" s="33" t="n">
        <x:v>156</x:v>
      </x:c>
      <x:c r="B168" s="32" t="e">
        <x:f>IF(A168=1,Dashboard!$F$14,F167)</x:f>
      </x:c>
      <x:c r="C168" s="32" t="n">
        <x:f>0</x:f>
        <x:v>0</x:v>
      </x:c>
      <x:c r="D168" s="32" t="e">
        <x:f>IF(A168&lt;=Dashboard!$F$15,B168*Dashboard!$F$6,0)</x:f>
      </x:c>
      <x:c r="E168" s="32" t="e">
        <x:f>IF(A168&lt;=Dashboard!$F$15,MIN(Dashboard!$F$10,B168+D168),0)</x:f>
      </x:c>
      <x:c r="F168" s="32" t="e">
        <x:f>IF(A168&lt;=Dashboard!$F$15,MAX(0,B168-MAX(0,E168-D168)),0)</x:f>
      </x:c>
      <x:c r="G168" s="32" t="e">
        <x:f>IF(A168=1,D168,G167+D168)</x:f>
      </x:c>
      <x:c r="H168" s="32"/>
      <x:c r="I168" s="32" t="e">
        <x:f>IF(A168=1,Dashboard!$F$14,M167)</x:f>
      </x:c>
      <x:c r="J168" s="32" t="e">
        <x:f>IF(A168&lt;=Dashboard!$F$17,MIN(I168,$B$5),0)</x:f>
      </x:c>
      <x:c r="K168" s="32" t="e">
        <x:f>IF(A168&lt;=Dashboard!$F$17,MAX(0,I168-J168)*Dashboard!$F$6,0)</x:f>
      </x:c>
      <x:c r="L168" s="32" t="e">
        <x:f>IF(A168&lt;=Dashboard!$F$17,MIN(Dashboard!$F$10,MAX(0,I168-J168)+K168),0)</x:f>
      </x:c>
      <x:c r="M168" s="32" t="e">
        <x:f>IF(A168&lt;=Dashboard!$F$17,MAX(0,I168-J168-MAX(0,L168-K168)),0)</x:f>
      </x:c>
      <x:c r="N168" s="32" t="e">
        <x:f>IF(A168=1,K168,N167+K168)</x:f>
      </x:c>
      <x:c r="O168" s="32"/>
      <x:c r="P168" s="32" t="e">
        <x:f>IF(A168=1,Dashboard!$F$14,T167)</x:f>
      </x:c>
      <x:c r="Q168" s="32" t="e">
        <x:f>IF(A168&lt;=Dashboard!$F$17,MIN(P168,$B$6*52/12),0)</x:f>
      </x:c>
      <x:c r="R168" s="32" t="e">
        <x:f>IF(A168&lt;=Dashboard!$F$17,MAX(0,P168-Q168)*Dashboard!$F$6,0)</x:f>
      </x:c>
      <x:c r="S168" s="32" t="e">
        <x:f>IF(A168&lt;=Dashboard!$F$17,MIN(Dashboard!$F$10,MAX(0,P168-Q168)+R168),0)</x:f>
      </x:c>
      <x:c r="T168" s="32" t="e">
        <x:f>IF(A168&lt;=Dashboard!$F$17,MAX(0,P168-Q168-MAX(0,S168-R168)),0)</x:f>
      </x:c>
      <x:c r="U168" s="32" t="e">
        <x:f>IF(A168=1,R168,U167+R168)</x:f>
      </x:c>
      <x:c r="V168" s="32"/>
      <x:c r="W168" s="32" t="e">
        <x:f>IF(A168=1,Dashboard!$F$14,AA167)</x:f>
      </x:c>
      <x:c r="X168" s="32" t="e">
        <x:f>IF(AND(A168&lt;=Dashboard!$F$17,MOD(A168-1,12)=0),MIN(W168,$B$7),0)</x:f>
      </x:c>
      <x:c r="Y168" s="32" t="e">
        <x:f>IF(A168&lt;=Dashboard!$F$17,MAX(0,W168-X168)*Dashboard!$F$6,0)</x:f>
      </x:c>
      <x:c r="Z168" s="32" t="e">
        <x:f>IF(A168&lt;=Dashboard!$F$17,MIN(Dashboard!$F$10,MAX(0,W168-X168)+Y168),0)</x:f>
      </x:c>
      <x:c r="AA168" s="32" t="e">
        <x:f>IF(A168&lt;=Dashboard!$F$17,MAX(0,W168-X168-MAX(0,Z168-Y168)),0)</x:f>
      </x:c>
      <x:c r="AB168" s="32" t="e">
        <x:f>IF(A168=1,Y168,AB167+Y168)</x:f>
      </x:c>
      <x:c r="AC168" s="32"/>
      <x:c r="AD168" s="32" t="e">
        <x:f>IF(A168=1,MAX(0,Dashboard!$F$14-$B$8),AG167)</x:f>
      </x:c>
      <x:c r="AE168" s="32" t="n">
        <x:f>0</x:f>
        <x:v>0</x:v>
      </x:c>
      <x:c r="AF168" s="32" t="e">
        <x:f>IF(A168&lt;=Dashboard!$F$17,AD168*Dashboard!$F$6,0)</x:f>
      </x:c>
      <x:c r="AG168" s="32" t="e">
        <x:f>IF(A168&lt;=Dashboard!$F$17,MIN(Dashboard!$F$10,AD168+AF168),0)</x:f>
      </x:c>
      <x:c r="AH168" s="32" t="e">
        <x:f>IF(A168&lt;=Dashboard!$F$17,MAX(0,AD168-MAX(0,AG168-AF168)),0)</x:f>
      </x:c>
      <x:c r="AI168" s="32" t="e">
        <x:f>IF(A168=1,AF168,AI167+AF168)</x:f>
      </x:c>
      <x:c r="AJ168" s="33"/>
      <x:c r="AK168" s="33"/>
      <x:c r="AL168" s="33"/>
      <x:c r="AM168" s="33"/>
    </x:row>
    <x:row r="169">
      <x:c r="A169" s="33" t="n">
        <x:v>157</x:v>
      </x:c>
      <x:c r="B169" s="32" t="e">
        <x:f>IF(A169=1,Dashboard!$F$14,F168)</x:f>
      </x:c>
      <x:c r="C169" s="32" t="n">
        <x:f>0</x:f>
        <x:v>0</x:v>
      </x:c>
      <x:c r="D169" s="32" t="e">
        <x:f>IF(A169&lt;=Dashboard!$F$15,B169*Dashboard!$F$6,0)</x:f>
      </x:c>
      <x:c r="E169" s="32" t="e">
        <x:f>IF(A169&lt;=Dashboard!$F$15,MIN(Dashboard!$F$10,B169+D169),0)</x:f>
      </x:c>
      <x:c r="F169" s="32" t="e">
        <x:f>IF(A169&lt;=Dashboard!$F$15,MAX(0,B169-MAX(0,E169-D169)),0)</x:f>
      </x:c>
      <x:c r="G169" s="32" t="e">
        <x:f>IF(A169=1,D169,G168+D169)</x:f>
      </x:c>
      <x:c r="H169" s="32"/>
      <x:c r="I169" s="32" t="e">
        <x:f>IF(A169=1,Dashboard!$F$14,M168)</x:f>
      </x:c>
      <x:c r="J169" s="32" t="e">
        <x:f>IF(A169&lt;=Dashboard!$F$17,MIN(I169,$B$5),0)</x:f>
      </x:c>
      <x:c r="K169" s="32" t="e">
        <x:f>IF(A169&lt;=Dashboard!$F$17,MAX(0,I169-J169)*Dashboard!$F$6,0)</x:f>
      </x:c>
      <x:c r="L169" s="32" t="e">
        <x:f>IF(A169&lt;=Dashboard!$F$17,MIN(Dashboard!$F$10,MAX(0,I169-J169)+K169),0)</x:f>
      </x:c>
      <x:c r="M169" s="32" t="e">
        <x:f>IF(A169&lt;=Dashboard!$F$17,MAX(0,I169-J169-MAX(0,L169-K169)),0)</x:f>
      </x:c>
      <x:c r="N169" s="32" t="e">
        <x:f>IF(A169=1,K169,N168+K169)</x:f>
      </x:c>
      <x:c r="O169" s="32"/>
      <x:c r="P169" s="32" t="e">
        <x:f>IF(A169=1,Dashboard!$F$14,T168)</x:f>
      </x:c>
      <x:c r="Q169" s="32" t="e">
        <x:f>IF(A169&lt;=Dashboard!$F$17,MIN(P169,$B$6*52/12),0)</x:f>
      </x:c>
      <x:c r="R169" s="32" t="e">
        <x:f>IF(A169&lt;=Dashboard!$F$17,MAX(0,P169-Q169)*Dashboard!$F$6,0)</x:f>
      </x:c>
      <x:c r="S169" s="32" t="e">
        <x:f>IF(A169&lt;=Dashboard!$F$17,MIN(Dashboard!$F$10,MAX(0,P169-Q169)+R169),0)</x:f>
      </x:c>
      <x:c r="T169" s="32" t="e">
        <x:f>IF(A169&lt;=Dashboard!$F$17,MAX(0,P169-Q169-MAX(0,S169-R169)),0)</x:f>
      </x:c>
      <x:c r="U169" s="32" t="e">
        <x:f>IF(A169=1,R169,U168+R169)</x:f>
      </x:c>
      <x:c r="V169" s="32"/>
      <x:c r="W169" s="32" t="e">
        <x:f>IF(A169=1,Dashboard!$F$14,AA168)</x:f>
      </x:c>
      <x:c r="X169" s="32" t="e">
        <x:f>IF(AND(A169&lt;=Dashboard!$F$17,MOD(A169-1,12)=0),MIN(W169,$B$7),0)</x:f>
      </x:c>
      <x:c r="Y169" s="32" t="e">
        <x:f>IF(A169&lt;=Dashboard!$F$17,MAX(0,W169-X169)*Dashboard!$F$6,0)</x:f>
      </x:c>
      <x:c r="Z169" s="32" t="e">
        <x:f>IF(A169&lt;=Dashboard!$F$17,MIN(Dashboard!$F$10,MAX(0,W169-X169)+Y169),0)</x:f>
      </x:c>
      <x:c r="AA169" s="32" t="e">
        <x:f>IF(A169&lt;=Dashboard!$F$17,MAX(0,W169-X169-MAX(0,Z169-Y169)),0)</x:f>
      </x:c>
      <x:c r="AB169" s="32" t="e">
        <x:f>IF(A169=1,Y169,AB168+Y169)</x:f>
      </x:c>
      <x:c r="AC169" s="32"/>
      <x:c r="AD169" s="32" t="e">
        <x:f>IF(A169=1,MAX(0,Dashboard!$F$14-$B$8),AG168)</x:f>
      </x:c>
      <x:c r="AE169" s="32" t="n">
        <x:f>0</x:f>
        <x:v>0</x:v>
      </x:c>
      <x:c r="AF169" s="32" t="e">
        <x:f>IF(A169&lt;=Dashboard!$F$17,AD169*Dashboard!$F$6,0)</x:f>
      </x:c>
      <x:c r="AG169" s="32" t="e">
        <x:f>IF(A169&lt;=Dashboard!$F$17,MIN(Dashboard!$F$10,AD169+AF169),0)</x:f>
      </x:c>
      <x:c r="AH169" s="32" t="e">
        <x:f>IF(A169&lt;=Dashboard!$F$17,MAX(0,AD169-MAX(0,AG169-AF169)),0)</x:f>
      </x:c>
      <x:c r="AI169" s="32" t="e">
        <x:f>IF(A169=1,AF169,AI168+AF169)</x:f>
      </x:c>
      <x:c r="AJ169" s="33"/>
      <x:c r="AK169" s="33"/>
      <x:c r="AL169" s="33"/>
      <x:c r="AM169" s="33"/>
    </x:row>
    <x:row r="170">
      <x:c r="A170" s="33" t="n">
        <x:v>158</x:v>
      </x:c>
      <x:c r="B170" s="32" t="e">
        <x:f>IF(A170=1,Dashboard!$F$14,F169)</x:f>
      </x:c>
      <x:c r="C170" s="32" t="n">
        <x:f>0</x:f>
        <x:v>0</x:v>
      </x:c>
      <x:c r="D170" s="32" t="e">
        <x:f>IF(A170&lt;=Dashboard!$F$15,B170*Dashboard!$F$6,0)</x:f>
      </x:c>
      <x:c r="E170" s="32" t="e">
        <x:f>IF(A170&lt;=Dashboard!$F$15,MIN(Dashboard!$F$10,B170+D170),0)</x:f>
      </x:c>
      <x:c r="F170" s="32" t="e">
        <x:f>IF(A170&lt;=Dashboard!$F$15,MAX(0,B170-MAX(0,E170-D170)),0)</x:f>
      </x:c>
      <x:c r="G170" s="32" t="e">
        <x:f>IF(A170=1,D170,G169+D170)</x:f>
      </x:c>
      <x:c r="H170" s="32"/>
      <x:c r="I170" s="32" t="e">
        <x:f>IF(A170=1,Dashboard!$F$14,M169)</x:f>
      </x:c>
      <x:c r="J170" s="32" t="e">
        <x:f>IF(A170&lt;=Dashboard!$F$17,MIN(I170,$B$5),0)</x:f>
      </x:c>
      <x:c r="K170" s="32" t="e">
        <x:f>IF(A170&lt;=Dashboard!$F$17,MAX(0,I170-J170)*Dashboard!$F$6,0)</x:f>
      </x:c>
      <x:c r="L170" s="32" t="e">
        <x:f>IF(A170&lt;=Dashboard!$F$17,MIN(Dashboard!$F$10,MAX(0,I170-J170)+K170),0)</x:f>
      </x:c>
      <x:c r="M170" s="32" t="e">
        <x:f>IF(A170&lt;=Dashboard!$F$17,MAX(0,I170-J170-MAX(0,L170-K170)),0)</x:f>
      </x:c>
      <x:c r="N170" s="32" t="e">
        <x:f>IF(A170=1,K170,N169+K170)</x:f>
      </x:c>
      <x:c r="O170" s="32"/>
      <x:c r="P170" s="32" t="e">
        <x:f>IF(A170=1,Dashboard!$F$14,T169)</x:f>
      </x:c>
      <x:c r="Q170" s="32" t="e">
        <x:f>IF(A170&lt;=Dashboard!$F$17,MIN(P170,$B$6*52/12),0)</x:f>
      </x:c>
      <x:c r="R170" s="32" t="e">
        <x:f>IF(A170&lt;=Dashboard!$F$17,MAX(0,P170-Q170)*Dashboard!$F$6,0)</x:f>
      </x:c>
      <x:c r="S170" s="32" t="e">
        <x:f>IF(A170&lt;=Dashboard!$F$17,MIN(Dashboard!$F$10,MAX(0,P170-Q170)+R170),0)</x:f>
      </x:c>
      <x:c r="T170" s="32" t="e">
        <x:f>IF(A170&lt;=Dashboard!$F$17,MAX(0,P170-Q170-MAX(0,S170-R170)),0)</x:f>
      </x:c>
      <x:c r="U170" s="32" t="e">
        <x:f>IF(A170=1,R170,U169+R170)</x:f>
      </x:c>
      <x:c r="V170" s="32"/>
      <x:c r="W170" s="32" t="e">
        <x:f>IF(A170=1,Dashboard!$F$14,AA169)</x:f>
      </x:c>
      <x:c r="X170" s="32" t="e">
        <x:f>IF(AND(A170&lt;=Dashboard!$F$17,MOD(A170-1,12)=0),MIN(W170,$B$7),0)</x:f>
      </x:c>
      <x:c r="Y170" s="32" t="e">
        <x:f>IF(A170&lt;=Dashboard!$F$17,MAX(0,W170-X170)*Dashboard!$F$6,0)</x:f>
      </x:c>
      <x:c r="Z170" s="32" t="e">
        <x:f>IF(A170&lt;=Dashboard!$F$17,MIN(Dashboard!$F$10,MAX(0,W170-X170)+Y170),0)</x:f>
      </x:c>
      <x:c r="AA170" s="32" t="e">
        <x:f>IF(A170&lt;=Dashboard!$F$17,MAX(0,W170-X170-MAX(0,Z170-Y170)),0)</x:f>
      </x:c>
      <x:c r="AB170" s="32" t="e">
        <x:f>IF(A170=1,Y170,AB169+Y170)</x:f>
      </x:c>
      <x:c r="AC170" s="32"/>
      <x:c r="AD170" s="32" t="e">
        <x:f>IF(A170=1,MAX(0,Dashboard!$F$14-$B$8),AG169)</x:f>
      </x:c>
      <x:c r="AE170" s="32" t="n">
        <x:f>0</x:f>
        <x:v>0</x:v>
      </x:c>
      <x:c r="AF170" s="32" t="e">
        <x:f>IF(A170&lt;=Dashboard!$F$17,AD170*Dashboard!$F$6,0)</x:f>
      </x:c>
      <x:c r="AG170" s="32" t="e">
        <x:f>IF(A170&lt;=Dashboard!$F$17,MIN(Dashboard!$F$10,AD170+AF170),0)</x:f>
      </x:c>
      <x:c r="AH170" s="32" t="e">
        <x:f>IF(A170&lt;=Dashboard!$F$17,MAX(0,AD170-MAX(0,AG170-AF170)),0)</x:f>
      </x:c>
      <x:c r="AI170" s="32" t="e">
        <x:f>IF(A170=1,AF170,AI169+AF170)</x:f>
      </x:c>
      <x:c r="AJ170" s="33"/>
      <x:c r="AK170" s="33"/>
      <x:c r="AL170" s="33"/>
      <x:c r="AM170" s="33"/>
    </x:row>
    <x:row r="171">
      <x:c r="A171" s="33" t="n">
        <x:v>159</x:v>
      </x:c>
      <x:c r="B171" s="32" t="e">
        <x:f>IF(A171=1,Dashboard!$F$14,F170)</x:f>
      </x:c>
      <x:c r="C171" s="32" t="n">
        <x:f>0</x:f>
        <x:v>0</x:v>
      </x:c>
      <x:c r="D171" s="32" t="e">
        <x:f>IF(A171&lt;=Dashboard!$F$15,B171*Dashboard!$F$6,0)</x:f>
      </x:c>
      <x:c r="E171" s="32" t="e">
        <x:f>IF(A171&lt;=Dashboard!$F$15,MIN(Dashboard!$F$10,B171+D171),0)</x:f>
      </x:c>
      <x:c r="F171" s="32" t="e">
        <x:f>IF(A171&lt;=Dashboard!$F$15,MAX(0,B171-MAX(0,E171-D171)),0)</x:f>
      </x:c>
      <x:c r="G171" s="32" t="e">
        <x:f>IF(A171=1,D171,G170+D171)</x:f>
      </x:c>
      <x:c r="H171" s="32"/>
      <x:c r="I171" s="32" t="e">
        <x:f>IF(A171=1,Dashboard!$F$14,M170)</x:f>
      </x:c>
      <x:c r="J171" s="32" t="e">
        <x:f>IF(A171&lt;=Dashboard!$F$17,MIN(I171,$B$5),0)</x:f>
      </x:c>
      <x:c r="K171" s="32" t="e">
        <x:f>IF(A171&lt;=Dashboard!$F$17,MAX(0,I171-J171)*Dashboard!$F$6,0)</x:f>
      </x:c>
      <x:c r="L171" s="32" t="e">
        <x:f>IF(A171&lt;=Dashboard!$F$17,MIN(Dashboard!$F$10,MAX(0,I171-J171)+K171),0)</x:f>
      </x:c>
      <x:c r="M171" s="32" t="e">
        <x:f>IF(A171&lt;=Dashboard!$F$17,MAX(0,I171-J171-MAX(0,L171-K171)),0)</x:f>
      </x:c>
      <x:c r="N171" s="32" t="e">
        <x:f>IF(A171=1,K171,N170+K171)</x:f>
      </x:c>
      <x:c r="O171" s="32"/>
      <x:c r="P171" s="32" t="e">
        <x:f>IF(A171=1,Dashboard!$F$14,T170)</x:f>
      </x:c>
      <x:c r="Q171" s="32" t="e">
        <x:f>IF(A171&lt;=Dashboard!$F$17,MIN(P171,$B$6*52/12),0)</x:f>
      </x:c>
      <x:c r="R171" s="32" t="e">
        <x:f>IF(A171&lt;=Dashboard!$F$17,MAX(0,P171-Q171)*Dashboard!$F$6,0)</x:f>
      </x:c>
      <x:c r="S171" s="32" t="e">
        <x:f>IF(A171&lt;=Dashboard!$F$17,MIN(Dashboard!$F$10,MAX(0,P171-Q171)+R171),0)</x:f>
      </x:c>
      <x:c r="T171" s="32" t="e">
        <x:f>IF(A171&lt;=Dashboard!$F$17,MAX(0,P171-Q171-MAX(0,S171-R171)),0)</x:f>
      </x:c>
      <x:c r="U171" s="32" t="e">
        <x:f>IF(A171=1,R171,U170+R171)</x:f>
      </x:c>
      <x:c r="V171" s="32"/>
      <x:c r="W171" s="32" t="e">
        <x:f>IF(A171=1,Dashboard!$F$14,AA170)</x:f>
      </x:c>
      <x:c r="X171" s="32" t="e">
        <x:f>IF(AND(A171&lt;=Dashboard!$F$17,MOD(A171-1,12)=0),MIN(W171,$B$7),0)</x:f>
      </x:c>
      <x:c r="Y171" s="32" t="e">
        <x:f>IF(A171&lt;=Dashboard!$F$17,MAX(0,W171-X171)*Dashboard!$F$6,0)</x:f>
      </x:c>
      <x:c r="Z171" s="32" t="e">
        <x:f>IF(A171&lt;=Dashboard!$F$17,MIN(Dashboard!$F$10,MAX(0,W171-X171)+Y171),0)</x:f>
      </x:c>
      <x:c r="AA171" s="32" t="e">
        <x:f>IF(A171&lt;=Dashboard!$F$17,MAX(0,W171-X171-MAX(0,Z171-Y171)),0)</x:f>
      </x:c>
      <x:c r="AB171" s="32" t="e">
        <x:f>IF(A171=1,Y171,AB170+Y171)</x:f>
      </x:c>
      <x:c r="AC171" s="32"/>
      <x:c r="AD171" s="32" t="e">
        <x:f>IF(A171=1,MAX(0,Dashboard!$F$14-$B$8),AG170)</x:f>
      </x:c>
      <x:c r="AE171" s="32" t="n">
        <x:f>0</x:f>
        <x:v>0</x:v>
      </x:c>
      <x:c r="AF171" s="32" t="e">
        <x:f>IF(A171&lt;=Dashboard!$F$17,AD171*Dashboard!$F$6,0)</x:f>
      </x:c>
      <x:c r="AG171" s="32" t="e">
        <x:f>IF(A171&lt;=Dashboard!$F$17,MIN(Dashboard!$F$10,AD171+AF171),0)</x:f>
      </x:c>
      <x:c r="AH171" s="32" t="e">
        <x:f>IF(A171&lt;=Dashboard!$F$17,MAX(0,AD171-MAX(0,AG171-AF171)),0)</x:f>
      </x:c>
      <x:c r="AI171" s="32" t="e">
        <x:f>IF(A171=1,AF171,AI170+AF171)</x:f>
      </x:c>
      <x:c r="AJ171" s="33"/>
      <x:c r="AK171" s="33"/>
      <x:c r="AL171" s="33"/>
      <x:c r="AM171" s="33"/>
    </x:row>
    <x:row r="172">
      <x:c r="A172" s="33" t="n">
        <x:v>160</x:v>
      </x:c>
      <x:c r="B172" s="32" t="e">
        <x:f>IF(A172=1,Dashboard!$F$14,F171)</x:f>
      </x:c>
      <x:c r="C172" s="32" t="n">
        <x:f>0</x:f>
        <x:v>0</x:v>
      </x:c>
      <x:c r="D172" s="32" t="e">
        <x:f>IF(A172&lt;=Dashboard!$F$15,B172*Dashboard!$F$6,0)</x:f>
      </x:c>
      <x:c r="E172" s="32" t="e">
        <x:f>IF(A172&lt;=Dashboard!$F$15,MIN(Dashboard!$F$10,B172+D172),0)</x:f>
      </x:c>
      <x:c r="F172" s="32" t="e">
        <x:f>IF(A172&lt;=Dashboard!$F$15,MAX(0,B172-MAX(0,E172-D172)),0)</x:f>
      </x:c>
      <x:c r="G172" s="32" t="e">
        <x:f>IF(A172=1,D172,G171+D172)</x:f>
      </x:c>
      <x:c r="H172" s="32"/>
      <x:c r="I172" s="32" t="e">
        <x:f>IF(A172=1,Dashboard!$F$14,M171)</x:f>
      </x:c>
      <x:c r="J172" s="32" t="e">
        <x:f>IF(A172&lt;=Dashboard!$F$17,MIN(I172,$B$5),0)</x:f>
      </x:c>
      <x:c r="K172" s="32" t="e">
        <x:f>IF(A172&lt;=Dashboard!$F$17,MAX(0,I172-J172)*Dashboard!$F$6,0)</x:f>
      </x:c>
      <x:c r="L172" s="32" t="e">
        <x:f>IF(A172&lt;=Dashboard!$F$17,MIN(Dashboard!$F$10,MAX(0,I172-J172)+K172),0)</x:f>
      </x:c>
      <x:c r="M172" s="32" t="e">
        <x:f>IF(A172&lt;=Dashboard!$F$17,MAX(0,I172-J172-MAX(0,L172-K172)),0)</x:f>
      </x:c>
      <x:c r="N172" s="32" t="e">
        <x:f>IF(A172=1,K172,N171+K172)</x:f>
      </x:c>
      <x:c r="O172" s="32"/>
      <x:c r="P172" s="32" t="e">
        <x:f>IF(A172=1,Dashboard!$F$14,T171)</x:f>
      </x:c>
      <x:c r="Q172" s="32" t="e">
        <x:f>IF(A172&lt;=Dashboard!$F$17,MIN(P172,$B$6*52/12),0)</x:f>
      </x:c>
      <x:c r="R172" s="32" t="e">
        <x:f>IF(A172&lt;=Dashboard!$F$17,MAX(0,P172-Q172)*Dashboard!$F$6,0)</x:f>
      </x:c>
      <x:c r="S172" s="32" t="e">
        <x:f>IF(A172&lt;=Dashboard!$F$17,MIN(Dashboard!$F$10,MAX(0,P172-Q172)+R172),0)</x:f>
      </x:c>
      <x:c r="T172" s="32" t="e">
        <x:f>IF(A172&lt;=Dashboard!$F$17,MAX(0,P172-Q172-MAX(0,S172-R172)),0)</x:f>
      </x:c>
      <x:c r="U172" s="32" t="e">
        <x:f>IF(A172=1,R172,U171+R172)</x:f>
      </x:c>
      <x:c r="V172" s="32"/>
      <x:c r="W172" s="32" t="e">
        <x:f>IF(A172=1,Dashboard!$F$14,AA171)</x:f>
      </x:c>
      <x:c r="X172" s="32" t="e">
        <x:f>IF(AND(A172&lt;=Dashboard!$F$17,MOD(A172-1,12)=0),MIN(W172,$B$7),0)</x:f>
      </x:c>
      <x:c r="Y172" s="32" t="e">
        <x:f>IF(A172&lt;=Dashboard!$F$17,MAX(0,W172-X172)*Dashboard!$F$6,0)</x:f>
      </x:c>
      <x:c r="Z172" s="32" t="e">
        <x:f>IF(A172&lt;=Dashboard!$F$17,MIN(Dashboard!$F$10,MAX(0,W172-X172)+Y172),0)</x:f>
      </x:c>
      <x:c r="AA172" s="32" t="e">
        <x:f>IF(A172&lt;=Dashboard!$F$17,MAX(0,W172-X172-MAX(0,Z172-Y172)),0)</x:f>
      </x:c>
      <x:c r="AB172" s="32" t="e">
        <x:f>IF(A172=1,Y172,AB171+Y172)</x:f>
      </x:c>
      <x:c r="AC172" s="32"/>
      <x:c r="AD172" s="32" t="e">
        <x:f>IF(A172=1,MAX(0,Dashboard!$F$14-$B$8),AG171)</x:f>
      </x:c>
      <x:c r="AE172" s="32" t="n">
        <x:f>0</x:f>
        <x:v>0</x:v>
      </x:c>
      <x:c r="AF172" s="32" t="e">
        <x:f>IF(A172&lt;=Dashboard!$F$17,AD172*Dashboard!$F$6,0)</x:f>
      </x:c>
      <x:c r="AG172" s="32" t="e">
        <x:f>IF(A172&lt;=Dashboard!$F$17,MIN(Dashboard!$F$10,AD172+AF172),0)</x:f>
      </x:c>
      <x:c r="AH172" s="32" t="e">
        <x:f>IF(A172&lt;=Dashboard!$F$17,MAX(0,AD172-MAX(0,AG172-AF172)),0)</x:f>
      </x:c>
      <x:c r="AI172" s="32" t="e">
        <x:f>IF(A172=1,AF172,AI171+AF172)</x:f>
      </x:c>
      <x:c r="AJ172" s="33"/>
      <x:c r="AK172" s="33"/>
      <x:c r="AL172" s="33"/>
      <x:c r="AM172" s="33"/>
    </x:row>
    <x:row r="173">
      <x:c r="A173" s="33" t="n">
        <x:v>161</x:v>
      </x:c>
      <x:c r="B173" s="32" t="e">
        <x:f>IF(A173=1,Dashboard!$F$14,F172)</x:f>
      </x:c>
      <x:c r="C173" s="32" t="n">
        <x:f>0</x:f>
        <x:v>0</x:v>
      </x:c>
      <x:c r="D173" s="32" t="e">
        <x:f>IF(A173&lt;=Dashboard!$F$15,B173*Dashboard!$F$6,0)</x:f>
      </x:c>
      <x:c r="E173" s="32" t="e">
        <x:f>IF(A173&lt;=Dashboard!$F$15,MIN(Dashboard!$F$10,B173+D173),0)</x:f>
      </x:c>
      <x:c r="F173" s="32" t="e">
        <x:f>IF(A173&lt;=Dashboard!$F$15,MAX(0,B173-MAX(0,E173-D173)),0)</x:f>
      </x:c>
      <x:c r="G173" s="32" t="e">
        <x:f>IF(A173=1,D173,G172+D173)</x:f>
      </x:c>
      <x:c r="H173" s="32"/>
      <x:c r="I173" s="32" t="e">
        <x:f>IF(A173=1,Dashboard!$F$14,M172)</x:f>
      </x:c>
      <x:c r="J173" s="32" t="e">
        <x:f>IF(A173&lt;=Dashboard!$F$17,MIN(I173,$B$5),0)</x:f>
      </x:c>
      <x:c r="K173" s="32" t="e">
        <x:f>IF(A173&lt;=Dashboard!$F$17,MAX(0,I173-J173)*Dashboard!$F$6,0)</x:f>
      </x:c>
      <x:c r="L173" s="32" t="e">
        <x:f>IF(A173&lt;=Dashboard!$F$17,MIN(Dashboard!$F$10,MAX(0,I173-J173)+K173),0)</x:f>
      </x:c>
      <x:c r="M173" s="32" t="e">
        <x:f>IF(A173&lt;=Dashboard!$F$17,MAX(0,I173-J173-MAX(0,L173-K173)),0)</x:f>
      </x:c>
      <x:c r="N173" s="32" t="e">
        <x:f>IF(A173=1,K173,N172+K173)</x:f>
      </x:c>
      <x:c r="O173" s="32"/>
      <x:c r="P173" s="32" t="e">
        <x:f>IF(A173=1,Dashboard!$F$14,T172)</x:f>
      </x:c>
      <x:c r="Q173" s="32" t="e">
        <x:f>IF(A173&lt;=Dashboard!$F$17,MIN(P173,$B$6*52/12),0)</x:f>
      </x:c>
      <x:c r="R173" s="32" t="e">
        <x:f>IF(A173&lt;=Dashboard!$F$17,MAX(0,P173-Q173)*Dashboard!$F$6,0)</x:f>
      </x:c>
      <x:c r="S173" s="32" t="e">
        <x:f>IF(A173&lt;=Dashboard!$F$17,MIN(Dashboard!$F$10,MAX(0,P173-Q173)+R173),0)</x:f>
      </x:c>
      <x:c r="T173" s="32" t="e">
        <x:f>IF(A173&lt;=Dashboard!$F$17,MAX(0,P173-Q173-MAX(0,S173-R173)),0)</x:f>
      </x:c>
      <x:c r="U173" s="32" t="e">
        <x:f>IF(A173=1,R173,U172+R173)</x:f>
      </x:c>
      <x:c r="V173" s="32"/>
      <x:c r="W173" s="32" t="e">
        <x:f>IF(A173=1,Dashboard!$F$14,AA172)</x:f>
      </x:c>
      <x:c r="X173" s="32" t="e">
        <x:f>IF(AND(A173&lt;=Dashboard!$F$17,MOD(A173-1,12)=0),MIN(W173,$B$7),0)</x:f>
      </x:c>
      <x:c r="Y173" s="32" t="e">
        <x:f>IF(A173&lt;=Dashboard!$F$17,MAX(0,W173-X173)*Dashboard!$F$6,0)</x:f>
      </x:c>
      <x:c r="Z173" s="32" t="e">
        <x:f>IF(A173&lt;=Dashboard!$F$17,MIN(Dashboard!$F$10,MAX(0,W173-X173)+Y173),0)</x:f>
      </x:c>
      <x:c r="AA173" s="32" t="e">
        <x:f>IF(A173&lt;=Dashboard!$F$17,MAX(0,W173-X173-MAX(0,Z173-Y173)),0)</x:f>
      </x:c>
      <x:c r="AB173" s="32" t="e">
        <x:f>IF(A173=1,Y173,AB172+Y173)</x:f>
      </x:c>
      <x:c r="AC173" s="32"/>
      <x:c r="AD173" s="32" t="e">
        <x:f>IF(A173=1,MAX(0,Dashboard!$F$14-$B$8),AG172)</x:f>
      </x:c>
      <x:c r="AE173" s="32" t="n">
        <x:f>0</x:f>
        <x:v>0</x:v>
      </x:c>
      <x:c r="AF173" s="32" t="e">
        <x:f>IF(A173&lt;=Dashboard!$F$17,AD173*Dashboard!$F$6,0)</x:f>
      </x:c>
      <x:c r="AG173" s="32" t="e">
        <x:f>IF(A173&lt;=Dashboard!$F$17,MIN(Dashboard!$F$10,AD173+AF173),0)</x:f>
      </x:c>
      <x:c r="AH173" s="32" t="e">
        <x:f>IF(A173&lt;=Dashboard!$F$17,MAX(0,AD173-MAX(0,AG173-AF173)),0)</x:f>
      </x:c>
      <x:c r="AI173" s="32" t="e">
        <x:f>IF(A173=1,AF173,AI172+AF173)</x:f>
      </x:c>
      <x:c r="AJ173" s="33"/>
      <x:c r="AK173" s="33"/>
      <x:c r="AL173" s="33"/>
      <x:c r="AM173" s="33"/>
    </x:row>
    <x:row r="174">
      <x:c r="A174" s="33" t="n">
        <x:v>162</x:v>
      </x:c>
      <x:c r="B174" s="32" t="e">
        <x:f>IF(A174=1,Dashboard!$F$14,F173)</x:f>
      </x:c>
      <x:c r="C174" s="32" t="n">
        <x:f>0</x:f>
        <x:v>0</x:v>
      </x:c>
      <x:c r="D174" s="32" t="e">
        <x:f>IF(A174&lt;=Dashboard!$F$15,B174*Dashboard!$F$6,0)</x:f>
      </x:c>
      <x:c r="E174" s="32" t="e">
        <x:f>IF(A174&lt;=Dashboard!$F$15,MIN(Dashboard!$F$10,B174+D174),0)</x:f>
      </x:c>
      <x:c r="F174" s="32" t="e">
        <x:f>IF(A174&lt;=Dashboard!$F$15,MAX(0,B174-MAX(0,E174-D174)),0)</x:f>
      </x:c>
      <x:c r="G174" s="32" t="e">
        <x:f>IF(A174=1,D174,G173+D174)</x:f>
      </x:c>
      <x:c r="H174" s="32"/>
      <x:c r="I174" s="32" t="e">
        <x:f>IF(A174=1,Dashboard!$F$14,M173)</x:f>
      </x:c>
      <x:c r="J174" s="32" t="e">
        <x:f>IF(A174&lt;=Dashboard!$F$17,MIN(I174,$B$5),0)</x:f>
      </x:c>
      <x:c r="K174" s="32" t="e">
        <x:f>IF(A174&lt;=Dashboard!$F$17,MAX(0,I174-J174)*Dashboard!$F$6,0)</x:f>
      </x:c>
      <x:c r="L174" s="32" t="e">
        <x:f>IF(A174&lt;=Dashboard!$F$17,MIN(Dashboard!$F$10,MAX(0,I174-J174)+K174),0)</x:f>
      </x:c>
      <x:c r="M174" s="32" t="e">
        <x:f>IF(A174&lt;=Dashboard!$F$17,MAX(0,I174-J174-MAX(0,L174-K174)),0)</x:f>
      </x:c>
      <x:c r="N174" s="32" t="e">
        <x:f>IF(A174=1,K174,N173+K174)</x:f>
      </x:c>
      <x:c r="O174" s="32"/>
      <x:c r="P174" s="32" t="e">
        <x:f>IF(A174=1,Dashboard!$F$14,T173)</x:f>
      </x:c>
      <x:c r="Q174" s="32" t="e">
        <x:f>IF(A174&lt;=Dashboard!$F$17,MIN(P174,$B$6*52/12),0)</x:f>
      </x:c>
      <x:c r="R174" s="32" t="e">
        <x:f>IF(A174&lt;=Dashboard!$F$17,MAX(0,P174-Q174)*Dashboard!$F$6,0)</x:f>
      </x:c>
      <x:c r="S174" s="32" t="e">
        <x:f>IF(A174&lt;=Dashboard!$F$17,MIN(Dashboard!$F$10,MAX(0,P174-Q174)+R174),0)</x:f>
      </x:c>
      <x:c r="T174" s="32" t="e">
        <x:f>IF(A174&lt;=Dashboard!$F$17,MAX(0,P174-Q174-MAX(0,S174-R174)),0)</x:f>
      </x:c>
      <x:c r="U174" s="32" t="e">
        <x:f>IF(A174=1,R174,U173+R174)</x:f>
      </x:c>
      <x:c r="V174" s="32"/>
      <x:c r="W174" s="32" t="e">
        <x:f>IF(A174=1,Dashboard!$F$14,AA173)</x:f>
      </x:c>
      <x:c r="X174" s="32" t="e">
        <x:f>IF(AND(A174&lt;=Dashboard!$F$17,MOD(A174-1,12)=0),MIN(W174,$B$7),0)</x:f>
      </x:c>
      <x:c r="Y174" s="32" t="e">
        <x:f>IF(A174&lt;=Dashboard!$F$17,MAX(0,W174-X174)*Dashboard!$F$6,0)</x:f>
      </x:c>
      <x:c r="Z174" s="32" t="e">
        <x:f>IF(A174&lt;=Dashboard!$F$17,MIN(Dashboard!$F$10,MAX(0,W174-X174)+Y174),0)</x:f>
      </x:c>
      <x:c r="AA174" s="32" t="e">
        <x:f>IF(A174&lt;=Dashboard!$F$17,MAX(0,W174-X174-MAX(0,Z174-Y174)),0)</x:f>
      </x:c>
      <x:c r="AB174" s="32" t="e">
        <x:f>IF(A174=1,Y174,AB173+Y174)</x:f>
      </x:c>
      <x:c r="AC174" s="32"/>
      <x:c r="AD174" s="32" t="e">
        <x:f>IF(A174=1,MAX(0,Dashboard!$F$14-$B$8),AG173)</x:f>
      </x:c>
      <x:c r="AE174" s="32" t="n">
        <x:f>0</x:f>
        <x:v>0</x:v>
      </x:c>
      <x:c r="AF174" s="32" t="e">
        <x:f>IF(A174&lt;=Dashboard!$F$17,AD174*Dashboard!$F$6,0)</x:f>
      </x:c>
      <x:c r="AG174" s="32" t="e">
        <x:f>IF(A174&lt;=Dashboard!$F$17,MIN(Dashboard!$F$10,AD174+AF174),0)</x:f>
      </x:c>
      <x:c r="AH174" s="32" t="e">
        <x:f>IF(A174&lt;=Dashboard!$F$17,MAX(0,AD174-MAX(0,AG174-AF174)),0)</x:f>
      </x:c>
      <x:c r="AI174" s="32" t="e">
        <x:f>IF(A174=1,AF174,AI173+AF174)</x:f>
      </x:c>
      <x:c r="AJ174" s="33"/>
      <x:c r="AK174" s="33"/>
      <x:c r="AL174" s="33"/>
      <x:c r="AM174" s="33"/>
    </x:row>
    <x:row r="175">
      <x:c r="A175" s="33" t="n">
        <x:v>163</x:v>
      </x:c>
      <x:c r="B175" s="32" t="e">
        <x:f>IF(A175=1,Dashboard!$F$14,F174)</x:f>
      </x:c>
      <x:c r="C175" s="32" t="n">
        <x:f>0</x:f>
        <x:v>0</x:v>
      </x:c>
      <x:c r="D175" s="32" t="e">
        <x:f>IF(A175&lt;=Dashboard!$F$15,B175*Dashboard!$F$6,0)</x:f>
      </x:c>
      <x:c r="E175" s="32" t="e">
        <x:f>IF(A175&lt;=Dashboard!$F$15,MIN(Dashboard!$F$10,B175+D175),0)</x:f>
      </x:c>
      <x:c r="F175" s="32" t="e">
        <x:f>IF(A175&lt;=Dashboard!$F$15,MAX(0,B175-MAX(0,E175-D175)),0)</x:f>
      </x:c>
      <x:c r="G175" s="32" t="e">
        <x:f>IF(A175=1,D175,G174+D175)</x:f>
      </x:c>
      <x:c r="H175" s="32"/>
      <x:c r="I175" s="32" t="e">
        <x:f>IF(A175=1,Dashboard!$F$14,M174)</x:f>
      </x:c>
      <x:c r="J175" s="32" t="e">
        <x:f>IF(A175&lt;=Dashboard!$F$17,MIN(I175,$B$5),0)</x:f>
      </x:c>
      <x:c r="K175" s="32" t="e">
        <x:f>IF(A175&lt;=Dashboard!$F$17,MAX(0,I175-J175)*Dashboard!$F$6,0)</x:f>
      </x:c>
      <x:c r="L175" s="32" t="e">
        <x:f>IF(A175&lt;=Dashboard!$F$17,MIN(Dashboard!$F$10,MAX(0,I175-J175)+K175),0)</x:f>
      </x:c>
      <x:c r="M175" s="32" t="e">
        <x:f>IF(A175&lt;=Dashboard!$F$17,MAX(0,I175-J175-MAX(0,L175-K175)),0)</x:f>
      </x:c>
      <x:c r="N175" s="32" t="e">
        <x:f>IF(A175=1,K175,N174+K175)</x:f>
      </x:c>
      <x:c r="O175" s="32"/>
      <x:c r="P175" s="32" t="e">
        <x:f>IF(A175=1,Dashboard!$F$14,T174)</x:f>
      </x:c>
      <x:c r="Q175" s="32" t="e">
        <x:f>IF(A175&lt;=Dashboard!$F$17,MIN(P175,$B$6*52/12),0)</x:f>
      </x:c>
      <x:c r="R175" s="32" t="e">
        <x:f>IF(A175&lt;=Dashboard!$F$17,MAX(0,P175-Q175)*Dashboard!$F$6,0)</x:f>
      </x:c>
      <x:c r="S175" s="32" t="e">
        <x:f>IF(A175&lt;=Dashboard!$F$17,MIN(Dashboard!$F$10,MAX(0,P175-Q175)+R175),0)</x:f>
      </x:c>
      <x:c r="T175" s="32" t="e">
        <x:f>IF(A175&lt;=Dashboard!$F$17,MAX(0,P175-Q175-MAX(0,S175-R175)),0)</x:f>
      </x:c>
      <x:c r="U175" s="32" t="e">
        <x:f>IF(A175=1,R175,U174+R175)</x:f>
      </x:c>
      <x:c r="V175" s="32"/>
      <x:c r="W175" s="32" t="e">
        <x:f>IF(A175=1,Dashboard!$F$14,AA174)</x:f>
      </x:c>
      <x:c r="X175" s="32" t="e">
        <x:f>IF(AND(A175&lt;=Dashboard!$F$17,MOD(A175-1,12)=0),MIN(W175,$B$7),0)</x:f>
      </x:c>
      <x:c r="Y175" s="32" t="e">
        <x:f>IF(A175&lt;=Dashboard!$F$17,MAX(0,W175-X175)*Dashboard!$F$6,0)</x:f>
      </x:c>
      <x:c r="Z175" s="32" t="e">
        <x:f>IF(A175&lt;=Dashboard!$F$17,MIN(Dashboard!$F$10,MAX(0,W175-X175)+Y175),0)</x:f>
      </x:c>
      <x:c r="AA175" s="32" t="e">
        <x:f>IF(A175&lt;=Dashboard!$F$17,MAX(0,W175-X175-MAX(0,Z175-Y175)),0)</x:f>
      </x:c>
      <x:c r="AB175" s="32" t="e">
        <x:f>IF(A175=1,Y175,AB174+Y175)</x:f>
      </x:c>
      <x:c r="AC175" s="32"/>
      <x:c r="AD175" s="32" t="e">
        <x:f>IF(A175=1,MAX(0,Dashboard!$F$14-$B$8),AG174)</x:f>
      </x:c>
      <x:c r="AE175" s="32" t="n">
        <x:f>0</x:f>
        <x:v>0</x:v>
      </x:c>
      <x:c r="AF175" s="32" t="e">
        <x:f>IF(A175&lt;=Dashboard!$F$17,AD175*Dashboard!$F$6,0)</x:f>
      </x:c>
      <x:c r="AG175" s="32" t="e">
        <x:f>IF(A175&lt;=Dashboard!$F$17,MIN(Dashboard!$F$10,AD175+AF175),0)</x:f>
      </x:c>
      <x:c r="AH175" s="32" t="e">
        <x:f>IF(A175&lt;=Dashboard!$F$17,MAX(0,AD175-MAX(0,AG175-AF175)),0)</x:f>
      </x:c>
      <x:c r="AI175" s="32" t="e">
        <x:f>IF(A175=1,AF175,AI174+AF175)</x:f>
      </x:c>
      <x:c r="AJ175" s="33"/>
      <x:c r="AK175" s="33"/>
      <x:c r="AL175" s="33"/>
      <x:c r="AM175" s="33"/>
    </x:row>
    <x:row r="176">
      <x:c r="A176" s="33" t="n">
        <x:v>164</x:v>
      </x:c>
      <x:c r="B176" s="32" t="e">
        <x:f>IF(A176=1,Dashboard!$F$14,F175)</x:f>
      </x:c>
      <x:c r="C176" s="32" t="n">
        <x:f>0</x:f>
        <x:v>0</x:v>
      </x:c>
      <x:c r="D176" s="32" t="e">
        <x:f>IF(A176&lt;=Dashboard!$F$15,B176*Dashboard!$F$6,0)</x:f>
      </x:c>
      <x:c r="E176" s="32" t="e">
        <x:f>IF(A176&lt;=Dashboard!$F$15,MIN(Dashboard!$F$10,B176+D176),0)</x:f>
      </x:c>
      <x:c r="F176" s="32" t="e">
        <x:f>IF(A176&lt;=Dashboard!$F$15,MAX(0,B176-MAX(0,E176-D176)),0)</x:f>
      </x:c>
      <x:c r="G176" s="32" t="e">
        <x:f>IF(A176=1,D176,G175+D176)</x:f>
      </x:c>
      <x:c r="H176" s="32"/>
      <x:c r="I176" s="32" t="e">
        <x:f>IF(A176=1,Dashboard!$F$14,M175)</x:f>
      </x:c>
      <x:c r="J176" s="32" t="e">
        <x:f>IF(A176&lt;=Dashboard!$F$17,MIN(I176,$B$5),0)</x:f>
      </x:c>
      <x:c r="K176" s="32" t="e">
        <x:f>IF(A176&lt;=Dashboard!$F$17,MAX(0,I176-J176)*Dashboard!$F$6,0)</x:f>
      </x:c>
      <x:c r="L176" s="32" t="e">
        <x:f>IF(A176&lt;=Dashboard!$F$17,MIN(Dashboard!$F$10,MAX(0,I176-J176)+K176),0)</x:f>
      </x:c>
      <x:c r="M176" s="32" t="e">
        <x:f>IF(A176&lt;=Dashboard!$F$17,MAX(0,I176-J176-MAX(0,L176-K176)),0)</x:f>
      </x:c>
      <x:c r="N176" s="32" t="e">
        <x:f>IF(A176=1,K176,N175+K176)</x:f>
      </x:c>
      <x:c r="O176" s="32"/>
      <x:c r="P176" s="32" t="e">
        <x:f>IF(A176=1,Dashboard!$F$14,T175)</x:f>
      </x:c>
      <x:c r="Q176" s="32" t="e">
        <x:f>IF(A176&lt;=Dashboard!$F$17,MIN(P176,$B$6*52/12),0)</x:f>
      </x:c>
      <x:c r="R176" s="32" t="e">
        <x:f>IF(A176&lt;=Dashboard!$F$17,MAX(0,P176-Q176)*Dashboard!$F$6,0)</x:f>
      </x:c>
      <x:c r="S176" s="32" t="e">
        <x:f>IF(A176&lt;=Dashboard!$F$17,MIN(Dashboard!$F$10,MAX(0,P176-Q176)+R176),0)</x:f>
      </x:c>
      <x:c r="T176" s="32" t="e">
        <x:f>IF(A176&lt;=Dashboard!$F$17,MAX(0,P176-Q176-MAX(0,S176-R176)),0)</x:f>
      </x:c>
      <x:c r="U176" s="32" t="e">
        <x:f>IF(A176=1,R176,U175+R176)</x:f>
      </x:c>
      <x:c r="V176" s="32"/>
      <x:c r="W176" s="32" t="e">
        <x:f>IF(A176=1,Dashboard!$F$14,AA175)</x:f>
      </x:c>
      <x:c r="X176" s="32" t="e">
        <x:f>IF(AND(A176&lt;=Dashboard!$F$17,MOD(A176-1,12)=0),MIN(W176,$B$7),0)</x:f>
      </x:c>
      <x:c r="Y176" s="32" t="e">
        <x:f>IF(A176&lt;=Dashboard!$F$17,MAX(0,W176-X176)*Dashboard!$F$6,0)</x:f>
      </x:c>
      <x:c r="Z176" s="32" t="e">
        <x:f>IF(A176&lt;=Dashboard!$F$17,MIN(Dashboard!$F$10,MAX(0,W176-X176)+Y176),0)</x:f>
      </x:c>
      <x:c r="AA176" s="32" t="e">
        <x:f>IF(A176&lt;=Dashboard!$F$17,MAX(0,W176-X176-MAX(0,Z176-Y176)),0)</x:f>
      </x:c>
      <x:c r="AB176" s="32" t="e">
        <x:f>IF(A176=1,Y176,AB175+Y176)</x:f>
      </x:c>
      <x:c r="AC176" s="32"/>
      <x:c r="AD176" s="32" t="e">
        <x:f>IF(A176=1,MAX(0,Dashboard!$F$14-$B$8),AG175)</x:f>
      </x:c>
      <x:c r="AE176" s="32" t="n">
        <x:f>0</x:f>
        <x:v>0</x:v>
      </x:c>
      <x:c r="AF176" s="32" t="e">
        <x:f>IF(A176&lt;=Dashboard!$F$17,AD176*Dashboard!$F$6,0)</x:f>
      </x:c>
      <x:c r="AG176" s="32" t="e">
        <x:f>IF(A176&lt;=Dashboard!$F$17,MIN(Dashboard!$F$10,AD176+AF176),0)</x:f>
      </x:c>
      <x:c r="AH176" s="32" t="e">
        <x:f>IF(A176&lt;=Dashboard!$F$17,MAX(0,AD176-MAX(0,AG176-AF176)),0)</x:f>
      </x:c>
      <x:c r="AI176" s="32" t="e">
        <x:f>IF(A176=1,AF176,AI175+AF176)</x:f>
      </x:c>
      <x:c r="AJ176" s="33"/>
      <x:c r="AK176" s="33"/>
      <x:c r="AL176" s="33"/>
      <x:c r="AM176" s="33"/>
    </x:row>
    <x:row r="177">
      <x:c r="A177" s="33" t="n">
        <x:v>165</x:v>
      </x:c>
      <x:c r="B177" s="32" t="e">
        <x:f>IF(A177=1,Dashboard!$F$14,F176)</x:f>
      </x:c>
      <x:c r="C177" s="32" t="n">
        <x:f>0</x:f>
        <x:v>0</x:v>
      </x:c>
      <x:c r="D177" s="32" t="e">
        <x:f>IF(A177&lt;=Dashboard!$F$15,B177*Dashboard!$F$6,0)</x:f>
      </x:c>
      <x:c r="E177" s="32" t="e">
        <x:f>IF(A177&lt;=Dashboard!$F$15,MIN(Dashboard!$F$10,B177+D177),0)</x:f>
      </x:c>
      <x:c r="F177" s="32" t="e">
        <x:f>IF(A177&lt;=Dashboard!$F$15,MAX(0,B177-MAX(0,E177-D177)),0)</x:f>
      </x:c>
      <x:c r="G177" s="32" t="e">
        <x:f>IF(A177=1,D177,G176+D177)</x:f>
      </x:c>
      <x:c r="H177" s="32"/>
      <x:c r="I177" s="32" t="e">
        <x:f>IF(A177=1,Dashboard!$F$14,M176)</x:f>
      </x:c>
      <x:c r="J177" s="32" t="e">
        <x:f>IF(A177&lt;=Dashboard!$F$17,MIN(I177,$B$5),0)</x:f>
      </x:c>
      <x:c r="K177" s="32" t="e">
        <x:f>IF(A177&lt;=Dashboard!$F$17,MAX(0,I177-J177)*Dashboard!$F$6,0)</x:f>
      </x:c>
      <x:c r="L177" s="32" t="e">
        <x:f>IF(A177&lt;=Dashboard!$F$17,MIN(Dashboard!$F$10,MAX(0,I177-J177)+K177),0)</x:f>
      </x:c>
      <x:c r="M177" s="32" t="e">
        <x:f>IF(A177&lt;=Dashboard!$F$17,MAX(0,I177-J177-MAX(0,L177-K177)),0)</x:f>
      </x:c>
      <x:c r="N177" s="32" t="e">
        <x:f>IF(A177=1,K177,N176+K177)</x:f>
      </x:c>
      <x:c r="O177" s="32"/>
      <x:c r="P177" s="32" t="e">
        <x:f>IF(A177=1,Dashboard!$F$14,T176)</x:f>
      </x:c>
      <x:c r="Q177" s="32" t="e">
        <x:f>IF(A177&lt;=Dashboard!$F$17,MIN(P177,$B$6*52/12),0)</x:f>
      </x:c>
      <x:c r="R177" s="32" t="e">
        <x:f>IF(A177&lt;=Dashboard!$F$17,MAX(0,P177-Q177)*Dashboard!$F$6,0)</x:f>
      </x:c>
      <x:c r="S177" s="32" t="e">
        <x:f>IF(A177&lt;=Dashboard!$F$17,MIN(Dashboard!$F$10,MAX(0,P177-Q177)+R177),0)</x:f>
      </x:c>
      <x:c r="T177" s="32" t="e">
        <x:f>IF(A177&lt;=Dashboard!$F$17,MAX(0,P177-Q177-MAX(0,S177-R177)),0)</x:f>
      </x:c>
      <x:c r="U177" s="32" t="e">
        <x:f>IF(A177=1,R177,U176+R177)</x:f>
      </x:c>
      <x:c r="V177" s="32"/>
      <x:c r="W177" s="32" t="e">
        <x:f>IF(A177=1,Dashboard!$F$14,AA176)</x:f>
      </x:c>
      <x:c r="X177" s="32" t="e">
        <x:f>IF(AND(A177&lt;=Dashboard!$F$17,MOD(A177-1,12)=0),MIN(W177,$B$7),0)</x:f>
      </x:c>
      <x:c r="Y177" s="32" t="e">
        <x:f>IF(A177&lt;=Dashboard!$F$17,MAX(0,W177-X177)*Dashboard!$F$6,0)</x:f>
      </x:c>
      <x:c r="Z177" s="32" t="e">
        <x:f>IF(A177&lt;=Dashboard!$F$17,MIN(Dashboard!$F$10,MAX(0,W177-X177)+Y177),0)</x:f>
      </x:c>
      <x:c r="AA177" s="32" t="e">
        <x:f>IF(A177&lt;=Dashboard!$F$17,MAX(0,W177-X177-MAX(0,Z177-Y177)),0)</x:f>
      </x:c>
      <x:c r="AB177" s="32" t="e">
        <x:f>IF(A177=1,Y177,AB176+Y177)</x:f>
      </x:c>
      <x:c r="AC177" s="32"/>
      <x:c r="AD177" s="32" t="e">
        <x:f>IF(A177=1,MAX(0,Dashboard!$F$14-$B$8),AG176)</x:f>
      </x:c>
      <x:c r="AE177" s="32" t="n">
        <x:f>0</x:f>
        <x:v>0</x:v>
      </x:c>
      <x:c r="AF177" s="32" t="e">
        <x:f>IF(A177&lt;=Dashboard!$F$17,AD177*Dashboard!$F$6,0)</x:f>
      </x:c>
      <x:c r="AG177" s="32" t="e">
        <x:f>IF(A177&lt;=Dashboard!$F$17,MIN(Dashboard!$F$10,AD177+AF177),0)</x:f>
      </x:c>
      <x:c r="AH177" s="32" t="e">
        <x:f>IF(A177&lt;=Dashboard!$F$17,MAX(0,AD177-MAX(0,AG177-AF177)),0)</x:f>
      </x:c>
      <x:c r="AI177" s="32" t="e">
        <x:f>IF(A177=1,AF177,AI176+AF177)</x:f>
      </x:c>
      <x:c r="AJ177" s="33"/>
      <x:c r="AK177" s="33"/>
      <x:c r="AL177" s="33"/>
      <x:c r="AM177" s="33"/>
    </x:row>
    <x:row r="178">
      <x:c r="A178" s="33" t="n">
        <x:v>166</x:v>
      </x:c>
      <x:c r="B178" s="32" t="e">
        <x:f>IF(A178=1,Dashboard!$F$14,F177)</x:f>
      </x:c>
      <x:c r="C178" s="32" t="n">
        <x:f>0</x:f>
        <x:v>0</x:v>
      </x:c>
      <x:c r="D178" s="32" t="e">
        <x:f>IF(A178&lt;=Dashboard!$F$15,B178*Dashboard!$F$6,0)</x:f>
      </x:c>
      <x:c r="E178" s="32" t="e">
        <x:f>IF(A178&lt;=Dashboard!$F$15,MIN(Dashboard!$F$10,B178+D178),0)</x:f>
      </x:c>
      <x:c r="F178" s="32" t="e">
        <x:f>IF(A178&lt;=Dashboard!$F$15,MAX(0,B178-MAX(0,E178-D178)),0)</x:f>
      </x:c>
      <x:c r="G178" s="32" t="e">
        <x:f>IF(A178=1,D178,G177+D178)</x:f>
      </x:c>
      <x:c r="H178" s="32"/>
      <x:c r="I178" s="32" t="e">
        <x:f>IF(A178=1,Dashboard!$F$14,M177)</x:f>
      </x:c>
      <x:c r="J178" s="32" t="e">
        <x:f>IF(A178&lt;=Dashboard!$F$17,MIN(I178,$B$5),0)</x:f>
      </x:c>
      <x:c r="K178" s="32" t="e">
        <x:f>IF(A178&lt;=Dashboard!$F$17,MAX(0,I178-J178)*Dashboard!$F$6,0)</x:f>
      </x:c>
      <x:c r="L178" s="32" t="e">
        <x:f>IF(A178&lt;=Dashboard!$F$17,MIN(Dashboard!$F$10,MAX(0,I178-J178)+K178),0)</x:f>
      </x:c>
      <x:c r="M178" s="32" t="e">
        <x:f>IF(A178&lt;=Dashboard!$F$17,MAX(0,I178-J178-MAX(0,L178-K178)),0)</x:f>
      </x:c>
      <x:c r="N178" s="32" t="e">
        <x:f>IF(A178=1,K178,N177+K178)</x:f>
      </x:c>
      <x:c r="O178" s="32"/>
      <x:c r="P178" s="32" t="e">
        <x:f>IF(A178=1,Dashboard!$F$14,T177)</x:f>
      </x:c>
      <x:c r="Q178" s="32" t="e">
        <x:f>IF(A178&lt;=Dashboard!$F$17,MIN(P178,$B$6*52/12),0)</x:f>
      </x:c>
      <x:c r="R178" s="32" t="e">
        <x:f>IF(A178&lt;=Dashboard!$F$17,MAX(0,P178-Q178)*Dashboard!$F$6,0)</x:f>
      </x:c>
      <x:c r="S178" s="32" t="e">
        <x:f>IF(A178&lt;=Dashboard!$F$17,MIN(Dashboard!$F$10,MAX(0,P178-Q178)+R178),0)</x:f>
      </x:c>
      <x:c r="T178" s="32" t="e">
        <x:f>IF(A178&lt;=Dashboard!$F$17,MAX(0,P178-Q178-MAX(0,S178-R178)),0)</x:f>
      </x:c>
      <x:c r="U178" s="32" t="e">
        <x:f>IF(A178=1,R178,U177+R178)</x:f>
      </x:c>
      <x:c r="V178" s="32"/>
      <x:c r="W178" s="32" t="e">
        <x:f>IF(A178=1,Dashboard!$F$14,AA177)</x:f>
      </x:c>
      <x:c r="X178" s="32" t="e">
        <x:f>IF(AND(A178&lt;=Dashboard!$F$17,MOD(A178-1,12)=0),MIN(W178,$B$7),0)</x:f>
      </x:c>
      <x:c r="Y178" s="32" t="e">
        <x:f>IF(A178&lt;=Dashboard!$F$17,MAX(0,W178-X178)*Dashboard!$F$6,0)</x:f>
      </x:c>
      <x:c r="Z178" s="32" t="e">
        <x:f>IF(A178&lt;=Dashboard!$F$17,MIN(Dashboard!$F$10,MAX(0,W178-X178)+Y178),0)</x:f>
      </x:c>
      <x:c r="AA178" s="32" t="e">
        <x:f>IF(A178&lt;=Dashboard!$F$17,MAX(0,W178-X178-MAX(0,Z178-Y178)),0)</x:f>
      </x:c>
      <x:c r="AB178" s="32" t="e">
        <x:f>IF(A178=1,Y178,AB177+Y178)</x:f>
      </x:c>
      <x:c r="AC178" s="32"/>
      <x:c r="AD178" s="32" t="e">
        <x:f>IF(A178=1,MAX(0,Dashboard!$F$14-$B$8),AG177)</x:f>
      </x:c>
      <x:c r="AE178" s="32" t="n">
        <x:f>0</x:f>
        <x:v>0</x:v>
      </x:c>
      <x:c r="AF178" s="32" t="e">
        <x:f>IF(A178&lt;=Dashboard!$F$17,AD178*Dashboard!$F$6,0)</x:f>
      </x:c>
      <x:c r="AG178" s="32" t="e">
        <x:f>IF(A178&lt;=Dashboard!$F$17,MIN(Dashboard!$F$10,AD178+AF178),0)</x:f>
      </x:c>
      <x:c r="AH178" s="32" t="e">
        <x:f>IF(A178&lt;=Dashboard!$F$17,MAX(0,AD178-MAX(0,AG178-AF178)),0)</x:f>
      </x:c>
      <x:c r="AI178" s="32" t="e">
        <x:f>IF(A178=1,AF178,AI177+AF178)</x:f>
      </x:c>
      <x:c r="AJ178" s="33"/>
      <x:c r="AK178" s="33"/>
      <x:c r="AL178" s="33"/>
      <x:c r="AM178" s="33"/>
    </x:row>
    <x:row r="179">
      <x:c r="A179" s="33" t="n">
        <x:v>167</x:v>
      </x:c>
      <x:c r="B179" s="32" t="e">
        <x:f>IF(A179=1,Dashboard!$F$14,F178)</x:f>
      </x:c>
      <x:c r="C179" s="32" t="n">
        <x:f>0</x:f>
        <x:v>0</x:v>
      </x:c>
      <x:c r="D179" s="32" t="e">
        <x:f>IF(A179&lt;=Dashboard!$F$15,B179*Dashboard!$F$6,0)</x:f>
      </x:c>
      <x:c r="E179" s="32" t="e">
        <x:f>IF(A179&lt;=Dashboard!$F$15,MIN(Dashboard!$F$10,B179+D179),0)</x:f>
      </x:c>
      <x:c r="F179" s="32" t="e">
        <x:f>IF(A179&lt;=Dashboard!$F$15,MAX(0,B179-MAX(0,E179-D179)),0)</x:f>
      </x:c>
      <x:c r="G179" s="32" t="e">
        <x:f>IF(A179=1,D179,G178+D179)</x:f>
      </x:c>
      <x:c r="H179" s="32"/>
      <x:c r="I179" s="32" t="e">
        <x:f>IF(A179=1,Dashboard!$F$14,M178)</x:f>
      </x:c>
      <x:c r="J179" s="32" t="e">
        <x:f>IF(A179&lt;=Dashboard!$F$17,MIN(I179,$B$5),0)</x:f>
      </x:c>
      <x:c r="K179" s="32" t="e">
        <x:f>IF(A179&lt;=Dashboard!$F$17,MAX(0,I179-J179)*Dashboard!$F$6,0)</x:f>
      </x:c>
      <x:c r="L179" s="32" t="e">
        <x:f>IF(A179&lt;=Dashboard!$F$17,MIN(Dashboard!$F$10,MAX(0,I179-J179)+K179),0)</x:f>
      </x:c>
      <x:c r="M179" s="32" t="e">
        <x:f>IF(A179&lt;=Dashboard!$F$17,MAX(0,I179-J179-MAX(0,L179-K179)),0)</x:f>
      </x:c>
      <x:c r="N179" s="32" t="e">
        <x:f>IF(A179=1,K179,N178+K179)</x:f>
      </x:c>
      <x:c r="O179" s="32"/>
      <x:c r="P179" s="32" t="e">
        <x:f>IF(A179=1,Dashboard!$F$14,T178)</x:f>
      </x:c>
      <x:c r="Q179" s="32" t="e">
        <x:f>IF(A179&lt;=Dashboard!$F$17,MIN(P179,$B$6*52/12),0)</x:f>
      </x:c>
      <x:c r="R179" s="32" t="e">
        <x:f>IF(A179&lt;=Dashboard!$F$17,MAX(0,P179-Q179)*Dashboard!$F$6,0)</x:f>
      </x:c>
      <x:c r="S179" s="32" t="e">
        <x:f>IF(A179&lt;=Dashboard!$F$17,MIN(Dashboard!$F$10,MAX(0,P179-Q179)+R179),0)</x:f>
      </x:c>
      <x:c r="T179" s="32" t="e">
        <x:f>IF(A179&lt;=Dashboard!$F$17,MAX(0,P179-Q179-MAX(0,S179-R179)),0)</x:f>
      </x:c>
      <x:c r="U179" s="32" t="e">
        <x:f>IF(A179=1,R179,U178+R179)</x:f>
      </x:c>
      <x:c r="V179" s="32"/>
      <x:c r="W179" s="32" t="e">
        <x:f>IF(A179=1,Dashboard!$F$14,AA178)</x:f>
      </x:c>
      <x:c r="X179" s="32" t="e">
        <x:f>IF(AND(A179&lt;=Dashboard!$F$17,MOD(A179-1,12)=0),MIN(W179,$B$7),0)</x:f>
      </x:c>
      <x:c r="Y179" s="32" t="e">
        <x:f>IF(A179&lt;=Dashboard!$F$17,MAX(0,W179-X179)*Dashboard!$F$6,0)</x:f>
      </x:c>
      <x:c r="Z179" s="32" t="e">
        <x:f>IF(A179&lt;=Dashboard!$F$17,MIN(Dashboard!$F$10,MAX(0,W179-X179)+Y179),0)</x:f>
      </x:c>
      <x:c r="AA179" s="32" t="e">
        <x:f>IF(A179&lt;=Dashboard!$F$17,MAX(0,W179-X179-MAX(0,Z179-Y179)),0)</x:f>
      </x:c>
      <x:c r="AB179" s="32" t="e">
        <x:f>IF(A179=1,Y179,AB178+Y179)</x:f>
      </x:c>
      <x:c r="AC179" s="32"/>
      <x:c r="AD179" s="32" t="e">
        <x:f>IF(A179=1,MAX(0,Dashboard!$F$14-$B$8),AG178)</x:f>
      </x:c>
      <x:c r="AE179" s="32" t="n">
        <x:f>0</x:f>
        <x:v>0</x:v>
      </x:c>
      <x:c r="AF179" s="32" t="e">
        <x:f>IF(A179&lt;=Dashboard!$F$17,AD179*Dashboard!$F$6,0)</x:f>
      </x:c>
      <x:c r="AG179" s="32" t="e">
        <x:f>IF(A179&lt;=Dashboard!$F$17,MIN(Dashboard!$F$10,AD179+AF179),0)</x:f>
      </x:c>
      <x:c r="AH179" s="32" t="e">
        <x:f>IF(A179&lt;=Dashboard!$F$17,MAX(0,AD179-MAX(0,AG179-AF179)),0)</x:f>
      </x:c>
      <x:c r="AI179" s="32" t="e">
        <x:f>IF(A179=1,AF179,AI178+AF179)</x:f>
      </x:c>
      <x:c r="AJ179" s="33"/>
      <x:c r="AK179" s="33"/>
      <x:c r="AL179" s="33"/>
      <x:c r="AM179" s="33"/>
    </x:row>
    <x:row r="180">
      <x:c r="A180" s="33" t="n">
        <x:v>168</x:v>
      </x:c>
      <x:c r="B180" s="32" t="e">
        <x:f>IF(A180=1,Dashboard!$F$14,F179)</x:f>
      </x:c>
      <x:c r="C180" s="32" t="n">
        <x:f>0</x:f>
        <x:v>0</x:v>
      </x:c>
      <x:c r="D180" s="32" t="e">
        <x:f>IF(A180&lt;=Dashboard!$F$15,B180*Dashboard!$F$6,0)</x:f>
      </x:c>
      <x:c r="E180" s="32" t="e">
        <x:f>IF(A180&lt;=Dashboard!$F$15,MIN(Dashboard!$F$10,B180+D180),0)</x:f>
      </x:c>
      <x:c r="F180" s="32" t="e">
        <x:f>IF(A180&lt;=Dashboard!$F$15,MAX(0,B180-MAX(0,E180-D180)),0)</x:f>
      </x:c>
      <x:c r="G180" s="32" t="e">
        <x:f>IF(A180=1,D180,G179+D180)</x:f>
      </x:c>
      <x:c r="H180" s="32"/>
      <x:c r="I180" s="32" t="e">
        <x:f>IF(A180=1,Dashboard!$F$14,M179)</x:f>
      </x:c>
      <x:c r="J180" s="32" t="e">
        <x:f>IF(A180&lt;=Dashboard!$F$17,MIN(I180,$B$5),0)</x:f>
      </x:c>
      <x:c r="K180" s="32" t="e">
        <x:f>IF(A180&lt;=Dashboard!$F$17,MAX(0,I180-J180)*Dashboard!$F$6,0)</x:f>
      </x:c>
      <x:c r="L180" s="32" t="e">
        <x:f>IF(A180&lt;=Dashboard!$F$17,MIN(Dashboard!$F$10,MAX(0,I180-J180)+K180),0)</x:f>
      </x:c>
      <x:c r="M180" s="32" t="e">
        <x:f>IF(A180&lt;=Dashboard!$F$17,MAX(0,I180-J180-MAX(0,L180-K180)),0)</x:f>
      </x:c>
      <x:c r="N180" s="32" t="e">
        <x:f>IF(A180=1,K180,N179+K180)</x:f>
      </x:c>
      <x:c r="O180" s="32"/>
      <x:c r="P180" s="32" t="e">
        <x:f>IF(A180=1,Dashboard!$F$14,T179)</x:f>
      </x:c>
      <x:c r="Q180" s="32" t="e">
        <x:f>IF(A180&lt;=Dashboard!$F$17,MIN(P180,$B$6*52/12),0)</x:f>
      </x:c>
      <x:c r="R180" s="32" t="e">
        <x:f>IF(A180&lt;=Dashboard!$F$17,MAX(0,P180-Q180)*Dashboard!$F$6,0)</x:f>
      </x:c>
      <x:c r="S180" s="32" t="e">
        <x:f>IF(A180&lt;=Dashboard!$F$17,MIN(Dashboard!$F$10,MAX(0,P180-Q180)+R180),0)</x:f>
      </x:c>
      <x:c r="T180" s="32" t="e">
        <x:f>IF(A180&lt;=Dashboard!$F$17,MAX(0,P180-Q180-MAX(0,S180-R180)),0)</x:f>
      </x:c>
      <x:c r="U180" s="32" t="e">
        <x:f>IF(A180=1,R180,U179+R180)</x:f>
      </x:c>
      <x:c r="V180" s="32"/>
      <x:c r="W180" s="32" t="e">
        <x:f>IF(A180=1,Dashboard!$F$14,AA179)</x:f>
      </x:c>
      <x:c r="X180" s="32" t="e">
        <x:f>IF(AND(A180&lt;=Dashboard!$F$17,MOD(A180-1,12)=0),MIN(W180,$B$7),0)</x:f>
      </x:c>
      <x:c r="Y180" s="32" t="e">
        <x:f>IF(A180&lt;=Dashboard!$F$17,MAX(0,W180-X180)*Dashboard!$F$6,0)</x:f>
      </x:c>
      <x:c r="Z180" s="32" t="e">
        <x:f>IF(A180&lt;=Dashboard!$F$17,MIN(Dashboard!$F$10,MAX(0,W180-X180)+Y180),0)</x:f>
      </x:c>
      <x:c r="AA180" s="32" t="e">
        <x:f>IF(A180&lt;=Dashboard!$F$17,MAX(0,W180-X180-MAX(0,Z180-Y180)),0)</x:f>
      </x:c>
      <x:c r="AB180" s="32" t="e">
        <x:f>IF(A180=1,Y180,AB179+Y180)</x:f>
      </x:c>
      <x:c r="AC180" s="32"/>
      <x:c r="AD180" s="32" t="e">
        <x:f>IF(A180=1,MAX(0,Dashboard!$F$14-$B$8),AG179)</x:f>
      </x:c>
      <x:c r="AE180" s="32" t="n">
        <x:f>0</x:f>
        <x:v>0</x:v>
      </x:c>
      <x:c r="AF180" s="32" t="e">
        <x:f>IF(A180&lt;=Dashboard!$F$17,AD180*Dashboard!$F$6,0)</x:f>
      </x:c>
      <x:c r="AG180" s="32" t="e">
        <x:f>IF(A180&lt;=Dashboard!$F$17,MIN(Dashboard!$F$10,AD180+AF180),0)</x:f>
      </x:c>
      <x:c r="AH180" s="32" t="e">
        <x:f>IF(A180&lt;=Dashboard!$F$17,MAX(0,AD180-MAX(0,AG180-AF180)),0)</x:f>
      </x:c>
      <x:c r="AI180" s="32" t="e">
        <x:f>IF(A180=1,AF180,AI179+AF180)</x:f>
      </x:c>
      <x:c r="AJ180" s="33"/>
      <x:c r="AK180" s="33"/>
      <x:c r="AL180" s="33"/>
      <x:c r="AM180" s="33"/>
    </x:row>
    <x:row r="181">
      <x:c r="A181" s="33" t="n">
        <x:v>169</x:v>
      </x:c>
      <x:c r="B181" s="32" t="e">
        <x:f>IF(A181=1,Dashboard!$F$14,F180)</x:f>
      </x:c>
      <x:c r="C181" s="32" t="n">
        <x:f>0</x:f>
        <x:v>0</x:v>
      </x:c>
      <x:c r="D181" s="32" t="e">
        <x:f>IF(A181&lt;=Dashboard!$F$15,B181*Dashboard!$F$6,0)</x:f>
      </x:c>
      <x:c r="E181" s="32" t="e">
        <x:f>IF(A181&lt;=Dashboard!$F$15,MIN(Dashboard!$F$10,B181+D181),0)</x:f>
      </x:c>
      <x:c r="F181" s="32" t="e">
        <x:f>IF(A181&lt;=Dashboard!$F$15,MAX(0,B181-MAX(0,E181-D181)),0)</x:f>
      </x:c>
      <x:c r="G181" s="32" t="e">
        <x:f>IF(A181=1,D181,G180+D181)</x:f>
      </x:c>
      <x:c r="H181" s="32"/>
      <x:c r="I181" s="32" t="e">
        <x:f>IF(A181=1,Dashboard!$F$14,M180)</x:f>
      </x:c>
      <x:c r="J181" s="32" t="e">
        <x:f>IF(A181&lt;=Dashboard!$F$17,MIN(I181,$B$5),0)</x:f>
      </x:c>
      <x:c r="K181" s="32" t="e">
        <x:f>IF(A181&lt;=Dashboard!$F$17,MAX(0,I181-J181)*Dashboard!$F$6,0)</x:f>
      </x:c>
      <x:c r="L181" s="32" t="e">
        <x:f>IF(A181&lt;=Dashboard!$F$17,MIN(Dashboard!$F$10,MAX(0,I181-J181)+K181),0)</x:f>
      </x:c>
      <x:c r="M181" s="32" t="e">
        <x:f>IF(A181&lt;=Dashboard!$F$17,MAX(0,I181-J181-MAX(0,L181-K181)),0)</x:f>
      </x:c>
      <x:c r="N181" s="32" t="e">
        <x:f>IF(A181=1,K181,N180+K181)</x:f>
      </x:c>
      <x:c r="O181" s="32"/>
      <x:c r="P181" s="32" t="e">
        <x:f>IF(A181=1,Dashboard!$F$14,T180)</x:f>
      </x:c>
      <x:c r="Q181" s="32" t="e">
        <x:f>IF(A181&lt;=Dashboard!$F$17,MIN(P181,$B$6*52/12),0)</x:f>
      </x:c>
      <x:c r="R181" s="32" t="e">
        <x:f>IF(A181&lt;=Dashboard!$F$17,MAX(0,P181-Q181)*Dashboard!$F$6,0)</x:f>
      </x:c>
      <x:c r="S181" s="32" t="e">
        <x:f>IF(A181&lt;=Dashboard!$F$17,MIN(Dashboard!$F$10,MAX(0,P181-Q181)+R181),0)</x:f>
      </x:c>
      <x:c r="T181" s="32" t="e">
        <x:f>IF(A181&lt;=Dashboard!$F$17,MAX(0,P181-Q181-MAX(0,S181-R181)),0)</x:f>
      </x:c>
      <x:c r="U181" s="32" t="e">
        <x:f>IF(A181=1,R181,U180+R181)</x:f>
      </x:c>
      <x:c r="V181" s="32"/>
      <x:c r="W181" s="32" t="e">
        <x:f>IF(A181=1,Dashboard!$F$14,AA180)</x:f>
      </x:c>
      <x:c r="X181" s="32" t="e">
        <x:f>IF(AND(A181&lt;=Dashboard!$F$17,MOD(A181-1,12)=0),MIN(W181,$B$7),0)</x:f>
      </x:c>
      <x:c r="Y181" s="32" t="e">
        <x:f>IF(A181&lt;=Dashboard!$F$17,MAX(0,W181-X181)*Dashboard!$F$6,0)</x:f>
      </x:c>
      <x:c r="Z181" s="32" t="e">
        <x:f>IF(A181&lt;=Dashboard!$F$17,MIN(Dashboard!$F$10,MAX(0,W181-X181)+Y181),0)</x:f>
      </x:c>
      <x:c r="AA181" s="32" t="e">
        <x:f>IF(A181&lt;=Dashboard!$F$17,MAX(0,W181-X181-MAX(0,Z181-Y181)),0)</x:f>
      </x:c>
      <x:c r="AB181" s="32" t="e">
        <x:f>IF(A181=1,Y181,AB180+Y181)</x:f>
      </x:c>
      <x:c r="AC181" s="32"/>
      <x:c r="AD181" s="32" t="e">
        <x:f>IF(A181=1,MAX(0,Dashboard!$F$14-$B$8),AG180)</x:f>
      </x:c>
      <x:c r="AE181" s="32" t="n">
        <x:f>0</x:f>
        <x:v>0</x:v>
      </x:c>
      <x:c r="AF181" s="32" t="e">
        <x:f>IF(A181&lt;=Dashboard!$F$17,AD181*Dashboard!$F$6,0)</x:f>
      </x:c>
      <x:c r="AG181" s="32" t="e">
        <x:f>IF(A181&lt;=Dashboard!$F$17,MIN(Dashboard!$F$10,AD181+AF181),0)</x:f>
      </x:c>
      <x:c r="AH181" s="32" t="e">
        <x:f>IF(A181&lt;=Dashboard!$F$17,MAX(0,AD181-MAX(0,AG181-AF181)),0)</x:f>
      </x:c>
      <x:c r="AI181" s="32" t="e">
        <x:f>IF(A181=1,AF181,AI180+AF181)</x:f>
      </x:c>
      <x:c r="AJ181" s="33"/>
      <x:c r="AK181" s="33"/>
      <x:c r="AL181" s="33"/>
      <x:c r="AM181" s="33"/>
    </x:row>
    <x:row r="182">
      <x:c r="A182" s="33" t="n">
        <x:v>170</x:v>
      </x:c>
      <x:c r="B182" s="32" t="e">
        <x:f>IF(A182=1,Dashboard!$F$14,F181)</x:f>
      </x:c>
      <x:c r="C182" s="32" t="n">
        <x:f>0</x:f>
        <x:v>0</x:v>
      </x:c>
      <x:c r="D182" s="32" t="e">
        <x:f>IF(A182&lt;=Dashboard!$F$15,B182*Dashboard!$F$6,0)</x:f>
      </x:c>
      <x:c r="E182" s="32" t="e">
        <x:f>IF(A182&lt;=Dashboard!$F$15,MIN(Dashboard!$F$10,B182+D182),0)</x:f>
      </x:c>
      <x:c r="F182" s="32" t="e">
        <x:f>IF(A182&lt;=Dashboard!$F$15,MAX(0,B182-MAX(0,E182-D182)),0)</x:f>
      </x:c>
      <x:c r="G182" s="32" t="e">
        <x:f>IF(A182=1,D182,G181+D182)</x:f>
      </x:c>
      <x:c r="H182" s="32"/>
      <x:c r="I182" s="32" t="e">
        <x:f>IF(A182=1,Dashboard!$F$14,M181)</x:f>
      </x:c>
      <x:c r="J182" s="32" t="e">
        <x:f>IF(A182&lt;=Dashboard!$F$17,MIN(I182,$B$5),0)</x:f>
      </x:c>
      <x:c r="K182" s="32" t="e">
        <x:f>IF(A182&lt;=Dashboard!$F$17,MAX(0,I182-J182)*Dashboard!$F$6,0)</x:f>
      </x:c>
      <x:c r="L182" s="32" t="e">
        <x:f>IF(A182&lt;=Dashboard!$F$17,MIN(Dashboard!$F$10,MAX(0,I182-J182)+K182),0)</x:f>
      </x:c>
      <x:c r="M182" s="32" t="e">
        <x:f>IF(A182&lt;=Dashboard!$F$17,MAX(0,I182-J182-MAX(0,L182-K182)),0)</x:f>
      </x:c>
      <x:c r="N182" s="32" t="e">
        <x:f>IF(A182=1,K182,N181+K182)</x:f>
      </x:c>
      <x:c r="O182" s="32"/>
      <x:c r="P182" s="32" t="e">
        <x:f>IF(A182=1,Dashboard!$F$14,T181)</x:f>
      </x:c>
      <x:c r="Q182" s="32" t="e">
        <x:f>IF(A182&lt;=Dashboard!$F$17,MIN(P182,$B$6*52/12),0)</x:f>
      </x:c>
      <x:c r="R182" s="32" t="e">
        <x:f>IF(A182&lt;=Dashboard!$F$17,MAX(0,P182-Q182)*Dashboard!$F$6,0)</x:f>
      </x:c>
      <x:c r="S182" s="32" t="e">
        <x:f>IF(A182&lt;=Dashboard!$F$17,MIN(Dashboard!$F$10,MAX(0,P182-Q182)+R182),0)</x:f>
      </x:c>
      <x:c r="T182" s="32" t="e">
        <x:f>IF(A182&lt;=Dashboard!$F$17,MAX(0,P182-Q182-MAX(0,S182-R182)),0)</x:f>
      </x:c>
      <x:c r="U182" s="32" t="e">
        <x:f>IF(A182=1,R182,U181+R182)</x:f>
      </x:c>
      <x:c r="V182" s="32"/>
      <x:c r="W182" s="32" t="e">
        <x:f>IF(A182=1,Dashboard!$F$14,AA181)</x:f>
      </x:c>
      <x:c r="X182" s="32" t="e">
        <x:f>IF(AND(A182&lt;=Dashboard!$F$17,MOD(A182-1,12)=0),MIN(W182,$B$7),0)</x:f>
      </x:c>
      <x:c r="Y182" s="32" t="e">
        <x:f>IF(A182&lt;=Dashboard!$F$17,MAX(0,W182-X182)*Dashboard!$F$6,0)</x:f>
      </x:c>
      <x:c r="Z182" s="32" t="e">
        <x:f>IF(A182&lt;=Dashboard!$F$17,MIN(Dashboard!$F$10,MAX(0,W182-X182)+Y182),0)</x:f>
      </x:c>
      <x:c r="AA182" s="32" t="e">
        <x:f>IF(A182&lt;=Dashboard!$F$17,MAX(0,W182-X182-MAX(0,Z182-Y182)),0)</x:f>
      </x:c>
      <x:c r="AB182" s="32" t="e">
        <x:f>IF(A182=1,Y182,AB181+Y182)</x:f>
      </x:c>
      <x:c r="AC182" s="32"/>
      <x:c r="AD182" s="32" t="e">
        <x:f>IF(A182=1,MAX(0,Dashboard!$F$14-$B$8),AG181)</x:f>
      </x:c>
      <x:c r="AE182" s="32" t="n">
        <x:f>0</x:f>
        <x:v>0</x:v>
      </x:c>
      <x:c r="AF182" s="32" t="e">
        <x:f>IF(A182&lt;=Dashboard!$F$17,AD182*Dashboard!$F$6,0)</x:f>
      </x:c>
      <x:c r="AG182" s="32" t="e">
        <x:f>IF(A182&lt;=Dashboard!$F$17,MIN(Dashboard!$F$10,AD182+AF182),0)</x:f>
      </x:c>
      <x:c r="AH182" s="32" t="e">
        <x:f>IF(A182&lt;=Dashboard!$F$17,MAX(0,AD182-MAX(0,AG182-AF182)),0)</x:f>
      </x:c>
      <x:c r="AI182" s="32" t="e">
        <x:f>IF(A182=1,AF182,AI181+AF182)</x:f>
      </x:c>
      <x:c r="AJ182" s="33"/>
      <x:c r="AK182" s="33"/>
      <x:c r="AL182" s="33"/>
      <x:c r="AM182" s="33"/>
    </x:row>
    <x:row r="183">
      <x:c r="A183" s="33" t="n">
        <x:v>171</x:v>
      </x:c>
      <x:c r="B183" s="32" t="e">
        <x:f>IF(A183=1,Dashboard!$F$14,F182)</x:f>
      </x:c>
      <x:c r="C183" s="32" t="n">
        <x:f>0</x:f>
        <x:v>0</x:v>
      </x:c>
      <x:c r="D183" s="32" t="e">
        <x:f>IF(A183&lt;=Dashboard!$F$15,B183*Dashboard!$F$6,0)</x:f>
      </x:c>
      <x:c r="E183" s="32" t="e">
        <x:f>IF(A183&lt;=Dashboard!$F$15,MIN(Dashboard!$F$10,B183+D183),0)</x:f>
      </x:c>
      <x:c r="F183" s="32" t="e">
        <x:f>IF(A183&lt;=Dashboard!$F$15,MAX(0,B183-MAX(0,E183-D183)),0)</x:f>
      </x:c>
      <x:c r="G183" s="32" t="e">
        <x:f>IF(A183=1,D183,G182+D183)</x:f>
      </x:c>
      <x:c r="H183" s="32"/>
      <x:c r="I183" s="32" t="e">
        <x:f>IF(A183=1,Dashboard!$F$14,M182)</x:f>
      </x:c>
      <x:c r="J183" s="32" t="e">
        <x:f>IF(A183&lt;=Dashboard!$F$17,MIN(I183,$B$5),0)</x:f>
      </x:c>
      <x:c r="K183" s="32" t="e">
        <x:f>IF(A183&lt;=Dashboard!$F$17,MAX(0,I183-J183)*Dashboard!$F$6,0)</x:f>
      </x:c>
      <x:c r="L183" s="32" t="e">
        <x:f>IF(A183&lt;=Dashboard!$F$17,MIN(Dashboard!$F$10,MAX(0,I183-J183)+K183),0)</x:f>
      </x:c>
      <x:c r="M183" s="32" t="e">
        <x:f>IF(A183&lt;=Dashboard!$F$17,MAX(0,I183-J183-MAX(0,L183-K183)),0)</x:f>
      </x:c>
      <x:c r="N183" s="32" t="e">
        <x:f>IF(A183=1,K183,N182+K183)</x:f>
      </x:c>
      <x:c r="O183" s="32"/>
      <x:c r="P183" s="32" t="e">
        <x:f>IF(A183=1,Dashboard!$F$14,T182)</x:f>
      </x:c>
      <x:c r="Q183" s="32" t="e">
        <x:f>IF(A183&lt;=Dashboard!$F$17,MIN(P183,$B$6*52/12),0)</x:f>
      </x:c>
      <x:c r="R183" s="32" t="e">
        <x:f>IF(A183&lt;=Dashboard!$F$17,MAX(0,P183-Q183)*Dashboard!$F$6,0)</x:f>
      </x:c>
      <x:c r="S183" s="32" t="e">
        <x:f>IF(A183&lt;=Dashboard!$F$17,MIN(Dashboard!$F$10,MAX(0,P183-Q183)+R183),0)</x:f>
      </x:c>
      <x:c r="T183" s="32" t="e">
        <x:f>IF(A183&lt;=Dashboard!$F$17,MAX(0,P183-Q183-MAX(0,S183-R183)),0)</x:f>
      </x:c>
      <x:c r="U183" s="32" t="e">
        <x:f>IF(A183=1,R183,U182+R183)</x:f>
      </x:c>
      <x:c r="V183" s="32"/>
      <x:c r="W183" s="32" t="e">
        <x:f>IF(A183=1,Dashboard!$F$14,AA182)</x:f>
      </x:c>
      <x:c r="X183" s="32" t="e">
        <x:f>IF(AND(A183&lt;=Dashboard!$F$17,MOD(A183-1,12)=0),MIN(W183,$B$7),0)</x:f>
      </x:c>
      <x:c r="Y183" s="32" t="e">
        <x:f>IF(A183&lt;=Dashboard!$F$17,MAX(0,W183-X183)*Dashboard!$F$6,0)</x:f>
      </x:c>
      <x:c r="Z183" s="32" t="e">
        <x:f>IF(A183&lt;=Dashboard!$F$17,MIN(Dashboard!$F$10,MAX(0,W183-X183)+Y183),0)</x:f>
      </x:c>
      <x:c r="AA183" s="32" t="e">
        <x:f>IF(A183&lt;=Dashboard!$F$17,MAX(0,W183-X183-MAX(0,Z183-Y183)),0)</x:f>
      </x:c>
      <x:c r="AB183" s="32" t="e">
        <x:f>IF(A183=1,Y183,AB182+Y183)</x:f>
      </x:c>
      <x:c r="AC183" s="32"/>
      <x:c r="AD183" s="32" t="e">
        <x:f>IF(A183=1,MAX(0,Dashboard!$F$14-$B$8),AG182)</x:f>
      </x:c>
      <x:c r="AE183" s="32" t="n">
        <x:f>0</x:f>
        <x:v>0</x:v>
      </x:c>
      <x:c r="AF183" s="32" t="e">
        <x:f>IF(A183&lt;=Dashboard!$F$17,AD183*Dashboard!$F$6,0)</x:f>
      </x:c>
      <x:c r="AG183" s="32" t="e">
        <x:f>IF(A183&lt;=Dashboard!$F$17,MIN(Dashboard!$F$10,AD183+AF183),0)</x:f>
      </x:c>
      <x:c r="AH183" s="32" t="e">
        <x:f>IF(A183&lt;=Dashboard!$F$17,MAX(0,AD183-MAX(0,AG183-AF183)),0)</x:f>
      </x:c>
      <x:c r="AI183" s="32" t="e">
        <x:f>IF(A183=1,AF183,AI182+AF183)</x:f>
      </x:c>
      <x:c r="AJ183" s="33"/>
      <x:c r="AK183" s="33"/>
      <x:c r="AL183" s="33"/>
      <x:c r="AM183" s="33"/>
    </x:row>
    <x:row r="184">
      <x:c r="A184" s="33" t="n">
        <x:v>172</x:v>
      </x:c>
      <x:c r="B184" s="32" t="e">
        <x:f>IF(A184=1,Dashboard!$F$14,F183)</x:f>
      </x:c>
      <x:c r="C184" s="32" t="n">
        <x:f>0</x:f>
        <x:v>0</x:v>
      </x:c>
      <x:c r="D184" s="32" t="e">
        <x:f>IF(A184&lt;=Dashboard!$F$15,B184*Dashboard!$F$6,0)</x:f>
      </x:c>
      <x:c r="E184" s="32" t="e">
        <x:f>IF(A184&lt;=Dashboard!$F$15,MIN(Dashboard!$F$10,B184+D184),0)</x:f>
      </x:c>
      <x:c r="F184" s="32" t="e">
        <x:f>IF(A184&lt;=Dashboard!$F$15,MAX(0,B184-MAX(0,E184-D184)),0)</x:f>
      </x:c>
      <x:c r="G184" s="32" t="e">
        <x:f>IF(A184=1,D184,G183+D184)</x:f>
      </x:c>
      <x:c r="H184" s="32"/>
      <x:c r="I184" s="32" t="e">
        <x:f>IF(A184=1,Dashboard!$F$14,M183)</x:f>
      </x:c>
      <x:c r="J184" s="32" t="e">
        <x:f>IF(A184&lt;=Dashboard!$F$17,MIN(I184,$B$5),0)</x:f>
      </x:c>
      <x:c r="K184" s="32" t="e">
        <x:f>IF(A184&lt;=Dashboard!$F$17,MAX(0,I184-J184)*Dashboard!$F$6,0)</x:f>
      </x:c>
      <x:c r="L184" s="32" t="e">
        <x:f>IF(A184&lt;=Dashboard!$F$17,MIN(Dashboard!$F$10,MAX(0,I184-J184)+K184),0)</x:f>
      </x:c>
      <x:c r="M184" s="32" t="e">
        <x:f>IF(A184&lt;=Dashboard!$F$17,MAX(0,I184-J184-MAX(0,L184-K184)),0)</x:f>
      </x:c>
      <x:c r="N184" s="32" t="e">
        <x:f>IF(A184=1,K184,N183+K184)</x:f>
      </x:c>
      <x:c r="O184" s="32"/>
      <x:c r="P184" s="32" t="e">
        <x:f>IF(A184=1,Dashboard!$F$14,T183)</x:f>
      </x:c>
      <x:c r="Q184" s="32" t="e">
        <x:f>IF(A184&lt;=Dashboard!$F$17,MIN(P184,$B$6*52/12),0)</x:f>
      </x:c>
      <x:c r="R184" s="32" t="e">
        <x:f>IF(A184&lt;=Dashboard!$F$17,MAX(0,P184-Q184)*Dashboard!$F$6,0)</x:f>
      </x:c>
      <x:c r="S184" s="32" t="e">
        <x:f>IF(A184&lt;=Dashboard!$F$17,MIN(Dashboard!$F$10,MAX(0,P184-Q184)+R184),0)</x:f>
      </x:c>
      <x:c r="T184" s="32" t="e">
        <x:f>IF(A184&lt;=Dashboard!$F$17,MAX(0,P184-Q184-MAX(0,S184-R184)),0)</x:f>
      </x:c>
      <x:c r="U184" s="32" t="e">
        <x:f>IF(A184=1,R184,U183+R184)</x:f>
      </x:c>
      <x:c r="V184" s="32"/>
      <x:c r="W184" s="32" t="e">
        <x:f>IF(A184=1,Dashboard!$F$14,AA183)</x:f>
      </x:c>
      <x:c r="X184" s="32" t="e">
        <x:f>IF(AND(A184&lt;=Dashboard!$F$17,MOD(A184-1,12)=0),MIN(W184,$B$7),0)</x:f>
      </x:c>
      <x:c r="Y184" s="32" t="e">
        <x:f>IF(A184&lt;=Dashboard!$F$17,MAX(0,W184-X184)*Dashboard!$F$6,0)</x:f>
      </x:c>
      <x:c r="Z184" s="32" t="e">
        <x:f>IF(A184&lt;=Dashboard!$F$17,MIN(Dashboard!$F$10,MAX(0,W184-X184)+Y184),0)</x:f>
      </x:c>
      <x:c r="AA184" s="32" t="e">
        <x:f>IF(A184&lt;=Dashboard!$F$17,MAX(0,W184-X184-MAX(0,Z184-Y184)),0)</x:f>
      </x:c>
      <x:c r="AB184" s="32" t="e">
        <x:f>IF(A184=1,Y184,AB183+Y184)</x:f>
      </x:c>
      <x:c r="AC184" s="32"/>
      <x:c r="AD184" s="32" t="e">
        <x:f>IF(A184=1,MAX(0,Dashboard!$F$14-$B$8),AG183)</x:f>
      </x:c>
      <x:c r="AE184" s="32" t="n">
        <x:f>0</x:f>
        <x:v>0</x:v>
      </x:c>
      <x:c r="AF184" s="32" t="e">
        <x:f>IF(A184&lt;=Dashboard!$F$17,AD184*Dashboard!$F$6,0)</x:f>
      </x:c>
      <x:c r="AG184" s="32" t="e">
        <x:f>IF(A184&lt;=Dashboard!$F$17,MIN(Dashboard!$F$10,AD184+AF184),0)</x:f>
      </x:c>
      <x:c r="AH184" s="32" t="e">
        <x:f>IF(A184&lt;=Dashboard!$F$17,MAX(0,AD184-MAX(0,AG184-AF184)),0)</x:f>
      </x:c>
      <x:c r="AI184" s="32" t="e">
        <x:f>IF(A184=1,AF184,AI183+AF184)</x:f>
      </x:c>
      <x:c r="AJ184" s="33"/>
      <x:c r="AK184" s="33"/>
      <x:c r="AL184" s="33"/>
      <x:c r="AM184" s="33"/>
    </x:row>
    <x:row r="185">
      <x:c r="A185" s="33" t="n">
        <x:v>173</x:v>
      </x:c>
      <x:c r="B185" s="32" t="e">
        <x:f>IF(A185=1,Dashboard!$F$14,F184)</x:f>
      </x:c>
      <x:c r="C185" s="32" t="n">
        <x:f>0</x:f>
        <x:v>0</x:v>
      </x:c>
      <x:c r="D185" s="32" t="e">
        <x:f>IF(A185&lt;=Dashboard!$F$15,B185*Dashboard!$F$6,0)</x:f>
      </x:c>
      <x:c r="E185" s="32" t="e">
        <x:f>IF(A185&lt;=Dashboard!$F$15,MIN(Dashboard!$F$10,B185+D185),0)</x:f>
      </x:c>
      <x:c r="F185" s="32" t="e">
        <x:f>IF(A185&lt;=Dashboard!$F$15,MAX(0,B185-MAX(0,E185-D185)),0)</x:f>
      </x:c>
      <x:c r="G185" s="32" t="e">
        <x:f>IF(A185=1,D185,G184+D185)</x:f>
      </x:c>
      <x:c r="H185" s="32"/>
      <x:c r="I185" s="32" t="e">
        <x:f>IF(A185=1,Dashboard!$F$14,M184)</x:f>
      </x:c>
      <x:c r="J185" s="32" t="e">
        <x:f>IF(A185&lt;=Dashboard!$F$17,MIN(I185,$B$5),0)</x:f>
      </x:c>
      <x:c r="K185" s="32" t="e">
        <x:f>IF(A185&lt;=Dashboard!$F$17,MAX(0,I185-J185)*Dashboard!$F$6,0)</x:f>
      </x:c>
      <x:c r="L185" s="32" t="e">
        <x:f>IF(A185&lt;=Dashboard!$F$17,MIN(Dashboard!$F$10,MAX(0,I185-J185)+K185),0)</x:f>
      </x:c>
      <x:c r="M185" s="32" t="e">
        <x:f>IF(A185&lt;=Dashboard!$F$17,MAX(0,I185-J185-MAX(0,L185-K185)),0)</x:f>
      </x:c>
      <x:c r="N185" s="32" t="e">
        <x:f>IF(A185=1,K185,N184+K185)</x:f>
      </x:c>
      <x:c r="O185" s="32"/>
      <x:c r="P185" s="32" t="e">
        <x:f>IF(A185=1,Dashboard!$F$14,T184)</x:f>
      </x:c>
      <x:c r="Q185" s="32" t="e">
        <x:f>IF(A185&lt;=Dashboard!$F$17,MIN(P185,$B$6*52/12),0)</x:f>
      </x:c>
      <x:c r="R185" s="32" t="e">
        <x:f>IF(A185&lt;=Dashboard!$F$17,MAX(0,P185-Q185)*Dashboard!$F$6,0)</x:f>
      </x:c>
      <x:c r="S185" s="32" t="e">
        <x:f>IF(A185&lt;=Dashboard!$F$17,MIN(Dashboard!$F$10,MAX(0,P185-Q185)+R185),0)</x:f>
      </x:c>
      <x:c r="T185" s="32" t="e">
        <x:f>IF(A185&lt;=Dashboard!$F$17,MAX(0,P185-Q185-MAX(0,S185-R185)),0)</x:f>
      </x:c>
      <x:c r="U185" s="32" t="e">
        <x:f>IF(A185=1,R185,U184+R185)</x:f>
      </x:c>
      <x:c r="V185" s="32"/>
      <x:c r="W185" s="32" t="e">
        <x:f>IF(A185=1,Dashboard!$F$14,AA184)</x:f>
      </x:c>
      <x:c r="X185" s="32" t="e">
        <x:f>IF(AND(A185&lt;=Dashboard!$F$17,MOD(A185-1,12)=0),MIN(W185,$B$7),0)</x:f>
      </x:c>
      <x:c r="Y185" s="32" t="e">
        <x:f>IF(A185&lt;=Dashboard!$F$17,MAX(0,W185-X185)*Dashboard!$F$6,0)</x:f>
      </x:c>
      <x:c r="Z185" s="32" t="e">
        <x:f>IF(A185&lt;=Dashboard!$F$17,MIN(Dashboard!$F$10,MAX(0,W185-X185)+Y185),0)</x:f>
      </x:c>
      <x:c r="AA185" s="32" t="e">
        <x:f>IF(A185&lt;=Dashboard!$F$17,MAX(0,W185-X185-MAX(0,Z185-Y185)),0)</x:f>
      </x:c>
      <x:c r="AB185" s="32" t="e">
        <x:f>IF(A185=1,Y185,AB184+Y185)</x:f>
      </x:c>
      <x:c r="AC185" s="32"/>
      <x:c r="AD185" s="32" t="e">
        <x:f>IF(A185=1,MAX(0,Dashboard!$F$14-$B$8),AG184)</x:f>
      </x:c>
      <x:c r="AE185" s="32" t="n">
        <x:f>0</x:f>
        <x:v>0</x:v>
      </x:c>
      <x:c r="AF185" s="32" t="e">
        <x:f>IF(A185&lt;=Dashboard!$F$17,AD185*Dashboard!$F$6,0)</x:f>
      </x:c>
      <x:c r="AG185" s="32" t="e">
        <x:f>IF(A185&lt;=Dashboard!$F$17,MIN(Dashboard!$F$10,AD185+AF185),0)</x:f>
      </x:c>
      <x:c r="AH185" s="32" t="e">
        <x:f>IF(A185&lt;=Dashboard!$F$17,MAX(0,AD185-MAX(0,AG185-AF185)),0)</x:f>
      </x:c>
      <x:c r="AI185" s="32" t="e">
        <x:f>IF(A185=1,AF185,AI184+AF185)</x:f>
      </x:c>
      <x:c r="AJ185" s="33"/>
      <x:c r="AK185" s="33"/>
      <x:c r="AL185" s="33"/>
      <x:c r="AM185" s="33"/>
    </x:row>
    <x:row r="186">
      <x:c r="A186" s="33" t="n">
        <x:v>174</x:v>
      </x:c>
      <x:c r="B186" s="32" t="e">
        <x:f>IF(A186=1,Dashboard!$F$14,F185)</x:f>
      </x:c>
      <x:c r="C186" s="32" t="n">
        <x:f>0</x:f>
        <x:v>0</x:v>
      </x:c>
      <x:c r="D186" s="32" t="e">
        <x:f>IF(A186&lt;=Dashboard!$F$15,B186*Dashboard!$F$6,0)</x:f>
      </x:c>
      <x:c r="E186" s="32" t="e">
        <x:f>IF(A186&lt;=Dashboard!$F$15,MIN(Dashboard!$F$10,B186+D186),0)</x:f>
      </x:c>
      <x:c r="F186" s="32" t="e">
        <x:f>IF(A186&lt;=Dashboard!$F$15,MAX(0,B186-MAX(0,E186-D186)),0)</x:f>
      </x:c>
      <x:c r="G186" s="32" t="e">
        <x:f>IF(A186=1,D186,G185+D186)</x:f>
      </x:c>
      <x:c r="H186" s="32"/>
      <x:c r="I186" s="32" t="e">
        <x:f>IF(A186=1,Dashboard!$F$14,M185)</x:f>
      </x:c>
      <x:c r="J186" s="32" t="e">
        <x:f>IF(A186&lt;=Dashboard!$F$17,MIN(I186,$B$5),0)</x:f>
      </x:c>
      <x:c r="K186" s="32" t="e">
        <x:f>IF(A186&lt;=Dashboard!$F$17,MAX(0,I186-J186)*Dashboard!$F$6,0)</x:f>
      </x:c>
      <x:c r="L186" s="32" t="e">
        <x:f>IF(A186&lt;=Dashboard!$F$17,MIN(Dashboard!$F$10,MAX(0,I186-J186)+K186),0)</x:f>
      </x:c>
      <x:c r="M186" s="32" t="e">
        <x:f>IF(A186&lt;=Dashboard!$F$17,MAX(0,I186-J186-MAX(0,L186-K186)),0)</x:f>
      </x:c>
      <x:c r="N186" s="32" t="e">
        <x:f>IF(A186=1,K186,N185+K186)</x:f>
      </x:c>
      <x:c r="O186" s="32"/>
      <x:c r="P186" s="32" t="e">
        <x:f>IF(A186=1,Dashboard!$F$14,T185)</x:f>
      </x:c>
      <x:c r="Q186" s="32" t="e">
        <x:f>IF(A186&lt;=Dashboard!$F$17,MIN(P186,$B$6*52/12),0)</x:f>
      </x:c>
      <x:c r="R186" s="32" t="e">
        <x:f>IF(A186&lt;=Dashboard!$F$17,MAX(0,P186-Q186)*Dashboard!$F$6,0)</x:f>
      </x:c>
      <x:c r="S186" s="32" t="e">
        <x:f>IF(A186&lt;=Dashboard!$F$17,MIN(Dashboard!$F$10,MAX(0,P186-Q186)+R186),0)</x:f>
      </x:c>
      <x:c r="T186" s="32" t="e">
        <x:f>IF(A186&lt;=Dashboard!$F$17,MAX(0,P186-Q186-MAX(0,S186-R186)),0)</x:f>
      </x:c>
      <x:c r="U186" s="32" t="e">
        <x:f>IF(A186=1,R186,U185+R186)</x:f>
      </x:c>
      <x:c r="V186" s="32"/>
      <x:c r="W186" s="32" t="e">
        <x:f>IF(A186=1,Dashboard!$F$14,AA185)</x:f>
      </x:c>
      <x:c r="X186" s="32" t="e">
        <x:f>IF(AND(A186&lt;=Dashboard!$F$17,MOD(A186-1,12)=0),MIN(W186,$B$7),0)</x:f>
      </x:c>
      <x:c r="Y186" s="32" t="e">
        <x:f>IF(A186&lt;=Dashboard!$F$17,MAX(0,W186-X186)*Dashboard!$F$6,0)</x:f>
      </x:c>
      <x:c r="Z186" s="32" t="e">
        <x:f>IF(A186&lt;=Dashboard!$F$17,MIN(Dashboard!$F$10,MAX(0,W186-X186)+Y186),0)</x:f>
      </x:c>
      <x:c r="AA186" s="32" t="e">
        <x:f>IF(A186&lt;=Dashboard!$F$17,MAX(0,W186-X186-MAX(0,Z186-Y186)),0)</x:f>
      </x:c>
      <x:c r="AB186" s="32" t="e">
        <x:f>IF(A186=1,Y186,AB185+Y186)</x:f>
      </x:c>
      <x:c r="AC186" s="32"/>
      <x:c r="AD186" s="32" t="e">
        <x:f>IF(A186=1,MAX(0,Dashboard!$F$14-$B$8),AG185)</x:f>
      </x:c>
      <x:c r="AE186" s="32" t="n">
        <x:f>0</x:f>
        <x:v>0</x:v>
      </x:c>
      <x:c r="AF186" s="32" t="e">
        <x:f>IF(A186&lt;=Dashboard!$F$17,AD186*Dashboard!$F$6,0)</x:f>
      </x:c>
      <x:c r="AG186" s="32" t="e">
        <x:f>IF(A186&lt;=Dashboard!$F$17,MIN(Dashboard!$F$10,AD186+AF186),0)</x:f>
      </x:c>
      <x:c r="AH186" s="32" t="e">
        <x:f>IF(A186&lt;=Dashboard!$F$17,MAX(0,AD186-MAX(0,AG186-AF186)),0)</x:f>
      </x:c>
      <x:c r="AI186" s="32" t="e">
        <x:f>IF(A186=1,AF186,AI185+AF186)</x:f>
      </x:c>
      <x:c r="AJ186" s="33"/>
      <x:c r="AK186" s="33"/>
      <x:c r="AL186" s="33"/>
      <x:c r="AM186" s="33"/>
    </x:row>
    <x:row r="187">
      <x:c r="A187" s="33" t="n">
        <x:v>175</x:v>
      </x:c>
      <x:c r="B187" s="32" t="e">
        <x:f>IF(A187=1,Dashboard!$F$14,F186)</x:f>
      </x:c>
      <x:c r="C187" s="32" t="n">
        <x:f>0</x:f>
        <x:v>0</x:v>
      </x:c>
      <x:c r="D187" s="32" t="e">
        <x:f>IF(A187&lt;=Dashboard!$F$15,B187*Dashboard!$F$6,0)</x:f>
      </x:c>
      <x:c r="E187" s="32" t="e">
        <x:f>IF(A187&lt;=Dashboard!$F$15,MIN(Dashboard!$F$10,B187+D187),0)</x:f>
      </x:c>
      <x:c r="F187" s="32" t="e">
        <x:f>IF(A187&lt;=Dashboard!$F$15,MAX(0,B187-MAX(0,E187-D187)),0)</x:f>
      </x:c>
      <x:c r="G187" s="32" t="e">
        <x:f>IF(A187=1,D187,G186+D187)</x:f>
      </x:c>
      <x:c r="H187" s="32"/>
      <x:c r="I187" s="32" t="e">
        <x:f>IF(A187=1,Dashboard!$F$14,M186)</x:f>
      </x:c>
      <x:c r="J187" s="32" t="e">
        <x:f>IF(A187&lt;=Dashboard!$F$17,MIN(I187,$B$5),0)</x:f>
      </x:c>
      <x:c r="K187" s="32" t="e">
        <x:f>IF(A187&lt;=Dashboard!$F$17,MAX(0,I187-J187)*Dashboard!$F$6,0)</x:f>
      </x:c>
      <x:c r="L187" s="32" t="e">
        <x:f>IF(A187&lt;=Dashboard!$F$17,MIN(Dashboard!$F$10,MAX(0,I187-J187)+K187),0)</x:f>
      </x:c>
      <x:c r="M187" s="32" t="e">
        <x:f>IF(A187&lt;=Dashboard!$F$17,MAX(0,I187-J187-MAX(0,L187-K187)),0)</x:f>
      </x:c>
      <x:c r="N187" s="32" t="e">
        <x:f>IF(A187=1,K187,N186+K187)</x:f>
      </x:c>
      <x:c r="O187" s="32"/>
      <x:c r="P187" s="32" t="e">
        <x:f>IF(A187=1,Dashboard!$F$14,T186)</x:f>
      </x:c>
      <x:c r="Q187" s="32" t="e">
        <x:f>IF(A187&lt;=Dashboard!$F$17,MIN(P187,$B$6*52/12),0)</x:f>
      </x:c>
      <x:c r="R187" s="32" t="e">
        <x:f>IF(A187&lt;=Dashboard!$F$17,MAX(0,P187-Q187)*Dashboard!$F$6,0)</x:f>
      </x:c>
      <x:c r="S187" s="32" t="e">
        <x:f>IF(A187&lt;=Dashboard!$F$17,MIN(Dashboard!$F$10,MAX(0,P187-Q187)+R187),0)</x:f>
      </x:c>
      <x:c r="T187" s="32" t="e">
        <x:f>IF(A187&lt;=Dashboard!$F$17,MAX(0,P187-Q187-MAX(0,S187-R187)),0)</x:f>
      </x:c>
      <x:c r="U187" s="32" t="e">
        <x:f>IF(A187=1,R187,U186+R187)</x:f>
      </x:c>
      <x:c r="V187" s="32"/>
      <x:c r="W187" s="32" t="e">
        <x:f>IF(A187=1,Dashboard!$F$14,AA186)</x:f>
      </x:c>
      <x:c r="X187" s="32" t="e">
        <x:f>IF(AND(A187&lt;=Dashboard!$F$17,MOD(A187-1,12)=0),MIN(W187,$B$7),0)</x:f>
      </x:c>
      <x:c r="Y187" s="32" t="e">
        <x:f>IF(A187&lt;=Dashboard!$F$17,MAX(0,W187-X187)*Dashboard!$F$6,0)</x:f>
      </x:c>
      <x:c r="Z187" s="32" t="e">
        <x:f>IF(A187&lt;=Dashboard!$F$17,MIN(Dashboard!$F$10,MAX(0,W187-X187)+Y187),0)</x:f>
      </x:c>
      <x:c r="AA187" s="32" t="e">
        <x:f>IF(A187&lt;=Dashboard!$F$17,MAX(0,W187-X187-MAX(0,Z187-Y187)),0)</x:f>
      </x:c>
      <x:c r="AB187" s="32" t="e">
        <x:f>IF(A187=1,Y187,AB186+Y187)</x:f>
      </x:c>
      <x:c r="AC187" s="32"/>
      <x:c r="AD187" s="32" t="e">
        <x:f>IF(A187=1,MAX(0,Dashboard!$F$14-$B$8),AG186)</x:f>
      </x:c>
      <x:c r="AE187" s="32" t="n">
        <x:f>0</x:f>
        <x:v>0</x:v>
      </x:c>
      <x:c r="AF187" s="32" t="e">
        <x:f>IF(A187&lt;=Dashboard!$F$17,AD187*Dashboard!$F$6,0)</x:f>
      </x:c>
      <x:c r="AG187" s="32" t="e">
        <x:f>IF(A187&lt;=Dashboard!$F$17,MIN(Dashboard!$F$10,AD187+AF187),0)</x:f>
      </x:c>
      <x:c r="AH187" s="32" t="e">
        <x:f>IF(A187&lt;=Dashboard!$F$17,MAX(0,AD187-MAX(0,AG187-AF187)),0)</x:f>
      </x:c>
      <x:c r="AI187" s="32" t="e">
        <x:f>IF(A187=1,AF187,AI186+AF187)</x:f>
      </x:c>
      <x:c r="AJ187" s="33"/>
      <x:c r="AK187" s="33"/>
      <x:c r="AL187" s="33"/>
      <x:c r="AM187" s="33"/>
    </x:row>
    <x:row r="188">
      <x:c r="A188" s="33" t="n">
        <x:v>176</x:v>
      </x:c>
      <x:c r="B188" s="32" t="e">
        <x:f>IF(A188=1,Dashboard!$F$14,F187)</x:f>
      </x:c>
      <x:c r="C188" s="32" t="n">
        <x:f>0</x:f>
        <x:v>0</x:v>
      </x:c>
      <x:c r="D188" s="32" t="e">
        <x:f>IF(A188&lt;=Dashboard!$F$15,B188*Dashboard!$F$6,0)</x:f>
      </x:c>
      <x:c r="E188" s="32" t="e">
        <x:f>IF(A188&lt;=Dashboard!$F$15,MIN(Dashboard!$F$10,B188+D188),0)</x:f>
      </x:c>
      <x:c r="F188" s="32" t="e">
        <x:f>IF(A188&lt;=Dashboard!$F$15,MAX(0,B188-MAX(0,E188-D188)),0)</x:f>
      </x:c>
      <x:c r="G188" s="32" t="e">
        <x:f>IF(A188=1,D188,G187+D188)</x:f>
      </x:c>
      <x:c r="H188" s="32"/>
      <x:c r="I188" s="32" t="e">
        <x:f>IF(A188=1,Dashboard!$F$14,M187)</x:f>
      </x:c>
      <x:c r="J188" s="32" t="e">
        <x:f>IF(A188&lt;=Dashboard!$F$17,MIN(I188,$B$5),0)</x:f>
      </x:c>
      <x:c r="K188" s="32" t="e">
        <x:f>IF(A188&lt;=Dashboard!$F$17,MAX(0,I188-J188)*Dashboard!$F$6,0)</x:f>
      </x:c>
      <x:c r="L188" s="32" t="e">
        <x:f>IF(A188&lt;=Dashboard!$F$17,MIN(Dashboard!$F$10,MAX(0,I188-J188)+K188),0)</x:f>
      </x:c>
      <x:c r="M188" s="32" t="e">
        <x:f>IF(A188&lt;=Dashboard!$F$17,MAX(0,I188-J188-MAX(0,L188-K188)),0)</x:f>
      </x:c>
      <x:c r="N188" s="32" t="e">
        <x:f>IF(A188=1,K188,N187+K188)</x:f>
      </x:c>
      <x:c r="O188" s="32"/>
      <x:c r="P188" s="32" t="e">
        <x:f>IF(A188=1,Dashboard!$F$14,T187)</x:f>
      </x:c>
      <x:c r="Q188" s="32" t="e">
        <x:f>IF(A188&lt;=Dashboard!$F$17,MIN(P188,$B$6*52/12),0)</x:f>
      </x:c>
      <x:c r="R188" s="32" t="e">
        <x:f>IF(A188&lt;=Dashboard!$F$17,MAX(0,P188-Q188)*Dashboard!$F$6,0)</x:f>
      </x:c>
      <x:c r="S188" s="32" t="e">
        <x:f>IF(A188&lt;=Dashboard!$F$17,MIN(Dashboard!$F$10,MAX(0,P188-Q188)+R188),0)</x:f>
      </x:c>
      <x:c r="T188" s="32" t="e">
        <x:f>IF(A188&lt;=Dashboard!$F$17,MAX(0,P188-Q188-MAX(0,S188-R188)),0)</x:f>
      </x:c>
      <x:c r="U188" s="32" t="e">
        <x:f>IF(A188=1,R188,U187+R188)</x:f>
      </x:c>
      <x:c r="V188" s="32"/>
      <x:c r="W188" s="32" t="e">
        <x:f>IF(A188=1,Dashboard!$F$14,AA187)</x:f>
      </x:c>
      <x:c r="X188" s="32" t="e">
        <x:f>IF(AND(A188&lt;=Dashboard!$F$17,MOD(A188-1,12)=0),MIN(W188,$B$7),0)</x:f>
      </x:c>
      <x:c r="Y188" s="32" t="e">
        <x:f>IF(A188&lt;=Dashboard!$F$17,MAX(0,W188-X188)*Dashboard!$F$6,0)</x:f>
      </x:c>
      <x:c r="Z188" s="32" t="e">
        <x:f>IF(A188&lt;=Dashboard!$F$17,MIN(Dashboard!$F$10,MAX(0,W188-X188)+Y188),0)</x:f>
      </x:c>
      <x:c r="AA188" s="32" t="e">
        <x:f>IF(A188&lt;=Dashboard!$F$17,MAX(0,W188-X188-MAX(0,Z188-Y188)),0)</x:f>
      </x:c>
      <x:c r="AB188" s="32" t="e">
        <x:f>IF(A188=1,Y188,AB187+Y188)</x:f>
      </x:c>
      <x:c r="AC188" s="32"/>
      <x:c r="AD188" s="32" t="e">
        <x:f>IF(A188=1,MAX(0,Dashboard!$F$14-$B$8),AG187)</x:f>
      </x:c>
      <x:c r="AE188" s="32" t="n">
        <x:f>0</x:f>
        <x:v>0</x:v>
      </x:c>
      <x:c r="AF188" s="32" t="e">
        <x:f>IF(A188&lt;=Dashboard!$F$17,AD188*Dashboard!$F$6,0)</x:f>
      </x:c>
      <x:c r="AG188" s="32" t="e">
        <x:f>IF(A188&lt;=Dashboard!$F$17,MIN(Dashboard!$F$10,AD188+AF188),0)</x:f>
      </x:c>
      <x:c r="AH188" s="32" t="e">
        <x:f>IF(A188&lt;=Dashboard!$F$17,MAX(0,AD188-MAX(0,AG188-AF188)),0)</x:f>
      </x:c>
      <x:c r="AI188" s="32" t="e">
        <x:f>IF(A188=1,AF188,AI187+AF188)</x:f>
      </x:c>
      <x:c r="AJ188" s="33"/>
      <x:c r="AK188" s="33"/>
      <x:c r="AL188" s="33"/>
      <x:c r="AM188" s="33"/>
    </x:row>
    <x:row r="189">
      <x:c r="A189" s="33" t="n">
        <x:v>177</x:v>
      </x:c>
      <x:c r="B189" s="32" t="e">
        <x:f>IF(A189=1,Dashboard!$F$14,F188)</x:f>
      </x:c>
      <x:c r="C189" s="32" t="n">
        <x:f>0</x:f>
        <x:v>0</x:v>
      </x:c>
      <x:c r="D189" s="32" t="e">
        <x:f>IF(A189&lt;=Dashboard!$F$15,B189*Dashboard!$F$6,0)</x:f>
      </x:c>
      <x:c r="E189" s="32" t="e">
        <x:f>IF(A189&lt;=Dashboard!$F$15,MIN(Dashboard!$F$10,B189+D189),0)</x:f>
      </x:c>
      <x:c r="F189" s="32" t="e">
        <x:f>IF(A189&lt;=Dashboard!$F$15,MAX(0,B189-MAX(0,E189-D189)),0)</x:f>
      </x:c>
      <x:c r="G189" s="32" t="e">
        <x:f>IF(A189=1,D189,G188+D189)</x:f>
      </x:c>
      <x:c r="H189" s="32"/>
      <x:c r="I189" s="32" t="e">
        <x:f>IF(A189=1,Dashboard!$F$14,M188)</x:f>
      </x:c>
      <x:c r="J189" s="32" t="e">
        <x:f>IF(A189&lt;=Dashboard!$F$17,MIN(I189,$B$5),0)</x:f>
      </x:c>
      <x:c r="K189" s="32" t="e">
        <x:f>IF(A189&lt;=Dashboard!$F$17,MAX(0,I189-J189)*Dashboard!$F$6,0)</x:f>
      </x:c>
      <x:c r="L189" s="32" t="e">
        <x:f>IF(A189&lt;=Dashboard!$F$17,MIN(Dashboard!$F$10,MAX(0,I189-J189)+K189),0)</x:f>
      </x:c>
      <x:c r="M189" s="32" t="e">
        <x:f>IF(A189&lt;=Dashboard!$F$17,MAX(0,I189-J189-MAX(0,L189-K189)),0)</x:f>
      </x:c>
      <x:c r="N189" s="32" t="e">
        <x:f>IF(A189=1,K189,N188+K189)</x:f>
      </x:c>
      <x:c r="O189" s="32"/>
      <x:c r="P189" s="32" t="e">
        <x:f>IF(A189=1,Dashboard!$F$14,T188)</x:f>
      </x:c>
      <x:c r="Q189" s="32" t="e">
        <x:f>IF(A189&lt;=Dashboard!$F$17,MIN(P189,$B$6*52/12),0)</x:f>
      </x:c>
      <x:c r="R189" s="32" t="e">
        <x:f>IF(A189&lt;=Dashboard!$F$17,MAX(0,P189-Q189)*Dashboard!$F$6,0)</x:f>
      </x:c>
      <x:c r="S189" s="32" t="e">
        <x:f>IF(A189&lt;=Dashboard!$F$17,MIN(Dashboard!$F$10,MAX(0,P189-Q189)+R189),0)</x:f>
      </x:c>
      <x:c r="T189" s="32" t="e">
        <x:f>IF(A189&lt;=Dashboard!$F$17,MAX(0,P189-Q189-MAX(0,S189-R189)),0)</x:f>
      </x:c>
      <x:c r="U189" s="32" t="e">
        <x:f>IF(A189=1,R189,U188+R189)</x:f>
      </x:c>
      <x:c r="V189" s="32"/>
      <x:c r="W189" s="32" t="e">
        <x:f>IF(A189=1,Dashboard!$F$14,AA188)</x:f>
      </x:c>
      <x:c r="X189" s="32" t="e">
        <x:f>IF(AND(A189&lt;=Dashboard!$F$17,MOD(A189-1,12)=0),MIN(W189,$B$7),0)</x:f>
      </x:c>
      <x:c r="Y189" s="32" t="e">
        <x:f>IF(A189&lt;=Dashboard!$F$17,MAX(0,W189-X189)*Dashboard!$F$6,0)</x:f>
      </x:c>
      <x:c r="Z189" s="32" t="e">
        <x:f>IF(A189&lt;=Dashboard!$F$17,MIN(Dashboard!$F$10,MAX(0,W189-X189)+Y189),0)</x:f>
      </x:c>
      <x:c r="AA189" s="32" t="e">
        <x:f>IF(A189&lt;=Dashboard!$F$17,MAX(0,W189-X189-MAX(0,Z189-Y189)),0)</x:f>
      </x:c>
      <x:c r="AB189" s="32" t="e">
        <x:f>IF(A189=1,Y189,AB188+Y189)</x:f>
      </x:c>
      <x:c r="AC189" s="32"/>
      <x:c r="AD189" s="32" t="e">
        <x:f>IF(A189=1,MAX(0,Dashboard!$F$14-$B$8),AG188)</x:f>
      </x:c>
      <x:c r="AE189" s="32" t="n">
        <x:f>0</x:f>
        <x:v>0</x:v>
      </x:c>
      <x:c r="AF189" s="32" t="e">
        <x:f>IF(A189&lt;=Dashboard!$F$17,AD189*Dashboard!$F$6,0)</x:f>
      </x:c>
      <x:c r="AG189" s="32" t="e">
        <x:f>IF(A189&lt;=Dashboard!$F$17,MIN(Dashboard!$F$10,AD189+AF189),0)</x:f>
      </x:c>
      <x:c r="AH189" s="32" t="e">
        <x:f>IF(A189&lt;=Dashboard!$F$17,MAX(0,AD189-MAX(0,AG189-AF189)),0)</x:f>
      </x:c>
      <x:c r="AI189" s="32" t="e">
        <x:f>IF(A189=1,AF189,AI188+AF189)</x:f>
      </x:c>
      <x:c r="AJ189" s="33"/>
      <x:c r="AK189" s="33"/>
      <x:c r="AL189" s="33"/>
      <x:c r="AM189" s="33"/>
    </x:row>
    <x:row r="190">
      <x:c r="A190" s="33" t="n">
        <x:v>178</x:v>
      </x:c>
      <x:c r="B190" s="32" t="e">
        <x:f>IF(A190=1,Dashboard!$F$14,F189)</x:f>
      </x:c>
      <x:c r="C190" s="32" t="n">
        <x:f>0</x:f>
        <x:v>0</x:v>
      </x:c>
      <x:c r="D190" s="32" t="e">
        <x:f>IF(A190&lt;=Dashboard!$F$15,B190*Dashboard!$F$6,0)</x:f>
      </x:c>
      <x:c r="E190" s="32" t="e">
        <x:f>IF(A190&lt;=Dashboard!$F$15,MIN(Dashboard!$F$10,B190+D190),0)</x:f>
      </x:c>
      <x:c r="F190" s="32" t="e">
        <x:f>IF(A190&lt;=Dashboard!$F$15,MAX(0,B190-MAX(0,E190-D190)),0)</x:f>
      </x:c>
      <x:c r="G190" s="32" t="e">
        <x:f>IF(A190=1,D190,G189+D190)</x:f>
      </x:c>
      <x:c r="H190" s="32"/>
      <x:c r="I190" s="32" t="e">
        <x:f>IF(A190=1,Dashboard!$F$14,M189)</x:f>
      </x:c>
      <x:c r="J190" s="32" t="e">
        <x:f>IF(A190&lt;=Dashboard!$F$17,MIN(I190,$B$5),0)</x:f>
      </x:c>
      <x:c r="K190" s="32" t="e">
        <x:f>IF(A190&lt;=Dashboard!$F$17,MAX(0,I190-J190)*Dashboard!$F$6,0)</x:f>
      </x:c>
      <x:c r="L190" s="32" t="e">
        <x:f>IF(A190&lt;=Dashboard!$F$17,MIN(Dashboard!$F$10,MAX(0,I190-J190)+K190),0)</x:f>
      </x:c>
      <x:c r="M190" s="32" t="e">
        <x:f>IF(A190&lt;=Dashboard!$F$17,MAX(0,I190-J190-MAX(0,L190-K190)),0)</x:f>
      </x:c>
      <x:c r="N190" s="32" t="e">
        <x:f>IF(A190=1,K190,N189+K190)</x:f>
      </x:c>
      <x:c r="O190" s="32"/>
      <x:c r="P190" s="32" t="e">
        <x:f>IF(A190=1,Dashboard!$F$14,T189)</x:f>
      </x:c>
      <x:c r="Q190" s="32" t="e">
        <x:f>IF(A190&lt;=Dashboard!$F$17,MIN(P190,$B$6*52/12),0)</x:f>
      </x:c>
      <x:c r="R190" s="32" t="e">
        <x:f>IF(A190&lt;=Dashboard!$F$17,MAX(0,P190-Q190)*Dashboard!$F$6,0)</x:f>
      </x:c>
      <x:c r="S190" s="32" t="e">
        <x:f>IF(A190&lt;=Dashboard!$F$17,MIN(Dashboard!$F$10,MAX(0,P190-Q190)+R190),0)</x:f>
      </x:c>
      <x:c r="T190" s="32" t="e">
        <x:f>IF(A190&lt;=Dashboard!$F$17,MAX(0,P190-Q190-MAX(0,S190-R190)),0)</x:f>
      </x:c>
      <x:c r="U190" s="32" t="e">
        <x:f>IF(A190=1,R190,U189+R190)</x:f>
      </x:c>
      <x:c r="V190" s="32"/>
      <x:c r="W190" s="32" t="e">
        <x:f>IF(A190=1,Dashboard!$F$14,AA189)</x:f>
      </x:c>
      <x:c r="X190" s="32" t="e">
        <x:f>IF(AND(A190&lt;=Dashboard!$F$17,MOD(A190-1,12)=0),MIN(W190,$B$7),0)</x:f>
      </x:c>
      <x:c r="Y190" s="32" t="e">
        <x:f>IF(A190&lt;=Dashboard!$F$17,MAX(0,W190-X190)*Dashboard!$F$6,0)</x:f>
      </x:c>
      <x:c r="Z190" s="32" t="e">
        <x:f>IF(A190&lt;=Dashboard!$F$17,MIN(Dashboard!$F$10,MAX(0,W190-X190)+Y190),0)</x:f>
      </x:c>
      <x:c r="AA190" s="32" t="e">
        <x:f>IF(A190&lt;=Dashboard!$F$17,MAX(0,W190-X190-MAX(0,Z190-Y190)),0)</x:f>
      </x:c>
      <x:c r="AB190" s="32" t="e">
        <x:f>IF(A190=1,Y190,AB189+Y190)</x:f>
      </x:c>
      <x:c r="AC190" s="32"/>
      <x:c r="AD190" s="32" t="e">
        <x:f>IF(A190=1,MAX(0,Dashboard!$F$14-$B$8),AG189)</x:f>
      </x:c>
      <x:c r="AE190" s="32" t="n">
        <x:f>0</x:f>
        <x:v>0</x:v>
      </x:c>
      <x:c r="AF190" s="32" t="e">
        <x:f>IF(A190&lt;=Dashboard!$F$17,AD190*Dashboard!$F$6,0)</x:f>
      </x:c>
      <x:c r="AG190" s="32" t="e">
        <x:f>IF(A190&lt;=Dashboard!$F$17,MIN(Dashboard!$F$10,AD190+AF190),0)</x:f>
      </x:c>
      <x:c r="AH190" s="32" t="e">
        <x:f>IF(A190&lt;=Dashboard!$F$17,MAX(0,AD190-MAX(0,AG190-AF190)),0)</x:f>
      </x:c>
      <x:c r="AI190" s="32" t="e">
        <x:f>IF(A190=1,AF190,AI189+AF190)</x:f>
      </x:c>
      <x:c r="AJ190" s="33"/>
      <x:c r="AK190" s="33"/>
      <x:c r="AL190" s="33"/>
      <x:c r="AM190" s="33"/>
    </x:row>
    <x:row r="191">
      <x:c r="A191" s="33" t="n">
        <x:v>179</x:v>
      </x:c>
      <x:c r="B191" s="32" t="e">
        <x:f>IF(A191=1,Dashboard!$F$14,F190)</x:f>
      </x:c>
      <x:c r="C191" s="32" t="n">
        <x:f>0</x:f>
        <x:v>0</x:v>
      </x:c>
      <x:c r="D191" s="32" t="e">
        <x:f>IF(A191&lt;=Dashboard!$F$15,B191*Dashboard!$F$6,0)</x:f>
      </x:c>
      <x:c r="E191" s="32" t="e">
        <x:f>IF(A191&lt;=Dashboard!$F$15,MIN(Dashboard!$F$10,B191+D191),0)</x:f>
      </x:c>
      <x:c r="F191" s="32" t="e">
        <x:f>IF(A191&lt;=Dashboard!$F$15,MAX(0,B191-MAX(0,E191-D191)),0)</x:f>
      </x:c>
      <x:c r="G191" s="32" t="e">
        <x:f>IF(A191=1,D191,G190+D191)</x:f>
      </x:c>
      <x:c r="H191" s="32"/>
      <x:c r="I191" s="32" t="e">
        <x:f>IF(A191=1,Dashboard!$F$14,M190)</x:f>
      </x:c>
      <x:c r="J191" s="32" t="e">
        <x:f>IF(A191&lt;=Dashboard!$F$17,MIN(I191,$B$5),0)</x:f>
      </x:c>
      <x:c r="K191" s="32" t="e">
        <x:f>IF(A191&lt;=Dashboard!$F$17,MAX(0,I191-J191)*Dashboard!$F$6,0)</x:f>
      </x:c>
      <x:c r="L191" s="32" t="e">
        <x:f>IF(A191&lt;=Dashboard!$F$17,MIN(Dashboard!$F$10,MAX(0,I191-J191)+K191),0)</x:f>
      </x:c>
      <x:c r="M191" s="32" t="e">
        <x:f>IF(A191&lt;=Dashboard!$F$17,MAX(0,I191-J191-MAX(0,L191-K191)),0)</x:f>
      </x:c>
      <x:c r="N191" s="32" t="e">
        <x:f>IF(A191=1,K191,N190+K191)</x:f>
      </x:c>
      <x:c r="O191" s="32"/>
      <x:c r="P191" s="32" t="e">
        <x:f>IF(A191=1,Dashboard!$F$14,T190)</x:f>
      </x:c>
      <x:c r="Q191" s="32" t="e">
        <x:f>IF(A191&lt;=Dashboard!$F$17,MIN(P191,$B$6*52/12),0)</x:f>
      </x:c>
      <x:c r="R191" s="32" t="e">
        <x:f>IF(A191&lt;=Dashboard!$F$17,MAX(0,P191-Q191)*Dashboard!$F$6,0)</x:f>
      </x:c>
      <x:c r="S191" s="32" t="e">
        <x:f>IF(A191&lt;=Dashboard!$F$17,MIN(Dashboard!$F$10,MAX(0,P191-Q191)+R191),0)</x:f>
      </x:c>
      <x:c r="T191" s="32" t="e">
        <x:f>IF(A191&lt;=Dashboard!$F$17,MAX(0,P191-Q191-MAX(0,S191-R191)),0)</x:f>
      </x:c>
      <x:c r="U191" s="32" t="e">
        <x:f>IF(A191=1,R191,U190+R191)</x:f>
      </x:c>
      <x:c r="V191" s="32"/>
      <x:c r="W191" s="32" t="e">
        <x:f>IF(A191=1,Dashboard!$F$14,AA190)</x:f>
      </x:c>
      <x:c r="X191" s="32" t="e">
        <x:f>IF(AND(A191&lt;=Dashboard!$F$17,MOD(A191-1,12)=0),MIN(W191,$B$7),0)</x:f>
      </x:c>
      <x:c r="Y191" s="32" t="e">
        <x:f>IF(A191&lt;=Dashboard!$F$17,MAX(0,W191-X191)*Dashboard!$F$6,0)</x:f>
      </x:c>
      <x:c r="Z191" s="32" t="e">
        <x:f>IF(A191&lt;=Dashboard!$F$17,MIN(Dashboard!$F$10,MAX(0,W191-X191)+Y191),0)</x:f>
      </x:c>
      <x:c r="AA191" s="32" t="e">
        <x:f>IF(A191&lt;=Dashboard!$F$17,MAX(0,W191-X191-MAX(0,Z191-Y191)),0)</x:f>
      </x:c>
      <x:c r="AB191" s="32" t="e">
        <x:f>IF(A191=1,Y191,AB190+Y191)</x:f>
      </x:c>
      <x:c r="AC191" s="32"/>
      <x:c r="AD191" s="32" t="e">
        <x:f>IF(A191=1,MAX(0,Dashboard!$F$14-$B$8),AG190)</x:f>
      </x:c>
      <x:c r="AE191" s="32" t="n">
        <x:f>0</x:f>
        <x:v>0</x:v>
      </x:c>
      <x:c r="AF191" s="32" t="e">
        <x:f>IF(A191&lt;=Dashboard!$F$17,AD191*Dashboard!$F$6,0)</x:f>
      </x:c>
      <x:c r="AG191" s="32" t="e">
        <x:f>IF(A191&lt;=Dashboard!$F$17,MIN(Dashboard!$F$10,AD191+AF191),0)</x:f>
      </x:c>
      <x:c r="AH191" s="32" t="e">
        <x:f>IF(A191&lt;=Dashboard!$F$17,MAX(0,AD191-MAX(0,AG191-AF191)),0)</x:f>
      </x:c>
      <x:c r="AI191" s="32" t="e">
        <x:f>IF(A191=1,AF191,AI190+AF191)</x:f>
      </x:c>
      <x:c r="AJ191" s="33"/>
      <x:c r="AK191" s="33"/>
      <x:c r="AL191" s="33"/>
      <x:c r="AM191" s="33"/>
    </x:row>
    <x:row r="192">
      <x:c r="A192" s="33" t="n">
        <x:v>180</x:v>
      </x:c>
      <x:c r="B192" s="32" t="e">
        <x:f>IF(A192=1,Dashboard!$F$14,F191)</x:f>
      </x:c>
      <x:c r="C192" s="32" t="n">
        <x:f>0</x:f>
        <x:v>0</x:v>
      </x:c>
      <x:c r="D192" s="32" t="e">
        <x:f>IF(A192&lt;=Dashboard!$F$15,B192*Dashboard!$F$6,0)</x:f>
      </x:c>
      <x:c r="E192" s="32" t="e">
        <x:f>IF(A192&lt;=Dashboard!$F$15,MIN(Dashboard!$F$10,B192+D192),0)</x:f>
      </x:c>
      <x:c r="F192" s="32" t="e">
        <x:f>IF(A192&lt;=Dashboard!$F$15,MAX(0,B192-MAX(0,E192-D192)),0)</x:f>
      </x:c>
      <x:c r="G192" s="32" t="e">
        <x:f>IF(A192=1,D192,G191+D192)</x:f>
      </x:c>
      <x:c r="H192" s="32"/>
      <x:c r="I192" s="32" t="e">
        <x:f>IF(A192=1,Dashboard!$F$14,M191)</x:f>
      </x:c>
      <x:c r="J192" s="32" t="e">
        <x:f>IF(A192&lt;=Dashboard!$F$17,MIN(I192,$B$5),0)</x:f>
      </x:c>
      <x:c r="K192" s="32" t="e">
        <x:f>IF(A192&lt;=Dashboard!$F$17,MAX(0,I192-J192)*Dashboard!$F$6,0)</x:f>
      </x:c>
      <x:c r="L192" s="32" t="e">
        <x:f>IF(A192&lt;=Dashboard!$F$17,MIN(Dashboard!$F$10,MAX(0,I192-J192)+K192),0)</x:f>
      </x:c>
      <x:c r="M192" s="32" t="e">
        <x:f>IF(A192&lt;=Dashboard!$F$17,MAX(0,I192-J192-MAX(0,L192-K192)),0)</x:f>
      </x:c>
      <x:c r="N192" s="32" t="e">
        <x:f>IF(A192=1,K192,N191+K192)</x:f>
      </x:c>
      <x:c r="O192" s="32"/>
      <x:c r="P192" s="32" t="e">
        <x:f>IF(A192=1,Dashboard!$F$14,T191)</x:f>
      </x:c>
      <x:c r="Q192" s="32" t="e">
        <x:f>IF(A192&lt;=Dashboard!$F$17,MIN(P192,$B$6*52/12),0)</x:f>
      </x:c>
      <x:c r="R192" s="32" t="e">
        <x:f>IF(A192&lt;=Dashboard!$F$17,MAX(0,P192-Q192)*Dashboard!$F$6,0)</x:f>
      </x:c>
      <x:c r="S192" s="32" t="e">
        <x:f>IF(A192&lt;=Dashboard!$F$17,MIN(Dashboard!$F$10,MAX(0,P192-Q192)+R192),0)</x:f>
      </x:c>
      <x:c r="T192" s="32" t="e">
        <x:f>IF(A192&lt;=Dashboard!$F$17,MAX(0,P192-Q192-MAX(0,S192-R192)),0)</x:f>
      </x:c>
      <x:c r="U192" s="32" t="e">
        <x:f>IF(A192=1,R192,U191+R192)</x:f>
      </x:c>
      <x:c r="V192" s="32"/>
      <x:c r="W192" s="32" t="e">
        <x:f>IF(A192=1,Dashboard!$F$14,AA191)</x:f>
      </x:c>
      <x:c r="X192" s="32" t="e">
        <x:f>IF(AND(A192&lt;=Dashboard!$F$17,MOD(A192-1,12)=0),MIN(W192,$B$7),0)</x:f>
      </x:c>
      <x:c r="Y192" s="32" t="e">
        <x:f>IF(A192&lt;=Dashboard!$F$17,MAX(0,W192-X192)*Dashboard!$F$6,0)</x:f>
      </x:c>
      <x:c r="Z192" s="32" t="e">
        <x:f>IF(A192&lt;=Dashboard!$F$17,MIN(Dashboard!$F$10,MAX(0,W192-X192)+Y192),0)</x:f>
      </x:c>
      <x:c r="AA192" s="32" t="e">
        <x:f>IF(A192&lt;=Dashboard!$F$17,MAX(0,W192-X192-MAX(0,Z192-Y192)),0)</x:f>
      </x:c>
      <x:c r="AB192" s="32" t="e">
        <x:f>IF(A192=1,Y192,AB191+Y192)</x:f>
      </x:c>
      <x:c r="AC192" s="32"/>
      <x:c r="AD192" s="32" t="e">
        <x:f>IF(A192=1,MAX(0,Dashboard!$F$14-$B$8),AG191)</x:f>
      </x:c>
      <x:c r="AE192" s="32" t="n">
        <x:f>0</x:f>
        <x:v>0</x:v>
      </x:c>
      <x:c r="AF192" s="32" t="e">
        <x:f>IF(A192&lt;=Dashboard!$F$17,AD192*Dashboard!$F$6,0)</x:f>
      </x:c>
      <x:c r="AG192" s="32" t="e">
        <x:f>IF(A192&lt;=Dashboard!$F$17,MIN(Dashboard!$F$10,AD192+AF192),0)</x:f>
      </x:c>
      <x:c r="AH192" s="32" t="e">
        <x:f>IF(A192&lt;=Dashboard!$F$17,MAX(0,AD192-MAX(0,AG192-AF192)),0)</x:f>
      </x:c>
      <x:c r="AI192" s="32" t="e">
        <x:f>IF(A192=1,AF192,AI191+AF192)</x:f>
      </x:c>
      <x:c r="AJ192" s="33"/>
      <x:c r="AK192" s="33"/>
      <x:c r="AL192" s="33"/>
      <x:c r="AM192" s="33"/>
    </x:row>
    <x:row r="193">
      <x:c r="A193" s="33" t="n">
        <x:v>181</x:v>
      </x:c>
      <x:c r="B193" s="32" t="e">
        <x:f>IF(A193=1,Dashboard!$F$14,F192)</x:f>
      </x:c>
      <x:c r="C193" s="32" t="n">
        <x:f>0</x:f>
        <x:v>0</x:v>
      </x:c>
      <x:c r="D193" s="32" t="e">
        <x:f>IF(A193&lt;=Dashboard!$F$15,B193*Dashboard!$F$6,0)</x:f>
      </x:c>
      <x:c r="E193" s="32" t="e">
        <x:f>IF(A193&lt;=Dashboard!$F$15,MIN(Dashboard!$F$10,B193+D193),0)</x:f>
      </x:c>
      <x:c r="F193" s="32" t="e">
        <x:f>IF(A193&lt;=Dashboard!$F$15,MAX(0,B193-MAX(0,E193-D193)),0)</x:f>
      </x:c>
      <x:c r="G193" s="32" t="e">
        <x:f>IF(A193=1,D193,G192+D193)</x:f>
      </x:c>
      <x:c r="H193" s="32"/>
      <x:c r="I193" s="32" t="e">
        <x:f>IF(A193=1,Dashboard!$F$14,M192)</x:f>
      </x:c>
      <x:c r="J193" s="32" t="e">
        <x:f>IF(A193&lt;=Dashboard!$F$17,MIN(I193,$B$5),0)</x:f>
      </x:c>
      <x:c r="K193" s="32" t="e">
        <x:f>IF(A193&lt;=Dashboard!$F$17,MAX(0,I193-J193)*Dashboard!$F$6,0)</x:f>
      </x:c>
      <x:c r="L193" s="32" t="e">
        <x:f>IF(A193&lt;=Dashboard!$F$17,MIN(Dashboard!$F$10,MAX(0,I193-J193)+K193),0)</x:f>
      </x:c>
      <x:c r="M193" s="32" t="e">
        <x:f>IF(A193&lt;=Dashboard!$F$17,MAX(0,I193-J193-MAX(0,L193-K193)),0)</x:f>
      </x:c>
      <x:c r="N193" s="32" t="e">
        <x:f>IF(A193=1,K193,N192+K193)</x:f>
      </x:c>
      <x:c r="O193" s="32"/>
      <x:c r="P193" s="32" t="e">
        <x:f>IF(A193=1,Dashboard!$F$14,T192)</x:f>
      </x:c>
      <x:c r="Q193" s="32" t="e">
        <x:f>IF(A193&lt;=Dashboard!$F$17,MIN(P193,$B$6*52/12),0)</x:f>
      </x:c>
      <x:c r="R193" s="32" t="e">
        <x:f>IF(A193&lt;=Dashboard!$F$17,MAX(0,P193-Q193)*Dashboard!$F$6,0)</x:f>
      </x:c>
      <x:c r="S193" s="32" t="e">
        <x:f>IF(A193&lt;=Dashboard!$F$17,MIN(Dashboard!$F$10,MAX(0,P193-Q193)+R193),0)</x:f>
      </x:c>
      <x:c r="T193" s="32" t="e">
        <x:f>IF(A193&lt;=Dashboard!$F$17,MAX(0,P193-Q193-MAX(0,S193-R193)),0)</x:f>
      </x:c>
      <x:c r="U193" s="32" t="e">
        <x:f>IF(A193=1,R193,U192+R193)</x:f>
      </x:c>
      <x:c r="V193" s="32"/>
      <x:c r="W193" s="32" t="e">
        <x:f>IF(A193=1,Dashboard!$F$14,AA192)</x:f>
      </x:c>
      <x:c r="X193" s="32" t="e">
        <x:f>IF(AND(A193&lt;=Dashboard!$F$17,MOD(A193-1,12)=0),MIN(W193,$B$7),0)</x:f>
      </x:c>
      <x:c r="Y193" s="32" t="e">
        <x:f>IF(A193&lt;=Dashboard!$F$17,MAX(0,W193-X193)*Dashboard!$F$6,0)</x:f>
      </x:c>
      <x:c r="Z193" s="32" t="e">
        <x:f>IF(A193&lt;=Dashboard!$F$17,MIN(Dashboard!$F$10,MAX(0,W193-X193)+Y193),0)</x:f>
      </x:c>
      <x:c r="AA193" s="32" t="e">
        <x:f>IF(A193&lt;=Dashboard!$F$17,MAX(0,W193-X193-MAX(0,Z193-Y193)),0)</x:f>
      </x:c>
      <x:c r="AB193" s="32" t="e">
        <x:f>IF(A193=1,Y193,AB192+Y193)</x:f>
      </x:c>
      <x:c r="AC193" s="32"/>
      <x:c r="AD193" s="32" t="e">
        <x:f>IF(A193=1,MAX(0,Dashboard!$F$14-$B$8),AG192)</x:f>
      </x:c>
      <x:c r="AE193" s="32" t="n">
        <x:f>0</x:f>
        <x:v>0</x:v>
      </x:c>
      <x:c r="AF193" s="32" t="e">
        <x:f>IF(A193&lt;=Dashboard!$F$17,AD193*Dashboard!$F$6,0)</x:f>
      </x:c>
      <x:c r="AG193" s="32" t="e">
        <x:f>IF(A193&lt;=Dashboard!$F$17,MIN(Dashboard!$F$10,AD193+AF193),0)</x:f>
      </x:c>
      <x:c r="AH193" s="32" t="e">
        <x:f>IF(A193&lt;=Dashboard!$F$17,MAX(0,AD193-MAX(0,AG193-AF193)),0)</x:f>
      </x:c>
      <x:c r="AI193" s="32" t="e">
        <x:f>IF(A193=1,AF193,AI192+AF193)</x:f>
      </x:c>
      <x:c r="AJ193" s="33"/>
      <x:c r="AK193" s="33"/>
      <x:c r="AL193" s="33"/>
      <x:c r="AM193" s="33"/>
    </x:row>
    <x:row r="194">
      <x:c r="A194" s="33" t="n">
        <x:v>182</x:v>
      </x:c>
      <x:c r="B194" s="32" t="e">
        <x:f>IF(A194=1,Dashboard!$F$14,F193)</x:f>
      </x:c>
      <x:c r="C194" s="32" t="n">
        <x:f>0</x:f>
        <x:v>0</x:v>
      </x:c>
      <x:c r="D194" s="32" t="e">
        <x:f>IF(A194&lt;=Dashboard!$F$15,B194*Dashboard!$F$6,0)</x:f>
      </x:c>
      <x:c r="E194" s="32" t="e">
        <x:f>IF(A194&lt;=Dashboard!$F$15,MIN(Dashboard!$F$10,B194+D194),0)</x:f>
      </x:c>
      <x:c r="F194" s="32" t="e">
        <x:f>IF(A194&lt;=Dashboard!$F$15,MAX(0,B194-MAX(0,E194-D194)),0)</x:f>
      </x:c>
      <x:c r="G194" s="32" t="e">
        <x:f>IF(A194=1,D194,G193+D194)</x:f>
      </x:c>
      <x:c r="H194" s="32"/>
      <x:c r="I194" s="32" t="e">
        <x:f>IF(A194=1,Dashboard!$F$14,M193)</x:f>
      </x:c>
      <x:c r="J194" s="32" t="e">
        <x:f>IF(A194&lt;=Dashboard!$F$17,MIN(I194,$B$5),0)</x:f>
      </x:c>
      <x:c r="K194" s="32" t="e">
        <x:f>IF(A194&lt;=Dashboard!$F$17,MAX(0,I194-J194)*Dashboard!$F$6,0)</x:f>
      </x:c>
      <x:c r="L194" s="32" t="e">
        <x:f>IF(A194&lt;=Dashboard!$F$17,MIN(Dashboard!$F$10,MAX(0,I194-J194)+K194),0)</x:f>
      </x:c>
      <x:c r="M194" s="32" t="e">
        <x:f>IF(A194&lt;=Dashboard!$F$17,MAX(0,I194-J194-MAX(0,L194-K194)),0)</x:f>
      </x:c>
      <x:c r="N194" s="32" t="e">
        <x:f>IF(A194=1,K194,N193+K194)</x:f>
      </x:c>
      <x:c r="O194" s="32"/>
      <x:c r="P194" s="32" t="e">
        <x:f>IF(A194=1,Dashboard!$F$14,T193)</x:f>
      </x:c>
      <x:c r="Q194" s="32" t="e">
        <x:f>IF(A194&lt;=Dashboard!$F$17,MIN(P194,$B$6*52/12),0)</x:f>
      </x:c>
      <x:c r="R194" s="32" t="e">
        <x:f>IF(A194&lt;=Dashboard!$F$17,MAX(0,P194-Q194)*Dashboard!$F$6,0)</x:f>
      </x:c>
      <x:c r="S194" s="32" t="e">
        <x:f>IF(A194&lt;=Dashboard!$F$17,MIN(Dashboard!$F$10,MAX(0,P194-Q194)+R194),0)</x:f>
      </x:c>
      <x:c r="T194" s="32" t="e">
        <x:f>IF(A194&lt;=Dashboard!$F$17,MAX(0,P194-Q194-MAX(0,S194-R194)),0)</x:f>
      </x:c>
      <x:c r="U194" s="32" t="e">
        <x:f>IF(A194=1,R194,U193+R194)</x:f>
      </x:c>
      <x:c r="V194" s="32"/>
      <x:c r="W194" s="32" t="e">
        <x:f>IF(A194=1,Dashboard!$F$14,AA193)</x:f>
      </x:c>
      <x:c r="X194" s="32" t="e">
        <x:f>IF(AND(A194&lt;=Dashboard!$F$17,MOD(A194-1,12)=0),MIN(W194,$B$7),0)</x:f>
      </x:c>
      <x:c r="Y194" s="32" t="e">
        <x:f>IF(A194&lt;=Dashboard!$F$17,MAX(0,W194-X194)*Dashboard!$F$6,0)</x:f>
      </x:c>
      <x:c r="Z194" s="32" t="e">
        <x:f>IF(A194&lt;=Dashboard!$F$17,MIN(Dashboard!$F$10,MAX(0,W194-X194)+Y194),0)</x:f>
      </x:c>
      <x:c r="AA194" s="32" t="e">
        <x:f>IF(A194&lt;=Dashboard!$F$17,MAX(0,W194-X194-MAX(0,Z194-Y194)),0)</x:f>
      </x:c>
      <x:c r="AB194" s="32" t="e">
        <x:f>IF(A194=1,Y194,AB193+Y194)</x:f>
      </x:c>
      <x:c r="AC194" s="32"/>
      <x:c r="AD194" s="32" t="e">
        <x:f>IF(A194=1,MAX(0,Dashboard!$F$14-$B$8),AG193)</x:f>
      </x:c>
      <x:c r="AE194" s="32" t="n">
        <x:f>0</x:f>
        <x:v>0</x:v>
      </x:c>
      <x:c r="AF194" s="32" t="e">
        <x:f>IF(A194&lt;=Dashboard!$F$17,AD194*Dashboard!$F$6,0)</x:f>
      </x:c>
      <x:c r="AG194" s="32" t="e">
        <x:f>IF(A194&lt;=Dashboard!$F$17,MIN(Dashboard!$F$10,AD194+AF194),0)</x:f>
      </x:c>
      <x:c r="AH194" s="32" t="e">
        <x:f>IF(A194&lt;=Dashboard!$F$17,MAX(0,AD194-MAX(0,AG194-AF194)),0)</x:f>
      </x:c>
      <x:c r="AI194" s="32" t="e">
        <x:f>IF(A194=1,AF194,AI193+AF194)</x:f>
      </x:c>
      <x:c r="AJ194" s="33"/>
      <x:c r="AK194" s="33"/>
      <x:c r="AL194" s="33"/>
      <x:c r="AM194" s="33"/>
    </x:row>
    <x:row r="195">
      <x:c r="A195" s="33" t="n">
        <x:v>183</x:v>
      </x:c>
      <x:c r="B195" s="32" t="e">
        <x:f>IF(A195=1,Dashboard!$F$14,F194)</x:f>
      </x:c>
      <x:c r="C195" s="32" t="n">
        <x:f>0</x:f>
        <x:v>0</x:v>
      </x:c>
      <x:c r="D195" s="32" t="e">
        <x:f>IF(A195&lt;=Dashboard!$F$15,B195*Dashboard!$F$6,0)</x:f>
      </x:c>
      <x:c r="E195" s="32" t="e">
        <x:f>IF(A195&lt;=Dashboard!$F$15,MIN(Dashboard!$F$10,B195+D195),0)</x:f>
      </x:c>
      <x:c r="F195" s="32" t="e">
        <x:f>IF(A195&lt;=Dashboard!$F$15,MAX(0,B195-MAX(0,E195-D195)),0)</x:f>
      </x:c>
      <x:c r="G195" s="32" t="e">
        <x:f>IF(A195=1,D195,G194+D195)</x:f>
      </x:c>
      <x:c r="H195" s="32"/>
      <x:c r="I195" s="32" t="e">
        <x:f>IF(A195=1,Dashboard!$F$14,M194)</x:f>
      </x:c>
      <x:c r="J195" s="32" t="e">
        <x:f>IF(A195&lt;=Dashboard!$F$17,MIN(I195,$B$5),0)</x:f>
      </x:c>
      <x:c r="K195" s="32" t="e">
        <x:f>IF(A195&lt;=Dashboard!$F$17,MAX(0,I195-J195)*Dashboard!$F$6,0)</x:f>
      </x:c>
      <x:c r="L195" s="32" t="e">
        <x:f>IF(A195&lt;=Dashboard!$F$17,MIN(Dashboard!$F$10,MAX(0,I195-J195)+K195),0)</x:f>
      </x:c>
      <x:c r="M195" s="32" t="e">
        <x:f>IF(A195&lt;=Dashboard!$F$17,MAX(0,I195-J195-MAX(0,L195-K195)),0)</x:f>
      </x:c>
      <x:c r="N195" s="32" t="e">
        <x:f>IF(A195=1,K195,N194+K195)</x:f>
      </x:c>
      <x:c r="O195" s="32"/>
      <x:c r="P195" s="32" t="e">
        <x:f>IF(A195=1,Dashboard!$F$14,T194)</x:f>
      </x:c>
      <x:c r="Q195" s="32" t="e">
        <x:f>IF(A195&lt;=Dashboard!$F$17,MIN(P195,$B$6*52/12),0)</x:f>
      </x:c>
      <x:c r="R195" s="32" t="e">
        <x:f>IF(A195&lt;=Dashboard!$F$17,MAX(0,P195-Q195)*Dashboard!$F$6,0)</x:f>
      </x:c>
      <x:c r="S195" s="32" t="e">
        <x:f>IF(A195&lt;=Dashboard!$F$17,MIN(Dashboard!$F$10,MAX(0,P195-Q195)+R195),0)</x:f>
      </x:c>
      <x:c r="T195" s="32" t="e">
        <x:f>IF(A195&lt;=Dashboard!$F$17,MAX(0,P195-Q195-MAX(0,S195-R195)),0)</x:f>
      </x:c>
      <x:c r="U195" s="32" t="e">
        <x:f>IF(A195=1,R195,U194+R195)</x:f>
      </x:c>
      <x:c r="V195" s="32"/>
      <x:c r="W195" s="32" t="e">
        <x:f>IF(A195=1,Dashboard!$F$14,AA194)</x:f>
      </x:c>
      <x:c r="X195" s="32" t="e">
        <x:f>IF(AND(A195&lt;=Dashboard!$F$17,MOD(A195-1,12)=0),MIN(W195,$B$7),0)</x:f>
      </x:c>
      <x:c r="Y195" s="32" t="e">
        <x:f>IF(A195&lt;=Dashboard!$F$17,MAX(0,W195-X195)*Dashboard!$F$6,0)</x:f>
      </x:c>
      <x:c r="Z195" s="32" t="e">
        <x:f>IF(A195&lt;=Dashboard!$F$17,MIN(Dashboard!$F$10,MAX(0,W195-X195)+Y195),0)</x:f>
      </x:c>
      <x:c r="AA195" s="32" t="e">
        <x:f>IF(A195&lt;=Dashboard!$F$17,MAX(0,W195-X195-MAX(0,Z195-Y195)),0)</x:f>
      </x:c>
      <x:c r="AB195" s="32" t="e">
        <x:f>IF(A195=1,Y195,AB194+Y195)</x:f>
      </x:c>
      <x:c r="AC195" s="32"/>
      <x:c r="AD195" s="32" t="e">
        <x:f>IF(A195=1,MAX(0,Dashboard!$F$14-$B$8),AG194)</x:f>
      </x:c>
      <x:c r="AE195" s="32" t="n">
        <x:f>0</x:f>
        <x:v>0</x:v>
      </x:c>
      <x:c r="AF195" s="32" t="e">
        <x:f>IF(A195&lt;=Dashboard!$F$17,AD195*Dashboard!$F$6,0)</x:f>
      </x:c>
      <x:c r="AG195" s="32" t="e">
        <x:f>IF(A195&lt;=Dashboard!$F$17,MIN(Dashboard!$F$10,AD195+AF195),0)</x:f>
      </x:c>
      <x:c r="AH195" s="32" t="e">
        <x:f>IF(A195&lt;=Dashboard!$F$17,MAX(0,AD195-MAX(0,AG195-AF195)),0)</x:f>
      </x:c>
      <x:c r="AI195" s="32" t="e">
        <x:f>IF(A195=1,AF195,AI194+AF195)</x:f>
      </x:c>
      <x:c r="AJ195" s="33"/>
      <x:c r="AK195" s="33"/>
      <x:c r="AL195" s="33"/>
      <x:c r="AM195" s="33"/>
    </x:row>
    <x:row r="196">
      <x:c r="A196" s="33" t="n">
        <x:v>184</x:v>
      </x:c>
      <x:c r="B196" s="32" t="e">
        <x:f>IF(A196=1,Dashboard!$F$14,F195)</x:f>
      </x:c>
      <x:c r="C196" s="32" t="n">
        <x:f>0</x:f>
        <x:v>0</x:v>
      </x:c>
      <x:c r="D196" s="32" t="e">
        <x:f>IF(A196&lt;=Dashboard!$F$15,B196*Dashboard!$F$6,0)</x:f>
      </x:c>
      <x:c r="E196" s="32" t="e">
        <x:f>IF(A196&lt;=Dashboard!$F$15,MIN(Dashboard!$F$10,B196+D196),0)</x:f>
      </x:c>
      <x:c r="F196" s="32" t="e">
        <x:f>IF(A196&lt;=Dashboard!$F$15,MAX(0,B196-MAX(0,E196-D196)),0)</x:f>
      </x:c>
      <x:c r="G196" s="32" t="e">
        <x:f>IF(A196=1,D196,G195+D196)</x:f>
      </x:c>
      <x:c r="H196" s="32"/>
      <x:c r="I196" s="32" t="e">
        <x:f>IF(A196=1,Dashboard!$F$14,M195)</x:f>
      </x:c>
      <x:c r="J196" s="32" t="e">
        <x:f>IF(A196&lt;=Dashboard!$F$17,MIN(I196,$B$5),0)</x:f>
      </x:c>
      <x:c r="K196" s="32" t="e">
        <x:f>IF(A196&lt;=Dashboard!$F$17,MAX(0,I196-J196)*Dashboard!$F$6,0)</x:f>
      </x:c>
      <x:c r="L196" s="32" t="e">
        <x:f>IF(A196&lt;=Dashboard!$F$17,MIN(Dashboard!$F$10,MAX(0,I196-J196)+K196),0)</x:f>
      </x:c>
      <x:c r="M196" s="32" t="e">
        <x:f>IF(A196&lt;=Dashboard!$F$17,MAX(0,I196-J196-MAX(0,L196-K196)),0)</x:f>
      </x:c>
      <x:c r="N196" s="32" t="e">
        <x:f>IF(A196=1,K196,N195+K196)</x:f>
      </x:c>
      <x:c r="O196" s="32"/>
      <x:c r="P196" s="32" t="e">
        <x:f>IF(A196=1,Dashboard!$F$14,T195)</x:f>
      </x:c>
      <x:c r="Q196" s="32" t="e">
        <x:f>IF(A196&lt;=Dashboard!$F$17,MIN(P196,$B$6*52/12),0)</x:f>
      </x:c>
      <x:c r="R196" s="32" t="e">
        <x:f>IF(A196&lt;=Dashboard!$F$17,MAX(0,P196-Q196)*Dashboard!$F$6,0)</x:f>
      </x:c>
      <x:c r="S196" s="32" t="e">
        <x:f>IF(A196&lt;=Dashboard!$F$17,MIN(Dashboard!$F$10,MAX(0,P196-Q196)+R196),0)</x:f>
      </x:c>
      <x:c r="T196" s="32" t="e">
        <x:f>IF(A196&lt;=Dashboard!$F$17,MAX(0,P196-Q196-MAX(0,S196-R196)),0)</x:f>
      </x:c>
      <x:c r="U196" s="32" t="e">
        <x:f>IF(A196=1,R196,U195+R196)</x:f>
      </x:c>
      <x:c r="V196" s="32"/>
      <x:c r="W196" s="32" t="e">
        <x:f>IF(A196=1,Dashboard!$F$14,AA195)</x:f>
      </x:c>
      <x:c r="X196" s="32" t="e">
        <x:f>IF(AND(A196&lt;=Dashboard!$F$17,MOD(A196-1,12)=0),MIN(W196,$B$7),0)</x:f>
      </x:c>
      <x:c r="Y196" s="32" t="e">
        <x:f>IF(A196&lt;=Dashboard!$F$17,MAX(0,W196-X196)*Dashboard!$F$6,0)</x:f>
      </x:c>
      <x:c r="Z196" s="32" t="e">
        <x:f>IF(A196&lt;=Dashboard!$F$17,MIN(Dashboard!$F$10,MAX(0,W196-X196)+Y196),0)</x:f>
      </x:c>
      <x:c r="AA196" s="32" t="e">
        <x:f>IF(A196&lt;=Dashboard!$F$17,MAX(0,W196-X196-MAX(0,Z196-Y196)),0)</x:f>
      </x:c>
      <x:c r="AB196" s="32" t="e">
        <x:f>IF(A196=1,Y196,AB195+Y196)</x:f>
      </x:c>
      <x:c r="AC196" s="32"/>
      <x:c r="AD196" s="32" t="e">
        <x:f>IF(A196=1,MAX(0,Dashboard!$F$14-$B$8),AG195)</x:f>
      </x:c>
      <x:c r="AE196" s="32" t="n">
        <x:f>0</x:f>
        <x:v>0</x:v>
      </x:c>
      <x:c r="AF196" s="32" t="e">
        <x:f>IF(A196&lt;=Dashboard!$F$17,AD196*Dashboard!$F$6,0)</x:f>
      </x:c>
      <x:c r="AG196" s="32" t="e">
        <x:f>IF(A196&lt;=Dashboard!$F$17,MIN(Dashboard!$F$10,AD196+AF196),0)</x:f>
      </x:c>
      <x:c r="AH196" s="32" t="e">
        <x:f>IF(A196&lt;=Dashboard!$F$17,MAX(0,AD196-MAX(0,AG196-AF196)),0)</x:f>
      </x:c>
      <x:c r="AI196" s="32" t="e">
        <x:f>IF(A196=1,AF196,AI195+AF196)</x:f>
      </x:c>
      <x:c r="AJ196" s="33"/>
      <x:c r="AK196" s="33"/>
      <x:c r="AL196" s="33"/>
      <x:c r="AM196" s="33"/>
    </x:row>
    <x:row r="197">
      <x:c r="A197" s="33" t="n">
        <x:v>185</x:v>
      </x:c>
      <x:c r="B197" s="32" t="e">
        <x:f>IF(A197=1,Dashboard!$F$14,F196)</x:f>
      </x:c>
      <x:c r="C197" s="32" t="n">
        <x:f>0</x:f>
        <x:v>0</x:v>
      </x:c>
      <x:c r="D197" s="32" t="e">
        <x:f>IF(A197&lt;=Dashboard!$F$15,B197*Dashboard!$F$6,0)</x:f>
      </x:c>
      <x:c r="E197" s="32" t="e">
        <x:f>IF(A197&lt;=Dashboard!$F$15,MIN(Dashboard!$F$10,B197+D197),0)</x:f>
      </x:c>
      <x:c r="F197" s="32" t="e">
        <x:f>IF(A197&lt;=Dashboard!$F$15,MAX(0,B197-MAX(0,E197-D197)),0)</x:f>
      </x:c>
      <x:c r="G197" s="32" t="e">
        <x:f>IF(A197=1,D197,G196+D197)</x:f>
      </x:c>
      <x:c r="H197" s="32"/>
      <x:c r="I197" s="32" t="e">
        <x:f>IF(A197=1,Dashboard!$F$14,M196)</x:f>
      </x:c>
      <x:c r="J197" s="32" t="e">
        <x:f>IF(A197&lt;=Dashboard!$F$17,MIN(I197,$B$5),0)</x:f>
      </x:c>
      <x:c r="K197" s="32" t="e">
        <x:f>IF(A197&lt;=Dashboard!$F$17,MAX(0,I197-J197)*Dashboard!$F$6,0)</x:f>
      </x:c>
      <x:c r="L197" s="32" t="e">
        <x:f>IF(A197&lt;=Dashboard!$F$17,MIN(Dashboard!$F$10,MAX(0,I197-J197)+K197),0)</x:f>
      </x:c>
      <x:c r="M197" s="32" t="e">
        <x:f>IF(A197&lt;=Dashboard!$F$17,MAX(0,I197-J197-MAX(0,L197-K197)),0)</x:f>
      </x:c>
      <x:c r="N197" s="32" t="e">
        <x:f>IF(A197=1,K197,N196+K197)</x:f>
      </x:c>
      <x:c r="O197" s="32"/>
      <x:c r="P197" s="32" t="e">
        <x:f>IF(A197=1,Dashboard!$F$14,T196)</x:f>
      </x:c>
      <x:c r="Q197" s="32" t="e">
        <x:f>IF(A197&lt;=Dashboard!$F$17,MIN(P197,$B$6*52/12),0)</x:f>
      </x:c>
      <x:c r="R197" s="32" t="e">
        <x:f>IF(A197&lt;=Dashboard!$F$17,MAX(0,P197-Q197)*Dashboard!$F$6,0)</x:f>
      </x:c>
      <x:c r="S197" s="32" t="e">
        <x:f>IF(A197&lt;=Dashboard!$F$17,MIN(Dashboard!$F$10,MAX(0,P197-Q197)+R197),0)</x:f>
      </x:c>
      <x:c r="T197" s="32" t="e">
        <x:f>IF(A197&lt;=Dashboard!$F$17,MAX(0,P197-Q197-MAX(0,S197-R197)),0)</x:f>
      </x:c>
      <x:c r="U197" s="32" t="e">
        <x:f>IF(A197=1,R197,U196+R197)</x:f>
      </x:c>
      <x:c r="V197" s="32"/>
      <x:c r="W197" s="32" t="e">
        <x:f>IF(A197=1,Dashboard!$F$14,AA196)</x:f>
      </x:c>
      <x:c r="X197" s="32" t="e">
        <x:f>IF(AND(A197&lt;=Dashboard!$F$17,MOD(A197-1,12)=0),MIN(W197,$B$7),0)</x:f>
      </x:c>
      <x:c r="Y197" s="32" t="e">
        <x:f>IF(A197&lt;=Dashboard!$F$17,MAX(0,W197-X197)*Dashboard!$F$6,0)</x:f>
      </x:c>
      <x:c r="Z197" s="32" t="e">
        <x:f>IF(A197&lt;=Dashboard!$F$17,MIN(Dashboard!$F$10,MAX(0,W197-X197)+Y197),0)</x:f>
      </x:c>
      <x:c r="AA197" s="32" t="e">
        <x:f>IF(A197&lt;=Dashboard!$F$17,MAX(0,W197-X197-MAX(0,Z197-Y197)),0)</x:f>
      </x:c>
      <x:c r="AB197" s="32" t="e">
        <x:f>IF(A197=1,Y197,AB196+Y197)</x:f>
      </x:c>
      <x:c r="AC197" s="32"/>
      <x:c r="AD197" s="32" t="e">
        <x:f>IF(A197=1,MAX(0,Dashboard!$F$14-$B$8),AG196)</x:f>
      </x:c>
      <x:c r="AE197" s="32" t="n">
        <x:f>0</x:f>
        <x:v>0</x:v>
      </x:c>
      <x:c r="AF197" s="32" t="e">
        <x:f>IF(A197&lt;=Dashboard!$F$17,AD197*Dashboard!$F$6,0)</x:f>
      </x:c>
      <x:c r="AG197" s="32" t="e">
        <x:f>IF(A197&lt;=Dashboard!$F$17,MIN(Dashboard!$F$10,AD197+AF197),0)</x:f>
      </x:c>
      <x:c r="AH197" s="32" t="e">
        <x:f>IF(A197&lt;=Dashboard!$F$17,MAX(0,AD197-MAX(0,AG197-AF197)),0)</x:f>
      </x:c>
      <x:c r="AI197" s="32" t="e">
        <x:f>IF(A197=1,AF197,AI196+AF197)</x:f>
      </x:c>
      <x:c r="AJ197" s="33"/>
      <x:c r="AK197" s="33"/>
      <x:c r="AL197" s="33"/>
      <x:c r="AM197" s="33"/>
    </x:row>
    <x:row r="198">
      <x:c r="A198" s="33" t="n">
        <x:v>186</x:v>
      </x:c>
      <x:c r="B198" s="32" t="e">
        <x:f>IF(A198=1,Dashboard!$F$14,F197)</x:f>
      </x:c>
      <x:c r="C198" s="32" t="n">
        <x:f>0</x:f>
        <x:v>0</x:v>
      </x:c>
      <x:c r="D198" s="32" t="e">
        <x:f>IF(A198&lt;=Dashboard!$F$15,B198*Dashboard!$F$6,0)</x:f>
      </x:c>
      <x:c r="E198" s="32" t="e">
        <x:f>IF(A198&lt;=Dashboard!$F$15,MIN(Dashboard!$F$10,B198+D198),0)</x:f>
      </x:c>
      <x:c r="F198" s="32" t="e">
        <x:f>IF(A198&lt;=Dashboard!$F$15,MAX(0,B198-MAX(0,E198-D198)),0)</x:f>
      </x:c>
      <x:c r="G198" s="32" t="e">
        <x:f>IF(A198=1,D198,G197+D198)</x:f>
      </x:c>
      <x:c r="H198" s="32"/>
      <x:c r="I198" s="32" t="e">
        <x:f>IF(A198=1,Dashboard!$F$14,M197)</x:f>
      </x:c>
      <x:c r="J198" s="32" t="e">
        <x:f>IF(A198&lt;=Dashboard!$F$17,MIN(I198,$B$5),0)</x:f>
      </x:c>
      <x:c r="K198" s="32" t="e">
        <x:f>IF(A198&lt;=Dashboard!$F$17,MAX(0,I198-J198)*Dashboard!$F$6,0)</x:f>
      </x:c>
      <x:c r="L198" s="32" t="e">
        <x:f>IF(A198&lt;=Dashboard!$F$17,MIN(Dashboard!$F$10,MAX(0,I198-J198)+K198),0)</x:f>
      </x:c>
      <x:c r="M198" s="32" t="e">
        <x:f>IF(A198&lt;=Dashboard!$F$17,MAX(0,I198-J198-MAX(0,L198-K198)),0)</x:f>
      </x:c>
      <x:c r="N198" s="32" t="e">
        <x:f>IF(A198=1,K198,N197+K198)</x:f>
      </x:c>
      <x:c r="O198" s="32"/>
      <x:c r="P198" s="32" t="e">
        <x:f>IF(A198=1,Dashboard!$F$14,T197)</x:f>
      </x:c>
      <x:c r="Q198" s="32" t="e">
        <x:f>IF(A198&lt;=Dashboard!$F$17,MIN(P198,$B$6*52/12),0)</x:f>
      </x:c>
      <x:c r="R198" s="32" t="e">
        <x:f>IF(A198&lt;=Dashboard!$F$17,MAX(0,P198-Q198)*Dashboard!$F$6,0)</x:f>
      </x:c>
      <x:c r="S198" s="32" t="e">
        <x:f>IF(A198&lt;=Dashboard!$F$17,MIN(Dashboard!$F$10,MAX(0,P198-Q198)+R198),0)</x:f>
      </x:c>
      <x:c r="T198" s="32" t="e">
        <x:f>IF(A198&lt;=Dashboard!$F$17,MAX(0,P198-Q198-MAX(0,S198-R198)),0)</x:f>
      </x:c>
      <x:c r="U198" s="32" t="e">
        <x:f>IF(A198=1,R198,U197+R198)</x:f>
      </x:c>
      <x:c r="V198" s="32"/>
      <x:c r="W198" s="32" t="e">
        <x:f>IF(A198=1,Dashboard!$F$14,AA197)</x:f>
      </x:c>
      <x:c r="X198" s="32" t="e">
        <x:f>IF(AND(A198&lt;=Dashboard!$F$17,MOD(A198-1,12)=0),MIN(W198,$B$7),0)</x:f>
      </x:c>
      <x:c r="Y198" s="32" t="e">
        <x:f>IF(A198&lt;=Dashboard!$F$17,MAX(0,W198-X198)*Dashboard!$F$6,0)</x:f>
      </x:c>
      <x:c r="Z198" s="32" t="e">
        <x:f>IF(A198&lt;=Dashboard!$F$17,MIN(Dashboard!$F$10,MAX(0,W198-X198)+Y198),0)</x:f>
      </x:c>
      <x:c r="AA198" s="32" t="e">
        <x:f>IF(A198&lt;=Dashboard!$F$17,MAX(0,W198-X198-MAX(0,Z198-Y198)),0)</x:f>
      </x:c>
      <x:c r="AB198" s="32" t="e">
        <x:f>IF(A198=1,Y198,AB197+Y198)</x:f>
      </x:c>
      <x:c r="AC198" s="32"/>
      <x:c r="AD198" s="32" t="e">
        <x:f>IF(A198=1,MAX(0,Dashboard!$F$14-$B$8),AG197)</x:f>
      </x:c>
      <x:c r="AE198" s="32" t="n">
        <x:f>0</x:f>
        <x:v>0</x:v>
      </x:c>
      <x:c r="AF198" s="32" t="e">
        <x:f>IF(A198&lt;=Dashboard!$F$17,AD198*Dashboard!$F$6,0)</x:f>
      </x:c>
      <x:c r="AG198" s="32" t="e">
        <x:f>IF(A198&lt;=Dashboard!$F$17,MIN(Dashboard!$F$10,AD198+AF198),0)</x:f>
      </x:c>
      <x:c r="AH198" s="32" t="e">
        <x:f>IF(A198&lt;=Dashboard!$F$17,MAX(0,AD198-MAX(0,AG198-AF198)),0)</x:f>
      </x:c>
      <x:c r="AI198" s="32" t="e">
        <x:f>IF(A198=1,AF198,AI197+AF198)</x:f>
      </x:c>
      <x:c r="AJ198" s="33"/>
      <x:c r="AK198" s="33"/>
      <x:c r="AL198" s="33"/>
      <x:c r="AM198" s="33"/>
    </x:row>
    <x:row r="199">
      <x:c r="A199" s="33" t="n">
        <x:v>187</x:v>
      </x:c>
      <x:c r="B199" s="32" t="e">
        <x:f>IF(A199=1,Dashboard!$F$14,F198)</x:f>
      </x:c>
      <x:c r="C199" s="32" t="n">
        <x:f>0</x:f>
        <x:v>0</x:v>
      </x:c>
      <x:c r="D199" s="32" t="e">
        <x:f>IF(A199&lt;=Dashboard!$F$15,B199*Dashboard!$F$6,0)</x:f>
      </x:c>
      <x:c r="E199" s="32" t="e">
        <x:f>IF(A199&lt;=Dashboard!$F$15,MIN(Dashboard!$F$10,B199+D199),0)</x:f>
      </x:c>
      <x:c r="F199" s="32" t="e">
        <x:f>IF(A199&lt;=Dashboard!$F$15,MAX(0,B199-MAX(0,E199-D199)),0)</x:f>
      </x:c>
      <x:c r="G199" s="32" t="e">
        <x:f>IF(A199=1,D199,G198+D199)</x:f>
      </x:c>
      <x:c r="H199" s="32"/>
      <x:c r="I199" s="32" t="e">
        <x:f>IF(A199=1,Dashboard!$F$14,M198)</x:f>
      </x:c>
      <x:c r="J199" s="32" t="e">
        <x:f>IF(A199&lt;=Dashboard!$F$17,MIN(I199,$B$5),0)</x:f>
      </x:c>
      <x:c r="K199" s="32" t="e">
        <x:f>IF(A199&lt;=Dashboard!$F$17,MAX(0,I199-J199)*Dashboard!$F$6,0)</x:f>
      </x:c>
      <x:c r="L199" s="32" t="e">
        <x:f>IF(A199&lt;=Dashboard!$F$17,MIN(Dashboard!$F$10,MAX(0,I199-J199)+K199),0)</x:f>
      </x:c>
      <x:c r="M199" s="32" t="e">
        <x:f>IF(A199&lt;=Dashboard!$F$17,MAX(0,I199-J199-MAX(0,L199-K199)),0)</x:f>
      </x:c>
      <x:c r="N199" s="32" t="e">
        <x:f>IF(A199=1,K199,N198+K199)</x:f>
      </x:c>
      <x:c r="O199" s="32"/>
      <x:c r="P199" s="32" t="e">
        <x:f>IF(A199=1,Dashboard!$F$14,T198)</x:f>
      </x:c>
      <x:c r="Q199" s="32" t="e">
        <x:f>IF(A199&lt;=Dashboard!$F$17,MIN(P199,$B$6*52/12),0)</x:f>
      </x:c>
      <x:c r="R199" s="32" t="e">
        <x:f>IF(A199&lt;=Dashboard!$F$17,MAX(0,P199-Q199)*Dashboard!$F$6,0)</x:f>
      </x:c>
      <x:c r="S199" s="32" t="e">
        <x:f>IF(A199&lt;=Dashboard!$F$17,MIN(Dashboard!$F$10,MAX(0,P199-Q199)+R199),0)</x:f>
      </x:c>
      <x:c r="T199" s="32" t="e">
        <x:f>IF(A199&lt;=Dashboard!$F$17,MAX(0,P199-Q199-MAX(0,S199-R199)),0)</x:f>
      </x:c>
      <x:c r="U199" s="32" t="e">
        <x:f>IF(A199=1,R199,U198+R199)</x:f>
      </x:c>
      <x:c r="V199" s="32"/>
      <x:c r="W199" s="32" t="e">
        <x:f>IF(A199=1,Dashboard!$F$14,AA198)</x:f>
      </x:c>
      <x:c r="X199" s="32" t="e">
        <x:f>IF(AND(A199&lt;=Dashboard!$F$17,MOD(A199-1,12)=0),MIN(W199,$B$7),0)</x:f>
      </x:c>
      <x:c r="Y199" s="32" t="e">
        <x:f>IF(A199&lt;=Dashboard!$F$17,MAX(0,W199-X199)*Dashboard!$F$6,0)</x:f>
      </x:c>
      <x:c r="Z199" s="32" t="e">
        <x:f>IF(A199&lt;=Dashboard!$F$17,MIN(Dashboard!$F$10,MAX(0,W199-X199)+Y199),0)</x:f>
      </x:c>
      <x:c r="AA199" s="32" t="e">
        <x:f>IF(A199&lt;=Dashboard!$F$17,MAX(0,W199-X199-MAX(0,Z199-Y199)),0)</x:f>
      </x:c>
      <x:c r="AB199" s="32" t="e">
        <x:f>IF(A199=1,Y199,AB198+Y199)</x:f>
      </x:c>
      <x:c r="AC199" s="32"/>
      <x:c r="AD199" s="32" t="e">
        <x:f>IF(A199=1,MAX(0,Dashboard!$F$14-$B$8),AG198)</x:f>
      </x:c>
      <x:c r="AE199" s="32" t="n">
        <x:f>0</x:f>
        <x:v>0</x:v>
      </x:c>
      <x:c r="AF199" s="32" t="e">
        <x:f>IF(A199&lt;=Dashboard!$F$17,AD199*Dashboard!$F$6,0)</x:f>
      </x:c>
      <x:c r="AG199" s="32" t="e">
        <x:f>IF(A199&lt;=Dashboard!$F$17,MIN(Dashboard!$F$10,AD199+AF199),0)</x:f>
      </x:c>
      <x:c r="AH199" s="32" t="e">
        <x:f>IF(A199&lt;=Dashboard!$F$17,MAX(0,AD199-MAX(0,AG199-AF199)),0)</x:f>
      </x:c>
      <x:c r="AI199" s="32" t="e">
        <x:f>IF(A199=1,AF199,AI198+AF199)</x:f>
      </x:c>
      <x:c r="AJ199" s="33"/>
      <x:c r="AK199" s="33"/>
      <x:c r="AL199" s="33"/>
      <x:c r="AM199" s="33"/>
    </x:row>
    <x:row r="200">
      <x:c r="A200" s="33" t="n">
        <x:v>188</x:v>
      </x:c>
      <x:c r="B200" s="32" t="e">
        <x:f>IF(A200=1,Dashboard!$F$14,F199)</x:f>
      </x:c>
      <x:c r="C200" s="32" t="n">
        <x:f>0</x:f>
        <x:v>0</x:v>
      </x:c>
      <x:c r="D200" s="32" t="e">
        <x:f>IF(A200&lt;=Dashboard!$F$15,B200*Dashboard!$F$6,0)</x:f>
      </x:c>
      <x:c r="E200" s="32" t="e">
        <x:f>IF(A200&lt;=Dashboard!$F$15,MIN(Dashboard!$F$10,B200+D200),0)</x:f>
      </x:c>
      <x:c r="F200" s="32" t="e">
        <x:f>IF(A200&lt;=Dashboard!$F$15,MAX(0,B200-MAX(0,E200-D200)),0)</x:f>
      </x:c>
      <x:c r="G200" s="32" t="e">
        <x:f>IF(A200=1,D200,G199+D200)</x:f>
      </x:c>
      <x:c r="H200" s="32"/>
      <x:c r="I200" s="32" t="e">
        <x:f>IF(A200=1,Dashboard!$F$14,M199)</x:f>
      </x:c>
      <x:c r="J200" s="32" t="e">
        <x:f>IF(A200&lt;=Dashboard!$F$17,MIN(I200,$B$5),0)</x:f>
      </x:c>
      <x:c r="K200" s="32" t="e">
        <x:f>IF(A200&lt;=Dashboard!$F$17,MAX(0,I200-J200)*Dashboard!$F$6,0)</x:f>
      </x:c>
      <x:c r="L200" s="32" t="e">
        <x:f>IF(A200&lt;=Dashboard!$F$17,MIN(Dashboard!$F$10,MAX(0,I200-J200)+K200),0)</x:f>
      </x:c>
      <x:c r="M200" s="32" t="e">
        <x:f>IF(A200&lt;=Dashboard!$F$17,MAX(0,I200-J200-MAX(0,L200-K200)),0)</x:f>
      </x:c>
      <x:c r="N200" s="32" t="e">
        <x:f>IF(A200=1,K200,N199+K200)</x:f>
      </x:c>
      <x:c r="O200" s="32"/>
      <x:c r="P200" s="32" t="e">
        <x:f>IF(A200=1,Dashboard!$F$14,T199)</x:f>
      </x:c>
      <x:c r="Q200" s="32" t="e">
        <x:f>IF(A200&lt;=Dashboard!$F$17,MIN(P200,$B$6*52/12),0)</x:f>
      </x:c>
      <x:c r="R200" s="32" t="e">
        <x:f>IF(A200&lt;=Dashboard!$F$17,MAX(0,P200-Q200)*Dashboard!$F$6,0)</x:f>
      </x:c>
      <x:c r="S200" s="32" t="e">
        <x:f>IF(A200&lt;=Dashboard!$F$17,MIN(Dashboard!$F$10,MAX(0,P200-Q200)+R200),0)</x:f>
      </x:c>
      <x:c r="T200" s="32" t="e">
        <x:f>IF(A200&lt;=Dashboard!$F$17,MAX(0,P200-Q200-MAX(0,S200-R200)),0)</x:f>
      </x:c>
      <x:c r="U200" s="32" t="e">
        <x:f>IF(A200=1,R200,U199+R200)</x:f>
      </x:c>
      <x:c r="V200" s="32"/>
      <x:c r="W200" s="32" t="e">
        <x:f>IF(A200=1,Dashboard!$F$14,AA199)</x:f>
      </x:c>
      <x:c r="X200" s="32" t="e">
        <x:f>IF(AND(A200&lt;=Dashboard!$F$17,MOD(A200-1,12)=0),MIN(W200,$B$7),0)</x:f>
      </x:c>
      <x:c r="Y200" s="32" t="e">
        <x:f>IF(A200&lt;=Dashboard!$F$17,MAX(0,W200-X200)*Dashboard!$F$6,0)</x:f>
      </x:c>
      <x:c r="Z200" s="32" t="e">
        <x:f>IF(A200&lt;=Dashboard!$F$17,MIN(Dashboard!$F$10,MAX(0,W200-X200)+Y200),0)</x:f>
      </x:c>
      <x:c r="AA200" s="32" t="e">
        <x:f>IF(A200&lt;=Dashboard!$F$17,MAX(0,W200-X200-MAX(0,Z200-Y200)),0)</x:f>
      </x:c>
      <x:c r="AB200" s="32" t="e">
        <x:f>IF(A200=1,Y200,AB199+Y200)</x:f>
      </x:c>
      <x:c r="AC200" s="32"/>
      <x:c r="AD200" s="32" t="e">
        <x:f>IF(A200=1,MAX(0,Dashboard!$F$14-$B$8),AG199)</x:f>
      </x:c>
      <x:c r="AE200" s="32" t="n">
        <x:f>0</x:f>
        <x:v>0</x:v>
      </x:c>
      <x:c r="AF200" s="32" t="e">
        <x:f>IF(A200&lt;=Dashboard!$F$17,AD200*Dashboard!$F$6,0)</x:f>
      </x:c>
      <x:c r="AG200" s="32" t="e">
        <x:f>IF(A200&lt;=Dashboard!$F$17,MIN(Dashboard!$F$10,AD200+AF200),0)</x:f>
      </x:c>
      <x:c r="AH200" s="32" t="e">
        <x:f>IF(A200&lt;=Dashboard!$F$17,MAX(0,AD200-MAX(0,AG200-AF200)),0)</x:f>
      </x:c>
      <x:c r="AI200" s="32" t="e">
        <x:f>IF(A200=1,AF200,AI199+AF200)</x:f>
      </x:c>
      <x:c r="AJ200" s="33"/>
      <x:c r="AK200" s="33"/>
      <x:c r="AL200" s="33"/>
      <x:c r="AM200" s="33"/>
    </x:row>
    <x:row r="201">
      <x:c r="A201" s="33" t="n">
        <x:v>189</x:v>
      </x:c>
      <x:c r="B201" s="32" t="e">
        <x:f>IF(A201=1,Dashboard!$F$14,F200)</x:f>
      </x:c>
      <x:c r="C201" s="32" t="n">
        <x:f>0</x:f>
        <x:v>0</x:v>
      </x:c>
      <x:c r="D201" s="32" t="e">
        <x:f>IF(A201&lt;=Dashboard!$F$15,B201*Dashboard!$F$6,0)</x:f>
      </x:c>
      <x:c r="E201" s="32" t="e">
        <x:f>IF(A201&lt;=Dashboard!$F$15,MIN(Dashboard!$F$10,B201+D201),0)</x:f>
      </x:c>
      <x:c r="F201" s="32" t="e">
        <x:f>IF(A201&lt;=Dashboard!$F$15,MAX(0,B201-MAX(0,E201-D201)),0)</x:f>
      </x:c>
      <x:c r="G201" s="32" t="e">
        <x:f>IF(A201=1,D201,G200+D201)</x:f>
      </x:c>
      <x:c r="H201" s="32"/>
      <x:c r="I201" s="32" t="e">
        <x:f>IF(A201=1,Dashboard!$F$14,M200)</x:f>
      </x:c>
      <x:c r="J201" s="32" t="e">
        <x:f>IF(A201&lt;=Dashboard!$F$17,MIN(I201,$B$5),0)</x:f>
      </x:c>
      <x:c r="K201" s="32" t="e">
        <x:f>IF(A201&lt;=Dashboard!$F$17,MAX(0,I201-J201)*Dashboard!$F$6,0)</x:f>
      </x:c>
      <x:c r="L201" s="32" t="e">
        <x:f>IF(A201&lt;=Dashboard!$F$17,MIN(Dashboard!$F$10,MAX(0,I201-J201)+K201),0)</x:f>
      </x:c>
      <x:c r="M201" s="32" t="e">
        <x:f>IF(A201&lt;=Dashboard!$F$17,MAX(0,I201-J201-MAX(0,L201-K201)),0)</x:f>
      </x:c>
      <x:c r="N201" s="32" t="e">
        <x:f>IF(A201=1,K201,N200+K201)</x:f>
      </x:c>
      <x:c r="O201" s="32"/>
      <x:c r="P201" s="32" t="e">
        <x:f>IF(A201=1,Dashboard!$F$14,T200)</x:f>
      </x:c>
      <x:c r="Q201" s="32" t="e">
        <x:f>IF(A201&lt;=Dashboard!$F$17,MIN(P201,$B$6*52/12),0)</x:f>
      </x:c>
      <x:c r="R201" s="32" t="e">
        <x:f>IF(A201&lt;=Dashboard!$F$17,MAX(0,P201-Q201)*Dashboard!$F$6,0)</x:f>
      </x:c>
      <x:c r="S201" s="32" t="e">
        <x:f>IF(A201&lt;=Dashboard!$F$17,MIN(Dashboard!$F$10,MAX(0,P201-Q201)+R201),0)</x:f>
      </x:c>
      <x:c r="T201" s="32" t="e">
        <x:f>IF(A201&lt;=Dashboard!$F$17,MAX(0,P201-Q201-MAX(0,S201-R201)),0)</x:f>
      </x:c>
      <x:c r="U201" s="32" t="e">
        <x:f>IF(A201=1,R201,U200+R201)</x:f>
      </x:c>
      <x:c r="V201" s="32"/>
      <x:c r="W201" s="32" t="e">
        <x:f>IF(A201=1,Dashboard!$F$14,AA200)</x:f>
      </x:c>
      <x:c r="X201" s="32" t="e">
        <x:f>IF(AND(A201&lt;=Dashboard!$F$17,MOD(A201-1,12)=0),MIN(W201,$B$7),0)</x:f>
      </x:c>
      <x:c r="Y201" s="32" t="e">
        <x:f>IF(A201&lt;=Dashboard!$F$17,MAX(0,W201-X201)*Dashboard!$F$6,0)</x:f>
      </x:c>
      <x:c r="Z201" s="32" t="e">
        <x:f>IF(A201&lt;=Dashboard!$F$17,MIN(Dashboard!$F$10,MAX(0,W201-X201)+Y201),0)</x:f>
      </x:c>
      <x:c r="AA201" s="32" t="e">
        <x:f>IF(A201&lt;=Dashboard!$F$17,MAX(0,W201-X201-MAX(0,Z201-Y201)),0)</x:f>
      </x:c>
      <x:c r="AB201" s="32" t="e">
        <x:f>IF(A201=1,Y201,AB200+Y201)</x:f>
      </x:c>
      <x:c r="AC201" s="32"/>
      <x:c r="AD201" s="32" t="e">
        <x:f>IF(A201=1,MAX(0,Dashboard!$F$14-$B$8),AG200)</x:f>
      </x:c>
      <x:c r="AE201" s="32" t="n">
        <x:f>0</x:f>
        <x:v>0</x:v>
      </x:c>
      <x:c r="AF201" s="32" t="e">
        <x:f>IF(A201&lt;=Dashboard!$F$17,AD201*Dashboard!$F$6,0)</x:f>
      </x:c>
      <x:c r="AG201" s="32" t="e">
        <x:f>IF(A201&lt;=Dashboard!$F$17,MIN(Dashboard!$F$10,AD201+AF201),0)</x:f>
      </x:c>
      <x:c r="AH201" s="32" t="e">
        <x:f>IF(A201&lt;=Dashboard!$F$17,MAX(0,AD201-MAX(0,AG201-AF201)),0)</x:f>
      </x:c>
      <x:c r="AI201" s="32" t="e">
        <x:f>IF(A201=1,AF201,AI200+AF201)</x:f>
      </x:c>
      <x:c r="AJ201" s="33"/>
      <x:c r="AK201" s="33"/>
      <x:c r="AL201" s="33"/>
      <x:c r="AM201" s="33"/>
    </x:row>
    <x:row r="202">
      <x:c r="A202" s="33" t="n">
        <x:v>190</x:v>
      </x:c>
      <x:c r="B202" s="32" t="e">
        <x:f>IF(A202=1,Dashboard!$F$14,F201)</x:f>
      </x:c>
      <x:c r="C202" s="32" t="n">
        <x:f>0</x:f>
        <x:v>0</x:v>
      </x:c>
      <x:c r="D202" s="32" t="e">
        <x:f>IF(A202&lt;=Dashboard!$F$15,B202*Dashboard!$F$6,0)</x:f>
      </x:c>
      <x:c r="E202" s="32" t="e">
        <x:f>IF(A202&lt;=Dashboard!$F$15,MIN(Dashboard!$F$10,B202+D202),0)</x:f>
      </x:c>
      <x:c r="F202" s="32" t="e">
        <x:f>IF(A202&lt;=Dashboard!$F$15,MAX(0,B202-MAX(0,E202-D202)),0)</x:f>
      </x:c>
      <x:c r="G202" s="32" t="e">
        <x:f>IF(A202=1,D202,G201+D202)</x:f>
      </x:c>
      <x:c r="H202" s="32"/>
      <x:c r="I202" s="32" t="e">
        <x:f>IF(A202=1,Dashboard!$F$14,M201)</x:f>
      </x:c>
      <x:c r="J202" s="32" t="e">
        <x:f>IF(A202&lt;=Dashboard!$F$17,MIN(I202,$B$5),0)</x:f>
      </x:c>
      <x:c r="K202" s="32" t="e">
        <x:f>IF(A202&lt;=Dashboard!$F$17,MAX(0,I202-J202)*Dashboard!$F$6,0)</x:f>
      </x:c>
      <x:c r="L202" s="32" t="e">
        <x:f>IF(A202&lt;=Dashboard!$F$17,MIN(Dashboard!$F$10,MAX(0,I202-J202)+K202),0)</x:f>
      </x:c>
      <x:c r="M202" s="32" t="e">
        <x:f>IF(A202&lt;=Dashboard!$F$17,MAX(0,I202-J202-MAX(0,L202-K202)),0)</x:f>
      </x:c>
      <x:c r="N202" s="32" t="e">
        <x:f>IF(A202=1,K202,N201+K202)</x:f>
      </x:c>
      <x:c r="O202" s="32"/>
      <x:c r="P202" s="32" t="e">
        <x:f>IF(A202=1,Dashboard!$F$14,T201)</x:f>
      </x:c>
      <x:c r="Q202" s="32" t="e">
        <x:f>IF(A202&lt;=Dashboard!$F$17,MIN(P202,$B$6*52/12),0)</x:f>
      </x:c>
      <x:c r="R202" s="32" t="e">
        <x:f>IF(A202&lt;=Dashboard!$F$17,MAX(0,P202-Q202)*Dashboard!$F$6,0)</x:f>
      </x:c>
      <x:c r="S202" s="32" t="e">
        <x:f>IF(A202&lt;=Dashboard!$F$17,MIN(Dashboard!$F$10,MAX(0,P202-Q202)+R202),0)</x:f>
      </x:c>
      <x:c r="T202" s="32" t="e">
        <x:f>IF(A202&lt;=Dashboard!$F$17,MAX(0,P202-Q202-MAX(0,S202-R202)),0)</x:f>
      </x:c>
      <x:c r="U202" s="32" t="e">
        <x:f>IF(A202=1,R202,U201+R202)</x:f>
      </x:c>
      <x:c r="V202" s="32"/>
      <x:c r="W202" s="32" t="e">
        <x:f>IF(A202=1,Dashboard!$F$14,AA201)</x:f>
      </x:c>
      <x:c r="X202" s="32" t="e">
        <x:f>IF(AND(A202&lt;=Dashboard!$F$17,MOD(A202-1,12)=0),MIN(W202,$B$7),0)</x:f>
      </x:c>
      <x:c r="Y202" s="32" t="e">
        <x:f>IF(A202&lt;=Dashboard!$F$17,MAX(0,W202-X202)*Dashboard!$F$6,0)</x:f>
      </x:c>
      <x:c r="Z202" s="32" t="e">
        <x:f>IF(A202&lt;=Dashboard!$F$17,MIN(Dashboard!$F$10,MAX(0,W202-X202)+Y202),0)</x:f>
      </x:c>
      <x:c r="AA202" s="32" t="e">
        <x:f>IF(A202&lt;=Dashboard!$F$17,MAX(0,W202-X202-MAX(0,Z202-Y202)),0)</x:f>
      </x:c>
      <x:c r="AB202" s="32" t="e">
        <x:f>IF(A202=1,Y202,AB201+Y202)</x:f>
      </x:c>
      <x:c r="AC202" s="32"/>
      <x:c r="AD202" s="32" t="e">
        <x:f>IF(A202=1,MAX(0,Dashboard!$F$14-$B$8),AG201)</x:f>
      </x:c>
      <x:c r="AE202" s="32" t="n">
        <x:f>0</x:f>
        <x:v>0</x:v>
      </x:c>
      <x:c r="AF202" s="32" t="e">
        <x:f>IF(A202&lt;=Dashboard!$F$17,AD202*Dashboard!$F$6,0)</x:f>
      </x:c>
      <x:c r="AG202" s="32" t="e">
        <x:f>IF(A202&lt;=Dashboard!$F$17,MIN(Dashboard!$F$10,AD202+AF202),0)</x:f>
      </x:c>
      <x:c r="AH202" s="32" t="e">
        <x:f>IF(A202&lt;=Dashboard!$F$17,MAX(0,AD202-MAX(0,AG202-AF202)),0)</x:f>
      </x:c>
      <x:c r="AI202" s="32" t="e">
        <x:f>IF(A202=1,AF202,AI201+AF202)</x:f>
      </x:c>
      <x:c r="AJ202" s="33"/>
      <x:c r="AK202" s="33"/>
      <x:c r="AL202" s="33"/>
      <x:c r="AM202" s="33"/>
    </x:row>
    <x:row r="203">
      <x:c r="A203" s="33" t="n">
        <x:v>191</x:v>
      </x:c>
      <x:c r="B203" s="32" t="e">
        <x:f>IF(A203=1,Dashboard!$F$14,F202)</x:f>
      </x:c>
      <x:c r="C203" s="32" t="n">
        <x:f>0</x:f>
        <x:v>0</x:v>
      </x:c>
      <x:c r="D203" s="32" t="e">
        <x:f>IF(A203&lt;=Dashboard!$F$15,B203*Dashboard!$F$6,0)</x:f>
      </x:c>
      <x:c r="E203" s="32" t="e">
        <x:f>IF(A203&lt;=Dashboard!$F$15,MIN(Dashboard!$F$10,B203+D203),0)</x:f>
      </x:c>
      <x:c r="F203" s="32" t="e">
        <x:f>IF(A203&lt;=Dashboard!$F$15,MAX(0,B203-MAX(0,E203-D203)),0)</x:f>
      </x:c>
      <x:c r="G203" s="32" t="e">
        <x:f>IF(A203=1,D203,G202+D203)</x:f>
      </x:c>
      <x:c r="H203" s="32"/>
      <x:c r="I203" s="32" t="e">
        <x:f>IF(A203=1,Dashboard!$F$14,M202)</x:f>
      </x:c>
      <x:c r="J203" s="32" t="e">
        <x:f>IF(A203&lt;=Dashboard!$F$17,MIN(I203,$B$5),0)</x:f>
      </x:c>
      <x:c r="K203" s="32" t="e">
        <x:f>IF(A203&lt;=Dashboard!$F$17,MAX(0,I203-J203)*Dashboard!$F$6,0)</x:f>
      </x:c>
      <x:c r="L203" s="32" t="e">
        <x:f>IF(A203&lt;=Dashboard!$F$17,MIN(Dashboard!$F$10,MAX(0,I203-J203)+K203),0)</x:f>
      </x:c>
      <x:c r="M203" s="32" t="e">
        <x:f>IF(A203&lt;=Dashboard!$F$17,MAX(0,I203-J203-MAX(0,L203-K203)),0)</x:f>
      </x:c>
      <x:c r="N203" s="32" t="e">
        <x:f>IF(A203=1,K203,N202+K203)</x:f>
      </x:c>
      <x:c r="O203" s="32"/>
      <x:c r="P203" s="32" t="e">
        <x:f>IF(A203=1,Dashboard!$F$14,T202)</x:f>
      </x:c>
      <x:c r="Q203" s="32" t="e">
        <x:f>IF(A203&lt;=Dashboard!$F$17,MIN(P203,$B$6*52/12),0)</x:f>
      </x:c>
      <x:c r="R203" s="32" t="e">
        <x:f>IF(A203&lt;=Dashboard!$F$17,MAX(0,P203-Q203)*Dashboard!$F$6,0)</x:f>
      </x:c>
      <x:c r="S203" s="32" t="e">
        <x:f>IF(A203&lt;=Dashboard!$F$17,MIN(Dashboard!$F$10,MAX(0,P203-Q203)+R203),0)</x:f>
      </x:c>
      <x:c r="T203" s="32" t="e">
        <x:f>IF(A203&lt;=Dashboard!$F$17,MAX(0,P203-Q203-MAX(0,S203-R203)),0)</x:f>
      </x:c>
      <x:c r="U203" s="32" t="e">
        <x:f>IF(A203=1,R203,U202+R203)</x:f>
      </x:c>
      <x:c r="V203" s="32"/>
      <x:c r="W203" s="32" t="e">
        <x:f>IF(A203=1,Dashboard!$F$14,AA202)</x:f>
      </x:c>
      <x:c r="X203" s="32" t="e">
        <x:f>IF(AND(A203&lt;=Dashboard!$F$17,MOD(A203-1,12)=0),MIN(W203,$B$7),0)</x:f>
      </x:c>
      <x:c r="Y203" s="32" t="e">
        <x:f>IF(A203&lt;=Dashboard!$F$17,MAX(0,W203-X203)*Dashboard!$F$6,0)</x:f>
      </x:c>
      <x:c r="Z203" s="32" t="e">
        <x:f>IF(A203&lt;=Dashboard!$F$17,MIN(Dashboard!$F$10,MAX(0,W203-X203)+Y203),0)</x:f>
      </x:c>
      <x:c r="AA203" s="32" t="e">
        <x:f>IF(A203&lt;=Dashboard!$F$17,MAX(0,W203-X203-MAX(0,Z203-Y203)),0)</x:f>
      </x:c>
      <x:c r="AB203" s="32" t="e">
        <x:f>IF(A203=1,Y203,AB202+Y203)</x:f>
      </x:c>
      <x:c r="AC203" s="32"/>
      <x:c r="AD203" s="32" t="e">
        <x:f>IF(A203=1,MAX(0,Dashboard!$F$14-$B$8),AG202)</x:f>
      </x:c>
      <x:c r="AE203" s="32" t="n">
        <x:f>0</x:f>
        <x:v>0</x:v>
      </x:c>
      <x:c r="AF203" s="32" t="e">
        <x:f>IF(A203&lt;=Dashboard!$F$17,AD203*Dashboard!$F$6,0)</x:f>
      </x:c>
      <x:c r="AG203" s="32" t="e">
        <x:f>IF(A203&lt;=Dashboard!$F$17,MIN(Dashboard!$F$10,AD203+AF203),0)</x:f>
      </x:c>
      <x:c r="AH203" s="32" t="e">
        <x:f>IF(A203&lt;=Dashboard!$F$17,MAX(0,AD203-MAX(0,AG203-AF203)),0)</x:f>
      </x:c>
      <x:c r="AI203" s="32" t="e">
        <x:f>IF(A203=1,AF203,AI202+AF203)</x:f>
      </x:c>
      <x:c r="AJ203" s="33"/>
      <x:c r="AK203" s="33"/>
      <x:c r="AL203" s="33"/>
      <x:c r="AM203" s="33"/>
    </x:row>
    <x:row r="204">
      <x:c r="A204" s="33" t="n">
        <x:v>192</x:v>
      </x:c>
      <x:c r="B204" s="32" t="e">
        <x:f>IF(A204=1,Dashboard!$F$14,F203)</x:f>
      </x:c>
      <x:c r="C204" s="32" t="n">
        <x:f>0</x:f>
        <x:v>0</x:v>
      </x:c>
      <x:c r="D204" s="32" t="e">
        <x:f>IF(A204&lt;=Dashboard!$F$15,B204*Dashboard!$F$6,0)</x:f>
      </x:c>
      <x:c r="E204" s="32" t="e">
        <x:f>IF(A204&lt;=Dashboard!$F$15,MIN(Dashboard!$F$10,B204+D204),0)</x:f>
      </x:c>
      <x:c r="F204" s="32" t="e">
        <x:f>IF(A204&lt;=Dashboard!$F$15,MAX(0,B204-MAX(0,E204-D204)),0)</x:f>
      </x:c>
      <x:c r="G204" s="32" t="e">
        <x:f>IF(A204=1,D204,G203+D204)</x:f>
      </x:c>
      <x:c r="H204" s="32"/>
      <x:c r="I204" s="32" t="e">
        <x:f>IF(A204=1,Dashboard!$F$14,M203)</x:f>
      </x:c>
      <x:c r="J204" s="32" t="e">
        <x:f>IF(A204&lt;=Dashboard!$F$17,MIN(I204,$B$5),0)</x:f>
      </x:c>
      <x:c r="K204" s="32" t="e">
        <x:f>IF(A204&lt;=Dashboard!$F$17,MAX(0,I204-J204)*Dashboard!$F$6,0)</x:f>
      </x:c>
      <x:c r="L204" s="32" t="e">
        <x:f>IF(A204&lt;=Dashboard!$F$17,MIN(Dashboard!$F$10,MAX(0,I204-J204)+K204),0)</x:f>
      </x:c>
      <x:c r="M204" s="32" t="e">
        <x:f>IF(A204&lt;=Dashboard!$F$17,MAX(0,I204-J204-MAX(0,L204-K204)),0)</x:f>
      </x:c>
      <x:c r="N204" s="32" t="e">
        <x:f>IF(A204=1,K204,N203+K204)</x:f>
      </x:c>
      <x:c r="O204" s="32"/>
      <x:c r="P204" s="32" t="e">
        <x:f>IF(A204=1,Dashboard!$F$14,T203)</x:f>
      </x:c>
      <x:c r="Q204" s="32" t="e">
        <x:f>IF(A204&lt;=Dashboard!$F$17,MIN(P204,$B$6*52/12),0)</x:f>
      </x:c>
      <x:c r="R204" s="32" t="e">
        <x:f>IF(A204&lt;=Dashboard!$F$17,MAX(0,P204-Q204)*Dashboard!$F$6,0)</x:f>
      </x:c>
      <x:c r="S204" s="32" t="e">
        <x:f>IF(A204&lt;=Dashboard!$F$17,MIN(Dashboard!$F$10,MAX(0,P204-Q204)+R204),0)</x:f>
      </x:c>
      <x:c r="T204" s="32" t="e">
        <x:f>IF(A204&lt;=Dashboard!$F$17,MAX(0,P204-Q204-MAX(0,S204-R204)),0)</x:f>
      </x:c>
      <x:c r="U204" s="32" t="e">
        <x:f>IF(A204=1,R204,U203+R204)</x:f>
      </x:c>
      <x:c r="V204" s="32"/>
      <x:c r="W204" s="32" t="e">
        <x:f>IF(A204=1,Dashboard!$F$14,AA203)</x:f>
      </x:c>
      <x:c r="X204" s="32" t="e">
        <x:f>IF(AND(A204&lt;=Dashboard!$F$17,MOD(A204-1,12)=0),MIN(W204,$B$7),0)</x:f>
      </x:c>
      <x:c r="Y204" s="32" t="e">
        <x:f>IF(A204&lt;=Dashboard!$F$17,MAX(0,W204-X204)*Dashboard!$F$6,0)</x:f>
      </x:c>
      <x:c r="Z204" s="32" t="e">
        <x:f>IF(A204&lt;=Dashboard!$F$17,MIN(Dashboard!$F$10,MAX(0,W204-X204)+Y204),0)</x:f>
      </x:c>
      <x:c r="AA204" s="32" t="e">
        <x:f>IF(A204&lt;=Dashboard!$F$17,MAX(0,W204-X204-MAX(0,Z204-Y204)),0)</x:f>
      </x:c>
      <x:c r="AB204" s="32" t="e">
        <x:f>IF(A204=1,Y204,AB203+Y204)</x:f>
      </x:c>
      <x:c r="AC204" s="32"/>
      <x:c r="AD204" s="32" t="e">
        <x:f>IF(A204=1,MAX(0,Dashboard!$F$14-$B$8),AG203)</x:f>
      </x:c>
      <x:c r="AE204" s="32" t="n">
        <x:f>0</x:f>
        <x:v>0</x:v>
      </x:c>
      <x:c r="AF204" s="32" t="e">
        <x:f>IF(A204&lt;=Dashboard!$F$17,AD204*Dashboard!$F$6,0)</x:f>
      </x:c>
      <x:c r="AG204" s="32" t="e">
        <x:f>IF(A204&lt;=Dashboard!$F$17,MIN(Dashboard!$F$10,AD204+AF204),0)</x:f>
      </x:c>
      <x:c r="AH204" s="32" t="e">
        <x:f>IF(A204&lt;=Dashboard!$F$17,MAX(0,AD204-MAX(0,AG204-AF204)),0)</x:f>
      </x:c>
      <x:c r="AI204" s="32" t="e">
        <x:f>IF(A204=1,AF204,AI203+AF204)</x:f>
      </x:c>
      <x:c r="AJ204" s="33"/>
      <x:c r="AK204" s="33"/>
      <x:c r="AL204" s="33"/>
      <x:c r="AM204" s="33"/>
    </x:row>
    <x:row r="205">
      <x:c r="A205" s="33" t="n">
        <x:v>193</x:v>
      </x:c>
      <x:c r="B205" s="32" t="e">
        <x:f>IF(A205=1,Dashboard!$F$14,F204)</x:f>
      </x:c>
      <x:c r="C205" s="32" t="n">
        <x:f>0</x:f>
        <x:v>0</x:v>
      </x:c>
      <x:c r="D205" s="32" t="e">
        <x:f>IF(A205&lt;=Dashboard!$F$15,B205*Dashboard!$F$6,0)</x:f>
      </x:c>
      <x:c r="E205" s="32" t="e">
        <x:f>IF(A205&lt;=Dashboard!$F$15,MIN(Dashboard!$F$10,B205+D205),0)</x:f>
      </x:c>
      <x:c r="F205" s="32" t="e">
        <x:f>IF(A205&lt;=Dashboard!$F$15,MAX(0,B205-MAX(0,E205-D205)),0)</x:f>
      </x:c>
      <x:c r="G205" s="32" t="e">
        <x:f>IF(A205=1,D205,G204+D205)</x:f>
      </x:c>
      <x:c r="H205" s="32"/>
      <x:c r="I205" s="32" t="e">
        <x:f>IF(A205=1,Dashboard!$F$14,M204)</x:f>
      </x:c>
      <x:c r="J205" s="32" t="e">
        <x:f>IF(A205&lt;=Dashboard!$F$17,MIN(I205,$B$5),0)</x:f>
      </x:c>
      <x:c r="K205" s="32" t="e">
        <x:f>IF(A205&lt;=Dashboard!$F$17,MAX(0,I205-J205)*Dashboard!$F$6,0)</x:f>
      </x:c>
      <x:c r="L205" s="32" t="e">
        <x:f>IF(A205&lt;=Dashboard!$F$17,MIN(Dashboard!$F$10,MAX(0,I205-J205)+K205),0)</x:f>
      </x:c>
      <x:c r="M205" s="32" t="e">
        <x:f>IF(A205&lt;=Dashboard!$F$17,MAX(0,I205-J205-MAX(0,L205-K205)),0)</x:f>
      </x:c>
      <x:c r="N205" s="32" t="e">
        <x:f>IF(A205=1,K205,N204+K205)</x:f>
      </x:c>
      <x:c r="O205" s="32"/>
      <x:c r="P205" s="32" t="e">
        <x:f>IF(A205=1,Dashboard!$F$14,T204)</x:f>
      </x:c>
      <x:c r="Q205" s="32" t="e">
        <x:f>IF(A205&lt;=Dashboard!$F$17,MIN(P205,$B$6*52/12),0)</x:f>
      </x:c>
      <x:c r="R205" s="32" t="e">
        <x:f>IF(A205&lt;=Dashboard!$F$17,MAX(0,P205-Q205)*Dashboard!$F$6,0)</x:f>
      </x:c>
      <x:c r="S205" s="32" t="e">
        <x:f>IF(A205&lt;=Dashboard!$F$17,MIN(Dashboard!$F$10,MAX(0,P205-Q205)+R205),0)</x:f>
      </x:c>
      <x:c r="T205" s="32" t="e">
        <x:f>IF(A205&lt;=Dashboard!$F$17,MAX(0,P205-Q205-MAX(0,S205-R205)),0)</x:f>
      </x:c>
      <x:c r="U205" s="32" t="e">
        <x:f>IF(A205=1,R205,U204+R205)</x:f>
      </x:c>
      <x:c r="V205" s="32"/>
      <x:c r="W205" s="32" t="e">
        <x:f>IF(A205=1,Dashboard!$F$14,AA204)</x:f>
      </x:c>
      <x:c r="X205" s="32" t="e">
        <x:f>IF(AND(A205&lt;=Dashboard!$F$17,MOD(A205-1,12)=0),MIN(W205,$B$7),0)</x:f>
      </x:c>
      <x:c r="Y205" s="32" t="e">
        <x:f>IF(A205&lt;=Dashboard!$F$17,MAX(0,W205-X205)*Dashboard!$F$6,0)</x:f>
      </x:c>
      <x:c r="Z205" s="32" t="e">
        <x:f>IF(A205&lt;=Dashboard!$F$17,MIN(Dashboard!$F$10,MAX(0,W205-X205)+Y205),0)</x:f>
      </x:c>
      <x:c r="AA205" s="32" t="e">
        <x:f>IF(A205&lt;=Dashboard!$F$17,MAX(0,W205-X205-MAX(0,Z205-Y205)),0)</x:f>
      </x:c>
      <x:c r="AB205" s="32" t="e">
        <x:f>IF(A205=1,Y205,AB204+Y205)</x:f>
      </x:c>
      <x:c r="AC205" s="32"/>
      <x:c r="AD205" s="32" t="e">
        <x:f>IF(A205=1,MAX(0,Dashboard!$F$14-$B$8),AG204)</x:f>
      </x:c>
      <x:c r="AE205" s="32" t="n">
        <x:f>0</x:f>
        <x:v>0</x:v>
      </x:c>
      <x:c r="AF205" s="32" t="e">
        <x:f>IF(A205&lt;=Dashboard!$F$17,AD205*Dashboard!$F$6,0)</x:f>
      </x:c>
      <x:c r="AG205" s="32" t="e">
        <x:f>IF(A205&lt;=Dashboard!$F$17,MIN(Dashboard!$F$10,AD205+AF205),0)</x:f>
      </x:c>
      <x:c r="AH205" s="32" t="e">
        <x:f>IF(A205&lt;=Dashboard!$F$17,MAX(0,AD205-MAX(0,AG205-AF205)),0)</x:f>
      </x:c>
      <x:c r="AI205" s="32" t="e">
        <x:f>IF(A205=1,AF205,AI204+AF205)</x:f>
      </x:c>
      <x:c r="AJ205" s="33"/>
      <x:c r="AK205" s="33"/>
      <x:c r="AL205" s="33"/>
      <x:c r="AM205" s="33"/>
    </x:row>
    <x:row r="206">
      <x:c r="A206" s="33" t="n">
        <x:v>194</x:v>
      </x:c>
      <x:c r="B206" s="32" t="e">
        <x:f>IF(A206=1,Dashboard!$F$14,F205)</x:f>
      </x:c>
      <x:c r="C206" s="32" t="n">
        <x:f>0</x:f>
        <x:v>0</x:v>
      </x:c>
      <x:c r="D206" s="32" t="e">
        <x:f>IF(A206&lt;=Dashboard!$F$15,B206*Dashboard!$F$6,0)</x:f>
      </x:c>
      <x:c r="E206" s="32" t="e">
        <x:f>IF(A206&lt;=Dashboard!$F$15,MIN(Dashboard!$F$10,B206+D206),0)</x:f>
      </x:c>
      <x:c r="F206" s="32" t="e">
        <x:f>IF(A206&lt;=Dashboard!$F$15,MAX(0,B206-MAX(0,E206-D206)),0)</x:f>
      </x:c>
      <x:c r="G206" s="32" t="e">
        <x:f>IF(A206=1,D206,G205+D206)</x:f>
      </x:c>
      <x:c r="H206" s="32"/>
      <x:c r="I206" s="32" t="e">
        <x:f>IF(A206=1,Dashboard!$F$14,M205)</x:f>
      </x:c>
      <x:c r="J206" s="32" t="e">
        <x:f>IF(A206&lt;=Dashboard!$F$17,MIN(I206,$B$5),0)</x:f>
      </x:c>
      <x:c r="K206" s="32" t="e">
        <x:f>IF(A206&lt;=Dashboard!$F$17,MAX(0,I206-J206)*Dashboard!$F$6,0)</x:f>
      </x:c>
      <x:c r="L206" s="32" t="e">
        <x:f>IF(A206&lt;=Dashboard!$F$17,MIN(Dashboard!$F$10,MAX(0,I206-J206)+K206),0)</x:f>
      </x:c>
      <x:c r="M206" s="32" t="e">
        <x:f>IF(A206&lt;=Dashboard!$F$17,MAX(0,I206-J206-MAX(0,L206-K206)),0)</x:f>
      </x:c>
      <x:c r="N206" s="32" t="e">
        <x:f>IF(A206=1,K206,N205+K206)</x:f>
      </x:c>
      <x:c r="O206" s="32"/>
      <x:c r="P206" s="32" t="e">
        <x:f>IF(A206=1,Dashboard!$F$14,T205)</x:f>
      </x:c>
      <x:c r="Q206" s="32" t="e">
        <x:f>IF(A206&lt;=Dashboard!$F$17,MIN(P206,$B$6*52/12),0)</x:f>
      </x:c>
      <x:c r="R206" s="32" t="e">
        <x:f>IF(A206&lt;=Dashboard!$F$17,MAX(0,P206-Q206)*Dashboard!$F$6,0)</x:f>
      </x:c>
      <x:c r="S206" s="32" t="e">
        <x:f>IF(A206&lt;=Dashboard!$F$17,MIN(Dashboard!$F$10,MAX(0,P206-Q206)+R206),0)</x:f>
      </x:c>
      <x:c r="T206" s="32" t="e">
        <x:f>IF(A206&lt;=Dashboard!$F$17,MAX(0,P206-Q206-MAX(0,S206-R206)),0)</x:f>
      </x:c>
      <x:c r="U206" s="32" t="e">
        <x:f>IF(A206=1,R206,U205+R206)</x:f>
      </x:c>
      <x:c r="V206" s="32"/>
      <x:c r="W206" s="32" t="e">
        <x:f>IF(A206=1,Dashboard!$F$14,AA205)</x:f>
      </x:c>
      <x:c r="X206" s="32" t="e">
        <x:f>IF(AND(A206&lt;=Dashboard!$F$17,MOD(A206-1,12)=0),MIN(W206,$B$7),0)</x:f>
      </x:c>
      <x:c r="Y206" s="32" t="e">
        <x:f>IF(A206&lt;=Dashboard!$F$17,MAX(0,W206-X206)*Dashboard!$F$6,0)</x:f>
      </x:c>
      <x:c r="Z206" s="32" t="e">
        <x:f>IF(A206&lt;=Dashboard!$F$17,MIN(Dashboard!$F$10,MAX(0,W206-X206)+Y206),0)</x:f>
      </x:c>
      <x:c r="AA206" s="32" t="e">
        <x:f>IF(A206&lt;=Dashboard!$F$17,MAX(0,W206-X206-MAX(0,Z206-Y206)),0)</x:f>
      </x:c>
      <x:c r="AB206" s="32" t="e">
        <x:f>IF(A206=1,Y206,AB205+Y206)</x:f>
      </x:c>
      <x:c r="AC206" s="32"/>
      <x:c r="AD206" s="32" t="e">
        <x:f>IF(A206=1,MAX(0,Dashboard!$F$14-$B$8),AG205)</x:f>
      </x:c>
      <x:c r="AE206" s="32" t="n">
        <x:f>0</x:f>
        <x:v>0</x:v>
      </x:c>
      <x:c r="AF206" s="32" t="e">
        <x:f>IF(A206&lt;=Dashboard!$F$17,AD206*Dashboard!$F$6,0)</x:f>
      </x:c>
      <x:c r="AG206" s="32" t="e">
        <x:f>IF(A206&lt;=Dashboard!$F$17,MIN(Dashboard!$F$10,AD206+AF206),0)</x:f>
      </x:c>
      <x:c r="AH206" s="32" t="e">
        <x:f>IF(A206&lt;=Dashboard!$F$17,MAX(0,AD206-MAX(0,AG206-AF206)),0)</x:f>
      </x:c>
      <x:c r="AI206" s="32" t="e">
        <x:f>IF(A206=1,AF206,AI205+AF206)</x:f>
      </x:c>
      <x:c r="AJ206" s="33"/>
      <x:c r="AK206" s="33"/>
      <x:c r="AL206" s="33"/>
      <x:c r="AM206" s="33"/>
    </x:row>
    <x:row r="207">
      <x:c r="A207" s="33" t="n">
        <x:v>195</x:v>
      </x:c>
      <x:c r="B207" s="32" t="e">
        <x:f>IF(A207=1,Dashboard!$F$14,F206)</x:f>
      </x:c>
      <x:c r="C207" s="32" t="n">
        <x:f>0</x:f>
        <x:v>0</x:v>
      </x:c>
      <x:c r="D207" s="32" t="e">
        <x:f>IF(A207&lt;=Dashboard!$F$15,B207*Dashboard!$F$6,0)</x:f>
      </x:c>
      <x:c r="E207" s="32" t="e">
        <x:f>IF(A207&lt;=Dashboard!$F$15,MIN(Dashboard!$F$10,B207+D207),0)</x:f>
      </x:c>
      <x:c r="F207" s="32" t="e">
        <x:f>IF(A207&lt;=Dashboard!$F$15,MAX(0,B207-MAX(0,E207-D207)),0)</x:f>
      </x:c>
      <x:c r="G207" s="32" t="e">
        <x:f>IF(A207=1,D207,G206+D207)</x:f>
      </x:c>
      <x:c r="H207" s="32"/>
      <x:c r="I207" s="32" t="e">
        <x:f>IF(A207=1,Dashboard!$F$14,M206)</x:f>
      </x:c>
      <x:c r="J207" s="32" t="e">
        <x:f>IF(A207&lt;=Dashboard!$F$17,MIN(I207,$B$5),0)</x:f>
      </x:c>
      <x:c r="K207" s="32" t="e">
        <x:f>IF(A207&lt;=Dashboard!$F$17,MAX(0,I207-J207)*Dashboard!$F$6,0)</x:f>
      </x:c>
      <x:c r="L207" s="32" t="e">
        <x:f>IF(A207&lt;=Dashboard!$F$17,MIN(Dashboard!$F$10,MAX(0,I207-J207)+K207),0)</x:f>
      </x:c>
      <x:c r="M207" s="32" t="e">
        <x:f>IF(A207&lt;=Dashboard!$F$17,MAX(0,I207-J207-MAX(0,L207-K207)),0)</x:f>
      </x:c>
      <x:c r="N207" s="32" t="e">
        <x:f>IF(A207=1,K207,N206+K207)</x:f>
      </x:c>
      <x:c r="O207" s="32"/>
      <x:c r="P207" s="32" t="e">
        <x:f>IF(A207=1,Dashboard!$F$14,T206)</x:f>
      </x:c>
      <x:c r="Q207" s="32" t="e">
        <x:f>IF(A207&lt;=Dashboard!$F$17,MIN(P207,$B$6*52/12),0)</x:f>
      </x:c>
      <x:c r="R207" s="32" t="e">
        <x:f>IF(A207&lt;=Dashboard!$F$17,MAX(0,P207-Q207)*Dashboard!$F$6,0)</x:f>
      </x:c>
      <x:c r="S207" s="32" t="e">
        <x:f>IF(A207&lt;=Dashboard!$F$17,MIN(Dashboard!$F$10,MAX(0,P207-Q207)+R207),0)</x:f>
      </x:c>
      <x:c r="T207" s="32" t="e">
        <x:f>IF(A207&lt;=Dashboard!$F$17,MAX(0,P207-Q207-MAX(0,S207-R207)),0)</x:f>
      </x:c>
      <x:c r="U207" s="32" t="e">
        <x:f>IF(A207=1,R207,U206+R207)</x:f>
      </x:c>
      <x:c r="V207" s="32"/>
      <x:c r="W207" s="32" t="e">
        <x:f>IF(A207=1,Dashboard!$F$14,AA206)</x:f>
      </x:c>
      <x:c r="X207" s="32" t="e">
        <x:f>IF(AND(A207&lt;=Dashboard!$F$17,MOD(A207-1,12)=0),MIN(W207,$B$7),0)</x:f>
      </x:c>
      <x:c r="Y207" s="32" t="e">
        <x:f>IF(A207&lt;=Dashboard!$F$17,MAX(0,W207-X207)*Dashboard!$F$6,0)</x:f>
      </x:c>
      <x:c r="Z207" s="32" t="e">
        <x:f>IF(A207&lt;=Dashboard!$F$17,MIN(Dashboard!$F$10,MAX(0,W207-X207)+Y207),0)</x:f>
      </x:c>
      <x:c r="AA207" s="32" t="e">
        <x:f>IF(A207&lt;=Dashboard!$F$17,MAX(0,W207-X207-MAX(0,Z207-Y207)),0)</x:f>
      </x:c>
      <x:c r="AB207" s="32" t="e">
        <x:f>IF(A207=1,Y207,AB206+Y207)</x:f>
      </x:c>
      <x:c r="AC207" s="32"/>
      <x:c r="AD207" s="32" t="e">
        <x:f>IF(A207=1,MAX(0,Dashboard!$F$14-$B$8),AG206)</x:f>
      </x:c>
      <x:c r="AE207" s="32" t="n">
        <x:f>0</x:f>
        <x:v>0</x:v>
      </x:c>
      <x:c r="AF207" s="32" t="e">
        <x:f>IF(A207&lt;=Dashboard!$F$17,AD207*Dashboard!$F$6,0)</x:f>
      </x:c>
      <x:c r="AG207" s="32" t="e">
        <x:f>IF(A207&lt;=Dashboard!$F$17,MIN(Dashboard!$F$10,AD207+AF207),0)</x:f>
      </x:c>
      <x:c r="AH207" s="32" t="e">
        <x:f>IF(A207&lt;=Dashboard!$F$17,MAX(0,AD207-MAX(0,AG207-AF207)),0)</x:f>
      </x:c>
      <x:c r="AI207" s="32" t="e">
        <x:f>IF(A207=1,AF207,AI206+AF207)</x:f>
      </x:c>
      <x:c r="AJ207" s="33"/>
      <x:c r="AK207" s="33"/>
      <x:c r="AL207" s="33"/>
      <x:c r="AM207" s="33"/>
    </x:row>
    <x:row r="208">
      <x:c r="A208" s="33" t="n">
        <x:v>196</x:v>
      </x:c>
      <x:c r="B208" s="32" t="e">
        <x:f>IF(A208=1,Dashboard!$F$14,F207)</x:f>
      </x:c>
      <x:c r="C208" s="32" t="n">
        <x:f>0</x:f>
        <x:v>0</x:v>
      </x:c>
      <x:c r="D208" s="32" t="e">
        <x:f>IF(A208&lt;=Dashboard!$F$15,B208*Dashboard!$F$6,0)</x:f>
      </x:c>
      <x:c r="E208" s="32" t="e">
        <x:f>IF(A208&lt;=Dashboard!$F$15,MIN(Dashboard!$F$10,B208+D208),0)</x:f>
      </x:c>
      <x:c r="F208" s="32" t="e">
        <x:f>IF(A208&lt;=Dashboard!$F$15,MAX(0,B208-MAX(0,E208-D208)),0)</x:f>
      </x:c>
      <x:c r="G208" s="32" t="e">
        <x:f>IF(A208=1,D208,G207+D208)</x:f>
      </x:c>
      <x:c r="H208" s="32"/>
      <x:c r="I208" s="32" t="e">
        <x:f>IF(A208=1,Dashboard!$F$14,M207)</x:f>
      </x:c>
      <x:c r="J208" s="32" t="e">
        <x:f>IF(A208&lt;=Dashboard!$F$17,MIN(I208,$B$5),0)</x:f>
      </x:c>
      <x:c r="K208" s="32" t="e">
        <x:f>IF(A208&lt;=Dashboard!$F$17,MAX(0,I208-J208)*Dashboard!$F$6,0)</x:f>
      </x:c>
      <x:c r="L208" s="32" t="e">
        <x:f>IF(A208&lt;=Dashboard!$F$17,MIN(Dashboard!$F$10,MAX(0,I208-J208)+K208),0)</x:f>
      </x:c>
      <x:c r="M208" s="32" t="e">
        <x:f>IF(A208&lt;=Dashboard!$F$17,MAX(0,I208-J208-MAX(0,L208-K208)),0)</x:f>
      </x:c>
      <x:c r="N208" s="32" t="e">
        <x:f>IF(A208=1,K208,N207+K208)</x:f>
      </x:c>
      <x:c r="O208" s="32"/>
      <x:c r="P208" s="32" t="e">
        <x:f>IF(A208=1,Dashboard!$F$14,T207)</x:f>
      </x:c>
      <x:c r="Q208" s="32" t="e">
        <x:f>IF(A208&lt;=Dashboard!$F$17,MIN(P208,$B$6*52/12),0)</x:f>
      </x:c>
      <x:c r="R208" s="32" t="e">
        <x:f>IF(A208&lt;=Dashboard!$F$17,MAX(0,P208-Q208)*Dashboard!$F$6,0)</x:f>
      </x:c>
      <x:c r="S208" s="32" t="e">
        <x:f>IF(A208&lt;=Dashboard!$F$17,MIN(Dashboard!$F$10,MAX(0,P208-Q208)+R208),0)</x:f>
      </x:c>
      <x:c r="T208" s="32" t="e">
        <x:f>IF(A208&lt;=Dashboard!$F$17,MAX(0,P208-Q208-MAX(0,S208-R208)),0)</x:f>
      </x:c>
      <x:c r="U208" s="32" t="e">
        <x:f>IF(A208=1,R208,U207+R208)</x:f>
      </x:c>
      <x:c r="V208" s="32"/>
      <x:c r="W208" s="32" t="e">
        <x:f>IF(A208=1,Dashboard!$F$14,AA207)</x:f>
      </x:c>
      <x:c r="X208" s="32" t="e">
        <x:f>IF(AND(A208&lt;=Dashboard!$F$17,MOD(A208-1,12)=0),MIN(W208,$B$7),0)</x:f>
      </x:c>
      <x:c r="Y208" s="32" t="e">
        <x:f>IF(A208&lt;=Dashboard!$F$17,MAX(0,W208-X208)*Dashboard!$F$6,0)</x:f>
      </x:c>
      <x:c r="Z208" s="32" t="e">
        <x:f>IF(A208&lt;=Dashboard!$F$17,MIN(Dashboard!$F$10,MAX(0,W208-X208)+Y208),0)</x:f>
      </x:c>
      <x:c r="AA208" s="32" t="e">
        <x:f>IF(A208&lt;=Dashboard!$F$17,MAX(0,W208-X208-MAX(0,Z208-Y208)),0)</x:f>
      </x:c>
      <x:c r="AB208" s="32" t="e">
        <x:f>IF(A208=1,Y208,AB207+Y208)</x:f>
      </x:c>
      <x:c r="AC208" s="32"/>
      <x:c r="AD208" s="32" t="e">
        <x:f>IF(A208=1,MAX(0,Dashboard!$F$14-$B$8),AG207)</x:f>
      </x:c>
      <x:c r="AE208" s="32" t="n">
        <x:f>0</x:f>
        <x:v>0</x:v>
      </x:c>
      <x:c r="AF208" s="32" t="e">
        <x:f>IF(A208&lt;=Dashboard!$F$17,AD208*Dashboard!$F$6,0)</x:f>
      </x:c>
      <x:c r="AG208" s="32" t="e">
        <x:f>IF(A208&lt;=Dashboard!$F$17,MIN(Dashboard!$F$10,AD208+AF208),0)</x:f>
      </x:c>
      <x:c r="AH208" s="32" t="e">
        <x:f>IF(A208&lt;=Dashboard!$F$17,MAX(0,AD208-MAX(0,AG208-AF208)),0)</x:f>
      </x:c>
      <x:c r="AI208" s="32" t="e">
        <x:f>IF(A208=1,AF208,AI207+AF208)</x:f>
      </x:c>
      <x:c r="AJ208" s="33"/>
      <x:c r="AK208" s="33"/>
      <x:c r="AL208" s="33"/>
      <x:c r="AM208" s="33"/>
    </x:row>
    <x:row r="209">
      <x:c r="A209" s="33" t="n">
        <x:v>197</x:v>
      </x:c>
      <x:c r="B209" s="32" t="e">
        <x:f>IF(A209=1,Dashboard!$F$14,F208)</x:f>
      </x:c>
      <x:c r="C209" s="32" t="n">
        <x:f>0</x:f>
        <x:v>0</x:v>
      </x:c>
      <x:c r="D209" s="32" t="e">
        <x:f>IF(A209&lt;=Dashboard!$F$15,B209*Dashboard!$F$6,0)</x:f>
      </x:c>
      <x:c r="E209" s="32" t="e">
        <x:f>IF(A209&lt;=Dashboard!$F$15,MIN(Dashboard!$F$10,B209+D209),0)</x:f>
      </x:c>
      <x:c r="F209" s="32" t="e">
        <x:f>IF(A209&lt;=Dashboard!$F$15,MAX(0,B209-MAX(0,E209-D209)),0)</x:f>
      </x:c>
      <x:c r="G209" s="32" t="e">
        <x:f>IF(A209=1,D209,G208+D209)</x:f>
      </x:c>
      <x:c r="H209" s="32"/>
      <x:c r="I209" s="32" t="e">
        <x:f>IF(A209=1,Dashboard!$F$14,M208)</x:f>
      </x:c>
      <x:c r="J209" s="32" t="e">
        <x:f>IF(A209&lt;=Dashboard!$F$17,MIN(I209,$B$5),0)</x:f>
      </x:c>
      <x:c r="K209" s="32" t="e">
        <x:f>IF(A209&lt;=Dashboard!$F$17,MAX(0,I209-J209)*Dashboard!$F$6,0)</x:f>
      </x:c>
      <x:c r="L209" s="32" t="e">
        <x:f>IF(A209&lt;=Dashboard!$F$17,MIN(Dashboard!$F$10,MAX(0,I209-J209)+K209),0)</x:f>
      </x:c>
      <x:c r="M209" s="32" t="e">
        <x:f>IF(A209&lt;=Dashboard!$F$17,MAX(0,I209-J209-MAX(0,L209-K209)),0)</x:f>
      </x:c>
      <x:c r="N209" s="32" t="e">
        <x:f>IF(A209=1,K209,N208+K209)</x:f>
      </x:c>
      <x:c r="O209" s="32"/>
      <x:c r="P209" s="32" t="e">
        <x:f>IF(A209=1,Dashboard!$F$14,T208)</x:f>
      </x:c>
      <x:c r="Q209" s="32" t="e">
        <x:f>IF(A209&lt;=Dashboard!$F$17,MIN(P209,$B$6*52/12),0)</x:f>
      </x:c>
      <x:c r="R209" s="32" t="e">
        <x:f>IF(A209&lt;=Dashboard!$F$17,MAX(0,P209-Q209)*Dashboard!$F$6,0)</x:f>
      </x:c>
      <x:c r="S209" s="32" t="e">
        <x:f>IF(A209&lt;=Dashboard!$F$17,MIN(Dashboard!$F$10,MAX(0,P209-Q209)+R209),0)</x:f>
      </x:c>
      <x:c r="T209" s="32" t="e">
        <x:f>IF(A209&lt;=Dashboard!$F$17,MAX(0,P209-Q209-MAX(0,S209-R209)),0)</x:f>
      </x:c>
      <x:c r="U209" s="32" t="e">
        <x:f>IF(A209=1,R209,U208+R209)</x:f>
      </x:c>
      <x:c r="V209" s="32"/>
      <x:c r="W209" s="32" t="e">
        <x:f>IF(A209=1,Dashboard!$F$14,AA208)</x:f>
      </x:c>
      <x:c r="X209" s="32" t="e">
        <x:f>IF(AND(A209&lt;=Dashboard!$F$17,MOD(A209-1,12)=0),MIN(W209,$B$7),0)</x:f>
      </x:c>
      <x:c r="Y209" s="32" t="e">
        <x:f>IF(A209&lt;=Dashboard!$F$17,MAX(0,W209-X209)*Dashboard!$F$6,0)</x:f>
      </x:c>
      <x:c r="Z209" s="32" t="e">
        <x:f>IF(A209&lt;=Dashboard!$F$17,MIN(Dashboard!$F$10,MAX(0,W209-X209)+Y209),0)</x:f>
      </x:c>
      <x:c r="AA209" s="32" t="e">
        <x:f>IF(A209&lt;=Dashboard!$F$17,MAX(0,W209-X209-MAX(0,Z209-Y209)),0)</x:f>
      </x:c>
      <x:c r="AB209" s="32" t="e">
        <x:f>IF(A209=1,Y209,AB208+Y209)</x:f>
      </x:c>
      <x:c r="AC209" s="32"/>
      <x:c r="AD209" s="32" t="e">
        <x:f>IF(A209=1,MAX(0,Dashboard!$F$14-$B$8),AG208)</x:f>
      </x:c>
      <x:c r="AE209" s="32" t="n">
        <x:f>0</x:f>
        <x:v>0</x:v>
      </x:c>
      <x:c r="AF209" s="32" t="e">
        <x:f>IF(A209&lt;=Dashboard!$F$17,AD209*Dashboard!$F$6,0)</x:f>
      </x:c>
      <x:c r="AG209" s="32" t="e">
        <x:f>IF(A209&lt;=Dashboard!$F$17,MIN(Dashboard!$F$10,AD209+AF209),0)</x:f>
      </x:c>
      <x:c r="AH209" s="32" t="e">
        <x:f>IF(A209&lt;=Dashboard!$F$17,MAX(0,AD209-MAX(0,AG209-AF209)),0)</x:f>
      </x:c>
      <x:c r="AI209" s="32" t="e">
        <x:f>IF(A209=1,AF209,AI208+AF209)</x:f>
      </x:c>
      <x:c r="AJ209" s="33"/>
      <x:c r="AK209" s="33"/>
      <x:c r="AL209" s="33"/>
      <x:c r="AM209" s="33"/>
    </x:row>
    <x:row r="210">
      <x:c r="A210" s="33" t="n">
        <x:v>198</x:v>
      </x:c>
      <x:c r="B210" s="32" t="e">
        <x:f>IF(A210=1,Dashboard!$F$14,F209)</x:f>
      </x:c>
      <x:c r="C210" s="32" t="n">
        <x:f>0</x:f>
        <x:v>0</x:v>
      </x:c>
      <x:c r="D210" s="32" t="e">
        <x:f>IF(A210&lt;=Dashboard!$F$15,B210*Dashboard!$F$6,0)</x:f>
      </x:c>
      <x:c r="E210" s="32" t="e">
        <x:f>IF(A210&lt;=Dashboard!$F$15,MIN(Dashboard!$F$10,B210+D210),0)</x:f>
      </x:c>
      <x:c r="F210" s="32" t="e">
        <x:f>IF(A210&lt;=Dashboard!$F$15,MAX(0,B210-MAX(0,E210-D210)),0)</x:f>
      </x:c>
      <x:c r="G210" s="32" t="e">
        <x:f>IF(A210=1,D210,G209+D210)</x:f>
      </x:c>
      <x:c r="H210" s="32"/>
      <x:c r="I210" s="32" t="e">
        <x:f>IF(A210=1,Dashboard!$F$14,M209)</x:f>
      </x:c>
      <x:c r="J210" s="32" t="e">
        <x:f>IF(A210&lt;=Dashboard!$F$17,MIN(I210,$B$5),0)</x:f>
      </x:c>
      <x:c r="K210" s="32" t="e">
        <x:f>IF(A210&lt;=Dashboard!$F$17,MAX(0,I210-J210)*Dashboard!$F$6,0)</x:f>
      </x:c>
      <x:c r="L210" s="32" t="e">
        <x:f>IF(A210&lt;=Dashboard!$F$17,MIN(Dashboard!$F$10,MAX(0,I210-J210)+K210),0)</x:f>
      </x:c>
      <x:c r="M210" s="32" t="e">
        <x:f>IF(A210&lt;=Dashboard!$F$17,MAX(0,I210-J210-MAX(0,L210-K210)),0)</x:f>
      </x:c>
      <x:c r="N210" s="32" t="e">
        <x:f>IF(A210=1,K210,N209+K210)</x:f>
      </x:c>
      <x:c r="O210" s="32"/>
      <x:c r="P210" s="32" t="e">
        <x:f>IF(A210=1,Dashboard!$F$14,T209)</x:f>
      </x:c>
      <x:c r="Q210" s="32" t="e">
        <x:f>IF(A210&lt;=Dashboard!$F$17,MIN(P210,$B$6*52/12),0)</x:f>
      </x:c>
      <x:c r="R210" s="32" t="e">
        <x:f>IF(A210&lt;=Dashboard!$F$17,MAX(0,P210-Q210)*Dashboard!$F$6,0)</x:f>
      </x:c>
      <x:c r="S210" s="32" t="e">
        <x:f>IF(A210&lt;=Dashboard!$F$17,MIN(Dashboard!$F$10,MAX(0,P210-Q210)+R210),0)</x:f>
      </x:c>
      <x:c r="T210" s="32" t="e">
        <x:f>IF(A210&lt;=Dashboard!$F$17,MAX(0,P210-Q210-MAX(0,S210-R210)),0)</x:f>
      </x:c>
      <x:c r="U210" s="32" t="e">
        <x:f>IF(A210=1,R210,U209+R210)</x:f>
      </x:c>
      <x:c r="V210" s="32"/>
      <x:c r="W210" s="32" t="e">
        <x:f>IF(A210=1,Dashboard!$F$14,AA209)</x:f>
      </x:c>
      <x:c r="X210" s="32" t="e">
        <x:f>IF(AND(A210&lt;=Dashboard!$F$17,MOD(A210-1,12)=0),MIN(W210,$B$7),0)</x:f>
      </x:c>
      <x:c r="Y210" s="32" t="e">
        <x:f>IF(A210&lt;=Dashboard!$F$17,MAX(0,W210-X210)*Dashboard!$F$6,0)</x:f>
      </x:c>
      <x:c r="Z210" s="32" t="e">
        <x:f>IF(A210&lt;=Dashboard!$F$17,MIN(Dashboard!$F$10,MAX(0,W210-X210)+Y210),0)</x:f>
      </x:c>
      <x:c r="AA210" s="32" t="e">
        <x:f>IF(A210&lt;=Dashboard!$F$17,MAX(0,W210-X210-MAX(0,Z210-Y210)),0)</x:f>
      </x:c>
      <x:c r="AB210" s="32" t="e">
        <x:f>IF(A210=1,Y210,AB209+Y210)</x:f>
      </x:c>
      <x:c r="AC210" s="32"/>
      <x:c r="AD210" s="32" t="e">
        <x:f>IF(A210=1,MAX(0,Dashboard!$F$14-$B$8),AG209)</x:f>
      </x:c>
      <x:c r="AE210" s="32" t="n">
        <x:f>0</x:f>
        <x:v>0</x:v>
      </x:c>
      <x:c r="AF210" s="32" t="e">
        <x:f>IF(A210&lt;=Dashboard!$F$17,AD210*Dashboard!$F$6,0)</x:f>
      </x:c>
      <x:c r="AG210" s="32" t="e">
        <x:f>IF(A210&lt;=Dashboard!$F$17,MIN(Dashboard!$F$10,AD210+AF210),0)</x:f>
      </x:c>
      <x:c r="AH210" s="32" t="e">
        <x:f>IF(A210&lt;=Dashboard!$F$17,MAX(0,AD210-MAX(0,AG210-AF210)),0)</x:f>
      </x:c>
      <x:c r="AI210" s="32" t="e">
        <x:f>IF(A210=1,AF210,AI209+AF210)</x:f>
      </x:c>
      <x:c r="AJ210" s="33"/>
      <x:c r="AK210" s="33"/>
      <x:c r="AL210" s="33"/>
      <x:c r="AM210" s="33"/>
    </x:row>
    <x:row r="211">
      <x:c r="A211" s="33" t="n">
        <x:v>199</x:v>
      </x:c>
      <x:c r="B211" s="32" t="e">
        <x:f>IF(A211=1,Dashboard!$F$14,F210)</x:f>
      </x:c>
      <x:c r="C211" s="32" t="n">
        <x:f>0</x:f>
        <x:v>0</x:v>
      </x:c>
      <x:c r="D211" s="32" t="e">
        <x:f>IF(A211&lt;=Dashboard!$F$15,B211*Dashboard!$F$6,0)</x:f>
      </x:c>
      <x:c r="E211" s="32" t="e">
        <x:f>IF(A211&lt;=Dashboard!$F$15,MIN(Dashboard!$F$10,B211+D211),0)</x:f>
      </x:c>
      <x:c r="F211" s="32" t="e">
        <x:f>IF(A211&lt;=Dashboard!$F$15,MAX(0,B211-MAX(0,E211-D211)),0)</x:f>
      </x:c>
      <x:c r="G211" s="32" t="e">
        <x:f>IF(A211=1,D211,G210+D211)</x:f>
      </x:c>
      <x:c r="H211" s="32"/>
      <x:c r="I211" s="32" t="e">
        <x:f>IF(A211=1,Dashboard!$F$14,M210)</x:f>
      </x:c>
      <x:c r="J211" s="32" t="e">
        <x:f>IF(A211&lt;=Dashboard!$F$17,MIN(I211,$B$5),0)</x:f>
      </x:c>
      <x:c r="K211" s="32" t="e">
        <x:f>IF(A211&lt;=Dashboard!$F$17,MAX(0,I211-J211)*Dashboard!$F$6,0)</x:f>
      </x:c>
      <x:c r="L211" s="32" t="e">
        <x:f>IF(A211&lt;=Dashboard!$F$17,MIN(Dashboard!$F$10,MAX(0,I211-J211)+K211),0)</x:f>
      </x:c>
      <x:c r="M211" s="32" t="e">
        <x:f>IF(A211&lt;=Dashboard!$F$17,MAX(0,I211-J211-MAX(0,L211-K211)),0)</x:f>
      </x:c>
      <x:c r="N211" s="32" t="e">
        <x:f>IF(A211=1,K211,N210+K211)</x:f>
      </x:c>
      <x:c r="O211" s="32"/>
      <x:c r="P211" s="32" t="e">
        <x:f>IF(A211=1,Dashboard!$F$14,T210)</x:f>
      </x:c>
      <x:c r="Q211" s="32" t="e">
        <x:f>IF(A211&lt;=Dashboard!$F$17,MIN(P211,$B$6*52/12),0)</x:f>
      </x:c>
      <x:c r="R211" s="32" t="e">
        <x:f>IF(A211&lt;=Dashboard!$F$17,MAX(0,P211-Q211)*Dashboard!$F$6,0)</x:f>
      </x:c>
      <x:c r="S211" s="32" t="e">
        <x:f>IF(A211&lt;=Dashboard!$F$17,MIN(Dashboard!$F$10,MAX(0,P211-Q211)+R211),0)</x:f>
      </x:c>
      <x:c r="T211" s="32" t="e">
        <x:f>IF(A211&lt;=Dashboard!$F$17,MAX(0,P211-Q211-MAX(0,S211-R211)),0)</x:f>
      </x:c>
      <x:c r="U211" s="32" t="e">
        <x:f>IF(A211=1,R211,U210+R211)</x:f>
      </x:c>
      <x:c r="V211" s="32"/>
      <x:c r="W211" s="32" t="e">
        <x:f>IF(A211=1,Dashboard!$F$14,AA210)</x:f>
      </x:c>
      <x:c r="X211" s="32" t="e">
        <x:f>IF(AND(A211&lt;=Dashboard!$F$17,MOD(A211-1,12)=0),MIN(W211,$B$7),0)</x:f>
      </x:c>
      <x:c r="Y211" s="32" t="e">
        <x:f>IF(A211&lt;=Dashboard!$F$17,MAX(0,W211-X211)*Dashboard!$F$6,0)</x:f>
      </x:c>
      <x:c r="Z211" s="32" t="e">
        <x:f>IF(A211&lt;=Dashboard!$F$17,MIN(Dashboard!$F$10,MAX(0,W211-X211)+Y211),0)</x:f>
      </x:c>
      <x:c r="AA211" s="32" t="e">
        <x:f>IF(A211&lt;=Dashboard!$F$17,MAX(0,W211-X211-MAX(0,Z211-Y211)),0)</x:f>
      </x:c>
      <x:c r="AB211" s="32" t="e">
        <x:f>IF(A211=1,Y211,AB210+Y211)</x:f>
      </x:c>
      <x:c r="AC211" s="32"/>
      <x:c r="AD211" s="32" t="e">
        <x:f>IF(A211=1,MAX(0,Dashboard!$F$14-$B$8),AG210)</x:f>
      </x:c>
      <x:c r="AE211" s="32" t="n">
        <x:f>0</x:f>
        <x:v>0</x:v>
      </x:c>
      <x:c r="AF211" s="32" t="e">
        <x:f>IF(A211&lt;=Dashboard!$F$17,AD211*Dashboard!$F$6,0)</x:f>
      </x:c>
      <x:c r="AG211" s="32" t="e">
        <x:f>IF(A211&lt;=Dashboard!$F$17,MIN(Dashboard!$F$10,AD211+AF211),0)</x:f>
      </x:c>
      <x:c r="AH211" s="32" t="e">
        <x:f>IF(A211&lt;=Dashboard!$F$17,MAX(0,AD211-MAX(0,AG211-AF211)),0)</x:f>
      </x:c>
      <x:c r="AI211" s="32" t="e">
        <x:f>IF(A211=1,AF211,AI210+AF211)</x:f>
      </x:c>
      <x:c r="AJ211" s="33"/>
      <x:c r="AK211" s="33"/>
      <x:c r="AL211" s="33"/>
      <x:c r="AM211" s="33"/>
    </x:row>
    <x:row r="212">
      <x:c r="A212" s="33" t="n">
        <x:v>200</x:v>
      </x:c>
      <x:c r="B212" s="32" t="e">
        <x:f>IF(A212=1,Dashboard!$F$14,F211)</x:f>
      </x:c>
      <x:c r="C212" s="32" t="n">
        <x:f>0</x:f>
        <x:v>0</x:v>
      </x:c>
      <x:c r="D212" s="32" t="e">
        <x:f>IF(A212&lt;=Dashboard!$F$15,B212*Dashboard!$F$6,0)</x:f>
      </x:c>
      <x:c r="E212" s="32" t="e">
        <x:f>IF(A212&lt;=Dashboard!$F$15,MIN(Dashboard!$F$10,B212+D212),0)</x:f>
      </x:c>
      <x:c r="F212" s="32" t="e">
        <x:f>IF(A212&lt;=Dashboard!$F$15,MAX(0,B212-MAX(0,E212-D212)),0)</x:f>
      </x:c>
      <x:c r="G212" s="32" t="e">
        <x:f>IF(A212=1,D212,G211+D212)</x:f>
      </x:c>
      <x:c r="H212" s="32"/>
      <x:c r="I212" s="32" t="e">
        <x:f>IF(A212=1,Dashboard!$F$14,M211)</x:f>
      </x:c>
      <x:c r="J212" s="32" t="e">
        <x:f>IF(A212&lt;=Dashboard!$F$17,MIN(I212,$B$5),0)</x:f>
      </x:c>
      <x:c r="K212" s="32" t="e">
        <x:f>IF(A212&lt;=Dashboard!$F$17,MAX(0,I212-J212)*Dashboard!$F$6,0)</x:f>
      </x:c>
      <x:c r="L212" s="32" t="e">
        <x:f>IF(A212&lt;=Dashboard!$F$17,MIN(Dashboard!$F$10,MAX(0,I212-J212)+K212),0)</x:f>
      </x:c>
      <x:c r="M212" s="32" t="e">
        <x:f>IF(A212&lt;=Dashboard!$F$17,MAX(0,I212-J212-MAX(0,L212-K212)),0)</x:f>
      </x:c>
      <x:c r="N212" s="32" t="e">
        <x:f>IF(A212=1,K212,N211+K212)</x:f>
      </x:c>
      <x:c r="O212" s="32"/>
      <x:c r="P212" s="32" t="e">
        <x:f>IF(A212=1,Dashboard!$F$14,T211)</x:f>
      </x:c>
      <x:c r="Q212" s="32" t="e">
        <x:f>IF(A212&lt;=Dashboard!$F$17,MIN(P212,$B$6*52/12),0)</x:f>
      </x:c>
      <x:c r="R212" s="32" t="e">
        <x:f>IF(A212&lt;=Dashboard!$F$17,MAX(0,P212-Q212)*Dashboard!$F$6,0)</x:f>
      </x:c>
      <x:c r="S212" s="32" t="e">
        <x:f>IF(A212&lt;=Dashboard!$F$17,MIN(Dashboard!$F$10,MAX(0,P212-Q212)+R212),0)</x:f>
      </x:c>
      <x:c r="T212" s="32" t="e">
        <x:f>IF(A212&lt;=Dashboard!$F$17,MAX(0,P212-Q212-MAX(0,S212-R212)),0)</x:f>
      </x:c>
      <x:c r="U212" s="32" t="e">
        <x:f>IF(A212=1,R212,U211+R212)</x:f>
      </x:c>
      <x:c r="V212" s="32"/>
      <x:c r="W212" s="32" t="e">
        <x:f>IF(A212=1,Dashboard!$F$14,AA211)</x:f>
      </x:c>
      <x:c r="X212" s="32" t="e">
        <x:f>IF(AND(A212&lt;=Dashboard!$F$17,MOD(A212-1,12)=0),MIN(W212,$B$7),0)</x:f>
      </x:c>
      <x:c r="Y212" s="32" t="e">
        <x:f>IF(A212&lt;=Dashboard!$F$17,MAX(0,W212-X212)*Dashboard!$F$6,0)</x:f>
      </x:c>
      <x:c r="Z212" s="32" t="e">
        <x:f>IF(A212&lt;=Dashboard!$F$17,MIN(Dashboard!$F$10,MAX(0,W212-X212)+Y212),0)</x:f>
      </x:c>
      <x:c r="AA212" s="32" t="e">
        <x:f>IF(A212&lt;=Dashboard!$F$17,MAX(0,W212-X212-MAX(0,Z212-Y212)),0)</x:f>
      </x:c>
      <x:c r="AB212" s="32" t="e">
        <x:f>IF(A212=1,Y212,AB211+Y212)</x:f>
      </x:c>
      <x:c r="AC212" s="32"/>
      <x:c r="AD212" s="32" t="e">
        <x:f>IF(A212=1,MAX(0,Dashboard!$F$14-$B$8),AG211)</x:f>
      </x:c>
      <x:c r="AE212" s="32" t="n">
        <x:f>0</x:f>
        <x:v>0</x:v>
      </x:c>
      <x:c r="AF212" s="32" t="e">
        <x:f>IF(A212&lt;=Dashboard!$F$17,AD212*Dashboard!$F$6,0)</x:f>
      </x:c>
      <x:c r="AG212" s="32" t="e">
        <x:f>IF(A212&lt;=Dashboard!$F$17,MIN(Dashboard!$F$10,AD212+AF212),0)</x:f>
      </x:c>
      <x:c r="AH212" s="32" t="e">
        <x:f>IF(A212&lt;=Dashboard!$F$17,MAX(0,AD212-MAX(0,AG212-AF212)),0)</x:f>
      </x:c>
      <x:c r="AI212" s="32" t="e">
        <x:f>IF(A212=1,AF212,AI211+AF212)</x:f>
      </x:c>
      <x:c r="AJ212" s="33"/>
      <x:c r="AK212" s="33"/>
      <x:c r="AL212" s="33"/>
      <x:c r="AM212" s="33"/>
    </x:row>
    <x:row r="213">
      <x:c r="A213" s="33" t="n">
        <x:v>201</x:v>
      </x:c>
      <x:c r="B213" s="32" t="e">
        <x:f>IF(A213=1,Dashboard!$F$14,F212)</x:f>
      </x:c>
      <x:c r="C213" s="32" t="n">
        <x:f>0</x:f>
        <x:v>0</x:v>
      </x:c>
      <x:c r="D213" s="32" t="e">
        <x:f>IF(A213&lt;=Dashboard!$F$15,B213*Dashboard!$F$6,0)</x:f>
      </x:c>
      <x:c r="E213" s="32" t="e">
        <x:f>IF(A213&lt;=Dashboard!$F$15,MIN(Dashboard!$F$10,B213+D213),0)</x:f>
      </x:c>
      <x:c r="F213" s="32" t="e">
        <x:f>IF(A213&lt;=Dashboard!$F$15,MAX(0,B213-MAX(0,E213-D213)),0)</x:f>
      </x:c>
      <x:c r="G213" s="32" t="e">
        <x:f>IF(A213=1,D213,G212+D213)</x:f>
      </x:c>
      <x:c r="H213" s="32"/>
      <x:c r="I213" s="32" t="e">
        <x:f>IF(A213=1,Dashboard!$F$14,M212)</x:f>
      </x:c>
      <x:c r="J213" s="32" t="e">
        <x:f>IF(A213&lt;=Dashboard!$F$17,MIN(I213,$B$5),0)</x:f>
      </x:c>
      <x:c r="K213" s="32" t="e">
        <x:f>IF(A213&lt;=Dashboard!$F$17,MAX(0,I213-J213)*Dashboard!$F$6,0)</x:f>
      </x:c>
      <x:c r="L213" s="32" t="e">
        <x:f>IF(A213&lt;=Dashboard!$F$17,MIN(Dashboard!$F$10,MAX(0,I213-J213)+K213),0)</x:f>
      </x:c>
      <x:c r="M213" s="32" t="e">
        <x:f>IF(A213&lt;=Dashboard!$F$17,MAX(0,I213-J213-MAX(0,L213-K213)),0)</x:f>
      </x:c>
      <x:c r="N213" s="32" t="e">
        <x:f>IF(A213=1,K213,N212+K213)</x:f>
      </x:c>
      <x:c r="O213" s="32"/>
      <x:c r="P213" s="32" t="e">
        <x:f>IF(A213=1,Dashboard!$F$14,T212)</x:f>
      </x:c>
      <x:c r="Q213" s="32" t="e">
        <x:f>IF(A213&lt;=Dashboard!$F$17,MIN(P213,$B$6*52/12),0)</x:f>
      </x:c>
      <x:c r="R213" s="32" t="e">
        <x:f>IF(A213&lt;=Dashboard!$F$17,MAX(0,P213-Q213)*Dashboard!$F$6,0)</x:f>
      </x:c>
      <x:c r="S213" s="32" t="e">
        <x:f>IF(A213&lt;=Dashboard!$F$17,MIN(Dashboard!$F$10,MAX(0,P213-Q213)+R213),0)</x:f>
      </x:c>
      <x:c r="T213" s="32" t="e">
        <x:f>IF(A213&lt;=Dashboard!$F$17,MAX(0,P213-Q213-MAX(0,S213-R213)),0)</x:f>
      </x:c>
      <x:c r="U213" s="32" t="e">
        <x:f>IF(A213=1,R213,U212+R213)</x:f>
      </x:c>
      <x:c r="V213" s="32"/>
      <x:c r="W213" s="32" t="e">
        <x:f>IF(A213=1,Dashboard!$F$14,AA212)</x:f>
      </x:c>
      <x:c r="X213" s="32" t="e">
        <x:f>IF(AND(A213&lt;=Dashboard!$F$17,MOD(A213-1,12)=0),MIN(W213,$B$7),0)</x:f>
      </x:c>
      <x:c r="Y213" s="32" t="e">
        <x:f>IF(A213&lt;=Dashboard!$F$17,MAX(0,W213-X213)*Dashboard!$F$6,0)</x:f>
      </x:c>
      <x:c r="Z213" s="32" t="e">
        <x:f>IF(A213&lt;=Dashboard!$F$17,MIN(Dashboard!$F$10,MAX(0,W213-X213)+Y213),0)</x:f>
      </x:c>
      <x:c r="AA213" s="32" t="e">
        <x:f>IF(A213&lt;=Dashboard!$F$17,MAX(0,W213-X213-MAX(0,Z213-Y213)),0)</x:f>
      </x:c>
      <x:c r="AB213" s="32" t="e">
        <x:f>IF(A213=1,Y213,AB212+Y213)</x:f>
      </x:c>
      <x:c r="AC213" s="32"/>
      <x:c r="AD213" s="32" t="e">
        <x:f>IF(A213=1,MAX(0,Dashboard!$F$14-$B$8),AG212)</x:f>
      </x:c>
      <x:c r="AE213" s="32" t="n">
        <x:f>0</x:f>
        <x:v>0</x:v>
      </x:c>
      <x:c r="AF213" s="32" t="e">
        <x:f>IF(A213&lt;=Dashboard!$F$17,AD213*Dashboard!$F$6,0)</x:f>
      </x:c>
      <x:c r="AG213" s="32" t="e">
        <x:f>IF(A213&lt;=Dashboard!$F$17,MIN(Dashboard!$F$10,AD213+AF213),0)</x:f>
      </x:c>
      <x:c r="AH213" s="32" t="e">
        <x:f>IF(A213&lt;=Dashboard!$F$17,MAX(0,AD213-MAX(0,AG213-AF213)),0)</x:f>
      </x:c>
      <x:c r="AI213" s="32" t="e">
        <x:f>IF(A213=1,AF213,AI212+AF213)</x:f>
      </x:c>
      <x:c r="AJ213" s="33"/>
      <x:c r="AK213" s="33"/>
      <x:c r="AL213" s="33"/>
      <x:c r="AM213" s="33"/>
    </x:row>
    <x:row r="214">
      <x:c r="A214" s="33" t="n">
        <x:v>202</x:v>
      </x:c>
      <x:c r="B214" s="32" t="e">
        <x:f>IF(A214=1,Dashboard!$F$14,F213)</x:f>
      </x:c>
      <x:c r="C214" s="32" t="n">
        <x:f>0</x:f>
        <x:v>0</x:v>
      </x:c>
      <x:c r="D214" s="32" t="e">
        <x:f>IF(A214&lt;=Dashboard!$F$15,B214*Dashboard!$F$6,0)</x:f>
      </x:c>
      <x:c r="E214" s="32" t="e">
        <x:f>IF(A214&lt;=Dashboard!$F$15,MIN(Dashboard!$F$10,B214+D214),0)</x:f>
      </x:c>
      <x:c r="F214" s="32" t="e">
        <x:f>IF(A214&lt;=Dashboard!$F$15,MAX(0,B214-MAX(0,E214-D214)),0)</x:f>
      </x:c>
      <x:c r="G214" s="32" t="e">
        <x:f>IF(A214=1,D214,G213+D214)</x:f>
      </x:c>
      <x:c r="H214" s="32"/>
      <x:c r="I214" s="32" t="e">
        <x:f>IF(A214=1,Dashboard!$F$14,M213)</x:f>
      </x:c>
      <x:c r="J214" s="32" t="e">
        <x:f>IF(A214&lt;=Dashboard!$F$17,MIN(I214,$B$5),0)</x:f>
      </x:c>
      <x:c r="K214" s="32" t="e">
        <x:f>IF(A214&lt;=Dashboard!$F$17,MAX(0,I214-J214)*Dashboard!$F$6,0)</x:f>
      </x:c>
      <x:c r="L214" s="32" t="e">
        <x:f>IF(A214&lt;=Dashboard!$F$17,MIN(Dashboard!$F$10,MAX(0,I214-J214)+K214),0)</x:f>
      </x:c>
      <x:c r="M214" s="32" t="e">
        <x:f>IF(A214&lt;=Dashboard!$F$17,MAX(0,I214-J214-MAX(0,L214-K214)),0)</x:f>
      </x:c>
      <x:c r="N214" s="32" t="e">
        <x:f>IF(A214=1,K214,N213+K214)</x:f>
      </x:c>
      <x:c r="O214" s="32"/>
      <x:c r="P214" s="32" t="e">
        <x:f>IF(A214=1,Dashboard!$F$14,T213)</x:f>
      </x:c>
      <x:c r="Q214" s="32" t="e">
        <x:f>IF(A214&lt;=Dashboard!$F$17,MIN(P214,$B$6*52/12),0)</x:f>
      </x:c>
      <x:c r="R214" s="32" t="e">
        <x:f>IF(A214&lt;=Dashboard!$F$17,MAX(0,P214-Q214)*Dashboard!$F$6,0)</x:f>
      </x:c>
      <x:c r="S214" s="32" t="e">
        <x:f>IF(A214&lt;=Dashboard!$F$17,MIN(Dashboard!$F$10,MAX(0,P214-Q214)+R214),0)</x:f>
      </x:c>
      <x:c r="T214" s="32" t="e">
        <x:f>IF(A214&lt;=Dashboard!$F$17,MAX(0,P214-Q214-MAX(0,S214-R214)),0)</x:f>
      </x:c>
      <x:c r="U214" s="32" t="e">
        <x:f>IF(A214=1,R214,U213+R214)</x:f>
      </x:c>
      <x:c r="V214" s="32"/>
      <x:c r="W214" s="32" t="e">
        <x:f>IF(A214=1,Dashboard!$F$14,AA213)</x:f>
      </x:c>
      <x:c r="X214" s="32" t="e">
        <x:f>IF(AND(A214&lt;=Dashboard!$F$17,MOD(A214-1,12)=0),MIN(W214,$B$7),0)</x:f>
      </x:c>
      <x:c r="Y214" s="32" t="e">
        <x:f>IF(A214&lt;=Dashboard!$F$17,MAX(0,W214-X214)*Dashboard!$F$6,0)</x:f>
      </x:c>
      <x:c r="Z214" s="32" t="e">
        <x:f>IF(A214&lt;=Dashboard!$F$17,MIN(Dashboard!$F$10,MAX(0,W214-X214)+Y214),0)</x:f>
      </x:c>
      <x:c r="AA214" s="32" t="e">
        <x:f>IF(A214&lt;=Dashboard!$F$17,MAX(0,W214-X214-MAX(0,Z214-Y214)),0)</x:f>
      </x:c>
      <x:c r="AB214" s="32" t="e">
        <x:f>IF(A214=1,Y214,AB213+Y214)</x:f>
      </x:c>
      <x:c r="AC214" s="32"/>
      <x:c r="AD214" s="32" t="e">
        <x:f>IF(A214=1,MAX(0,Dashboard!$F$14-$B$8),AG213)</x:f>
      </x:c>
      <x:c r="AE214" s="32" t="n">
        <x:f>0</x:f>
        <x:v>0</x:v>
      </x:c>
      <x:c r="AF214" s="32" t="e">
        <x:f>IF(A214&lt;=Dashboard!$F$17,AD214*Dashboard!$F$6,0)</x:f>
      </x:c>
      <x:c r="AG214" s="32" t="e">
        <x:f>IF(A214&lt;=Dashboard!$F$17,MIN(Dashboard!$F$10,AD214+AF214),0)</x:f>
      </x:c>
      <x:c r="AH214" s="32" t="e">
        <x:f>IF(A214&lt;=Dashboard!$F$17,MAX(0,AD214-MAX(0,AG214-AF214)),0)</x:f>
      </x:c>
      <x:c r="AI214" s="32" t="e">
        <x:f>IF(A214=1,AF214,AI213+AF214)</x:f>
      </x:c>
      <x:c r="AJ214" s="33"/>
      <x:c r="AK214" s="33"/>
      <x:c r="AL214" s="33"/>
      <x:c r="AM214" s="33"/>
    </x:row>
    <x:row r="215">
      <x:c r="A215" s="33" t="n">
        <x:v>203</x:v>
      </x:c>
      <x:c r="B215" s="32" t="e">
        <x:f>IF(A215=1,Dashboard!$F$14,F214)</x:f>
      </x:c>
      <x:c r="C215" s="32" t="n">
        <x:f>0</x:f>
        <x:v>0</x:v>
      </x:c>
      <x:c r="D215" s="32" t="e">
        <x:f>IF(A215&lt;=Dashboard!$F$15,B215*Dashboard!$F$6,0)</x:f>
      </x:c>
      <x:c r="E215" s="32" t="e">
        <x:f>IF(A215&lt;=Dashboard!$F$15,MIN(Dashboard!$F$10,B215+D215),0)</x:f>
      </x:c>
      <x:c r="F215" s="32" t="e">
        <x:f>IF(A215&lt;=Dashboard!$F$15,MAX(0,B215-MAX(0,E215-D215)),0)</x:f>
      </x:c>
      <x:c r="G215" s="32" t="e">
        <x:f>IF(A215=1,D215,G214+D215)</x:f>
      </x:c>
      <x:c r="H215" s="32"/>
      <x:c r="I215" s="32" t="e">
        <x:f>IF(A215=1,Dashboard!$F$14,M214)</x:f>
      </x:c>
      <x:c r="J215" s="32" t="e">
        <x:f>IF(A215&lt;=Dashboard!$F$17,MIN(I215,$B$5),0)</x:f>
      </x:c>
      <x:c r="K215" s="32" t="e">
        <x:f>IF(A215&lt;=Dashboard!$F$17,MAX(0,I215-J215)*Dashboard!$F$6,0)</x:f>
      </x:c>
      <x:c r="L215" s="32" t="e">
        <x:f>IF(A215&lt;=Dashboard!$F$17,MIN(Dashboard!$F$10,MAX(0,I215-J215)+K215),0)</x:f>
      </x:c>
      <x:c r="M215" s="32" t="e">
        <x:f>IF(A215&lt;=Dashboard!$F$17,MAX(0,I215-J215-MAX(0,L215-K215)),0)</x:f>
      </x:c>
      <x:c r="N215" s="32" t="e">
        <x:f>IF(A215=1,K215,N214+K215)</x:f>
      </x:c>
      <x:c r="O215" s="32"/>
      <x:c r="P215" s="32" t="e">
        <x:f>IF(A215=1,Dashboard!$F$14,T214)</x:f>
      </x:c>
      <x:c r="Q215" s="32" t="e">
        <x:f>IF(A215&lt;=Dashboard!$F$17,MIN(P215,$B$6*52/12),0)</x:f>
      </x:c>
      <x:c r="R215" s="32" t="e">
        <x:f>IF(A215&lt;=Dashboard!$F$17,MAX(0,P215-Q215)*Dashboard!$F$6,0)</x:f>
      </x:c>
      <x:c r="S215" s="32" t="e">
        <x:f>IF(A215&lt;=Dashboard!$F$17,MIN(Dashboard!$F$10,MAX(0,P215-Q215)+R215),0)</x:f>
      </x:c>
      <x:c r="T215" s="32" t="e">
        <x:f>IF(A215&lt;=Dashboard!$F$17,MAX(0,P215-Q215-MAX(0,S215-R215)),0)</x:f>
      </x:c>
      <x:c r="U215" s="32" t="e">
        <x:f>IF(A215=1,R215,U214+R215)</x:f>
      </x:c>
      <x:c r="V215" s="32"/>
      <x:c r="W215" s="32" t="e">
        <x:f>IF(A215=1,Dashboard!$F$14,AA214)</x:f>
      </x:c>
      <x:c r="X215" s="32" t="e">
        <x:f>IF(AND(A215&lt;=Dashboard!$F$17,MOD(A215-1,12)=0),MIN(W215,$B$7),0)</x:f>
      </x:c>
      <x:c r="Y215" s="32" t="e">
        <x:f>IF(A215&lt;=Dashboard!$F$17,MAX(0,W215-X215)*Dashboard!$F$6,0)</x:f>
      </x:c>
      <x:c r="Z215" s="32" t="e">
        <x:f>IF(A215&lt;=Dashboard!$F$17,MIN(Dashboard!$F$10,MAX(0,W215-X215)+Y215),0)</x:f>
      </x:c>
      <x:c r="AA215" s="32" t="e">
        <x:f>IF(A215&lt;=Dashboard!$F$17,MAX(0,W215-X215-MAX(0,Z215-Y215)),0)</x:f>
      </x:c>
      <x:c r="AB215" s="32" t="e">
        <x:f>IF(A215=1,Y215,AB214+Y215)</x:f>
      </x:c>
      <x:c r="AC215" s="32"/>
      <x:c r="AD215" s="32" t="e">
        <x:f>IF(A215=1,MAX(0,Dashboard!$F$14-$B$8),AG214)</x:f>
      </x:c>
      <x:c r="AE215" s="32" t="n">
        <x:f>0</x:f>
        <x:v>0</x:v>
      </x:c>
      <x:c r="AF215" s="32" t="e">
        <x:f>IF(A215&lt;=Dashboard!$F$17,AD215*Dashboard!$F$6,0)</x:f>
      </x:c>
      <x:c r="AG215" s="32" t="e">
        <x:f>IF(A215&lt;=Dashboard!$F$17,MIN(Dashboard!$F$10,AD215+AF215),0)</x:f>
      </x:c>
      <x:c r="AH215" s="32" t="e">
        <x:f>IF(A215&lt;=Dashboard!$F$17,MAX(0,AD215-MAX(0,AG215-AF215)),0)</x:f>
      </x:c>
      <x:c r="AI215" s="32" t="e">
        <x:f>IF(A215=1,AF215,AI214+AF215)</x:f>
      </x:c>
      <x:c r="AJ215" s="33"/>
      <x:c r="AK215" s="33"/>
      <x:c r="AL215" s="33"/>
      <x:c r="AM215" s="33"/>
    </x:row>
    <x:row r="216">
      <x:c r="A216" s="33" t="n">
        <x:v>204</x:v>
      </x:c>
      <x:c r="B216" s="32" t="e">
        <x:f>IF(A216=1,Dashboard!$F$14,F215)</x:f>
      </x:c>
      <x:c r="C216" s="32" t="n">
        <x:f>0</x:f>
        <x:v>0</x:v>
      </x:c>
      <x:c r="D216" s="32" t="e">
        <x:f>IF(A216&lt;=Dashboard!$F$15,B216*Dashboard!$F$6,0)</x:f>
      </x:c>
      <x:c r="E216" s="32" t="e">
        <x:f>IF(A216&lt;=Dashboard!$F$15,MIN(Dashboard!$F$10,B216+D216),0)</x:f>
      </x:c>
      <x:c r="F216" s="32" t="e">
        <x:f>IF(A216&lt;=Dashboard!$F$15,MAX(0,B216-MAX(0,E216-D216)),0)</x:f>
      </x:c>
      <x:c r="G216" s="32" t="e">
        <x:f>IF(A216=1,D216,G215+D216)</x:f>
      </x:c>
      <x:c r="H216" s="32"/>
      <x:c r="I216" s="32" t="e">
        <x:f>IF(A216=1,Dashboard!$F$14,M215)</x:f>
      </x:c>
      <x:c r="J216" s="32" t="e">
        <x:f>IF(A216&lt;=Dashboard!$F$17,MIN(I216,$B$5),0)</x:f>
      </x:c>
      <x:c r="K216" s="32" t="e">
        <x:f>IF(A216&lt;=Dashboard!$F$17,MAX(0,I216-J216)*Dashboard!$F$6,0)</x:f>
      </x:c>
      <x:c r="L216" s="32" t="e">
        <x:f>IF(A216&lt;=Dashboard!$F$17,MIN(Dashboard!$F$10,MAX(0,I216-J216)+K216),0)</x:f>
      </x:c>
      <x:c r="M216" s="32" t="e">
        <x:f>IF(A216&lt;=Dashboard!$F$17,MAX(0,I216-J216-MAX(0,L216-K216)),0)</x:f>
      </x:c>
      <x:c r="N216" s="32" t="e">
        <x:f>IF(A216=1,K216,N215+K216)</x:f>
      </x:c>
      <x:c r="O216" s="32"/>
      <x:c r="P216" s="32" t="e">
        <x:f>IF(A216=1,Dashboard!$F$14,T215)</x:f>
      </x:c>
      <x:c r="Q216" s="32" t="e">
        <x:f>IF(A216&lt;=Dashboard!$F$17,MIN(P216,$B$6*52/12),0)</x:f>
      </x:c>
      <x:c r="R216" s="32" t="e">
        <x:f>IF(A216&lt;=Dashboard!$F$17,MAX(0,P216-Q216)*Dashboard!$F$6,0)</x:f>
      </x:c>
      <x:c r="S216" s="32" t="e">
        <x:f>IF(A216&lt;=Dashboard!$F$17,MIN(Dashboard!$F$10,MAX(0,P216-Q216)+R216),0)</x:f>
      </x:c>
      <x:c r="T216" s="32" t="e">
        <x:f>IF(A216&lt;=Dashboard!$F$17,MAX(0,P216-Q216-MAX(0,S216-R216)),0)</x:f>
      </x:c>
      <x:c r="U216" s="32" t="e">
        <x:f>IF(A216=1,R216,U215+R216)</x:f>
      </x:c>
      <x:c r="V216" s="32"/>
      <x:c r="W216" s="32" t="e">
        <x:f>IF(A216=1,Dashboard!$F$14,AA215)</x:f>
      </x:c>
      <x:c r="X216" s="32" t="e">
        <x:f>IF(AND(A216&lt;=Dashboard!$F$17,MOD(A216-1,12)=0),MIN(W216,$B$7),0)</x:f>
      </x:c>
      <x:c r="Y216" s="32" t="e">
        <x:f>IF(A216&lt;=Dashboard!$F$17,MAX(0,W216-X216)*Dashboard!$F$6,0)</x:f>
      </x:c>
      <x:c r="Z216" s="32" t="e">
        <x:f>IF(A216&lt;=Dashboard!$F$17,MIN(Dashboard!$F$10,MAX(0,W216-X216)+Y216),0)</x:f>
      </x:c>
      <x:c r="AA216" s="32" t="e">
        <x:f>IF(A216&lt;=Dashboard!$F$17,MAX(0,W216-X216-MAX(0,Z216-Y216)),0)</x:f>
      </x:c>
      <x:c r="AB216" s="32" t="e">
        <x:f>IF(A216=1,Y216,AB215+Y216)</x:f>
      </x:c>
      <x:c r="AC216" s="32"/>
      <x:c r="AD216" s="32" t="e">
        <x:f>IF(A216=1,MAX(0,Dashboard!$F$14-$B$8),AG215)</x:f>
      </x:c>
      <x:c r="AE216" s="32" t="n">
        <x:f>0</x:f>
        <x:v>0</x:v>
      </x:c>
      <x:c r="AF216" s="32" t="e">
        <x:f>IF(A216&lt;=Dashboard!$F$17,AD216*Dashboard!$F$6,0)</x:f>
      </x:c>
      <x:c r="AG216" s="32" t="e">
        <x:f>IF(A216&lt;=Dashboard!$F$17,MIN(Dashboard!$F$10,AD216+AF216),0)</x:f>
      </x:c>
      <x:c r="AH216" s="32" t="e">
        <x:f>IF(A216&lt;=Dashboard!$F$17,MAX(0,AD216-MAX(0,AG216-AF216)),0)</x:f>
      </x:c>
      <x:c r="AI216" s="32" t="e">
        <x:f>IF(A216=1,AF216,AI215+AF216)</x:f>
      </x:c>
      <x:c r="AJ216" s="33"/>
      <x:c r="AK216" s="33"/>
      <x:c r="AL216" s="33"/>
      <x:c r="AM216" s="33"/>
    </x:row>
    <x:row r="217">
      <x:c r="A217" s="33" t="n">
        <x:v>205</x:v>
      </x:c>
      <x:c r="B217" s="32" t="e">
        <x:f>IF(A217=1,Dashboard!$F$14,F216)</x:f>
      </x:c>
      <x:c r="C217" s="32" t="n">
        <x:f>0</x:f>
        <x:v>0</x:v>
      </x:c>
      <x:c r="D217" s="32" t="e">
        <x:f>IF(A217&lt;=Dashboard!$F$15,B217*Dashboard!$F$6,0)</x:f>
      </x:c>
      <x:c r="E217" s="32" t="e">
        <x:f>IF(A217&lt;=Dashboard!$F$15,MIN(Dashboard!$F$10,B217+D217),0)</x:f>
      </x:c>
      <x:c r="F217" s="32" t="e">
        <x:f>IF(A217&lt;=Dashboard!$F$15,MAX(0,B217-MAX(0,E217-D217)),0)</x:f>
      </x:c>
      <x:c r="G217" s="32" t="e">
        <x:f>IF(A217=1,D217,G216+D217)</x:f>
      </x:c>
      <x:c r="H217" s="32"/>
      <x:c r="I217" s="32" t="e">
        <x:f>IF(A217=1,Dashboard!$F$14,M216)</x:f>
      </x:c>
      <x:c r="J217" s="32" t="e">
        <x:f>IF(A217&lt;=Dashboard!$F$17,MIN(I217,$B$5),0)</x:f>
      </x:c>
      <x:c r="K217" s="32" t="e">
        <x:f>IF(A217&lt;=Dashboard!$F$17,MAX(0,I217-J217)*Dashboard!$F$6,0)</x:f>
      </x:c>
      <x:c r="L217" s="32" t="e">
        <x:f>IF(A217&lt;=Dashboard!$F$17,MIN(Dashboard!$F$10,MAX(0,I217-J217)+K217),0)</x:f>
      </x:c>
      <x:c r="M217" s="32" t="e">
        <x:f>IF(A217&lt;=Dashboard!$F$17,MAX(0,I217-J217-MAX(0,L217-K217)),0)</x:f>
      </x:c>
      <x:c r="N217" s="32" t="e">
        <x:f>IF(A217=1,K217,N216+K217)</x:f>
      </x:c>
      <x:c r="O217" s="32"/>
      <x:c r="P217" s="32" t="e">
        <x:f>IF(A217=1,Dashboard!$F$14,T216)</x:f>
      </x:c>
      <x:c r="Q217" s="32" t="e">
        <x:f>IF(A217&lt;=Dashboard!$F$17,MIN(P217,$B$6*52/12),0)</x:f>
      </x:c>
      <x:c r="R217" s="32" t="e">
        <x:f>IF(A217&lt;=Dashboard!$F$17,MAX(0,P217-Q217)*Dashboard!$F$6,0)</x:f>
      </x:c>
      <x:c r="S217" s="32" t="e">
        <x:f>IF(A217&lt;=Dashboard!$F$17,MIN(Dashboard!$F$10,MAX(0,P217-Q217)+R217),0)</x:f>
      </x:c>
      <x:c r="T217" s="32" t="e">
        <x:f>IF(A217&lt;=Dashboard!$F$17,MAX(0,P217-Q217-MAX(0,S217-R217)),0)</x:f>
      </x:c>
      <x:c r="U217" s="32" t="e">
        <x:f>IF(A217=1,R217,U216+R217)</x:f>
      </x:c>
      <x:c r="V217" s="32"/>
      <x:c r="W217" s="32" t="e">
        <x:f>IF(A217=1,Dashboard!$F$14,AA216)</x:f>
      </x:c>
      <x:c r="X217" s="32" t="e">
        <x:f>IF(AND(A217&lt;=Dashboard!$F$17,MOD(A217-1,12)=0),MIN(W217,$B$7),0)</x:f>
      </x:c>
      <x:c r="Y217" s="32" t="e">
        <x:f>IF(A217&lt;=Dashboard!$F$17,MAX(0,W217-X217)*Dashboard!$F$6,0)</x:f>
      </x:c>
      <x:c r="Z217" s="32" t="e">
        <x:f>IF(A217&lt;=Dashboard!$F$17,MIN(Dashboard!$F$10,MAX(0,W217-X217)+Y217),0)</x:f>
      </x:c>
      <x:c r="AA217" s="32" t="e">
        <x:f>IF(A217&lt;=Dashboard!$F$17,MAX(0,W217-X217-MAX(0,Z217-Y217)),0)</x:f>
      </x:c>
      <x:c r="AB217" s="32" t="e">
        <x:f>IF(A217=1,Y217,AB216+Y217)</x:f>
      </x:c>
      <x:c r="AC217" s="32"/>
      <x:c r="AD217" s="32" t="e">
        <x:f>IF(A217=1,MAX(0,Dashboard!$F$14-$B$8),AG216)</x:f>
      </x:c>
      <x:c r="AE217" s="32" t="n">
        <x:f>0</x:f>
        <x:v>0</x:v>
      </x:c>
      <x:c r="AF217" s="32" t="e">
        <x:f>IF(A217&lt;=Dashboard!$F$17,AD217*Dashboard!$F$6,0)</x:f>
      </x:c>
      <x:c r="AG217" s="32" t="e">
        <x:f>IF(A217&lt;=Dashboard!$F$17,MIN(Dashboard!$F$10,AD217+AF217),0)</x:f>
      </x:c>
      <x:c r="AH217" s="32" t="e">
        <x:f>IF(A217&lt;=Dashboard!$F$17,MAX(0,AD217-MAX(0,AG217-AF217)),0)</x:f>
      </x:c>
      <x:c r="AI217" s="32" t="e">
        <x:f>IF(A217=1,AF217,AI216+AF217)</x:f>
      </x:c>
      <x:c r="AJ217" s="33"/>
      <x:c r="AK217" s="33"/>
      <x:c r="AL217" s="33"/>
      <x:c r="AM217" s="33"/>
    </x:row>
    <x:row r="218">
      <x:c r="A218" s="33" t="n">
        <x:v>206</x:v>
      </x:c>
      <x:c r="B218" s="32" t="e">
        <x:f>IF(A218=1,Dashboard!$F$14,F217)</x:f>
      </x:c>
      <x:c r="C218" s="32" t="n">
        <x:f>0</x:f>
        <x:v>0</x:v>
      </x:c>
      <x:c r="D218" s="32" t="e">
        <x:f>IF(A218&lt;=Dashboard!$F$15,B218*Dashboard!$F$6,0)</x:f>
      </x:c>
      <x:c r="E218" s="32" t="e">
        <x:f>IF(A218&lt;=Dashboard!$F$15,MIN(Dashboard!$F$10,B218+D218),0)</x:f>
      </x:c>
      <x:c r="F218" s="32" t="e">
        <x:f>IF(A218&lt;=Dashboard!$F$15,MAX(0,B218-MAX(0,E218-D218)),0)</x:f>
      </x:c>
      <x:c r="G218" s="32" t="e">
        <x:f>IF(A218=1,D218,G217+D218)</x:f>
      </x:c>
      <x:c r="H218" s="32"/>
      <x:c r="I218" s="32" t="e">
        <x:f>IF(A218=1,Dashboard!$F$14,M217)</x:f>
      </x:c>
      <x:c r="J218" s="32" t="e">
        <x:f>IF(A218&lt;=Dashboard!$F$17,MIN(I218,$B$5),0)</x:f>
      </x:c>
      <x:c r="K218" s="32" t="e">
        <x:f>IF(A218&lt;=Dashboard!$F$17,MAX(0,I218-J218)*Dashboard!$F$6,0)</x:f>
      </x:c>
      <x:c r="L218" s="32" t="e">
        <x:f>IF(A218&lt;=Dashboard!$F$17,MIN(Dashboard!$F$10,MAX(0,I218-J218)+K218),0)</x:f>
      </x:c>
      <x:c r="M218" s="32" t="e">
        <x:f>IF(A218&lt;=Dashboard!$F$17,MAX(0,I218-J218-MAX(0,L218-K218)),0)</x:f>
      </x:c>
      <x:c r="N218" s="32" t="e">
        <x:f>IF(A218=1,K218,N217+K218)</x:f>
      </x:c>
      <x:c r="O218" s="32"/>
      <x:c r="P218" s="32" t="e">
        <x:f>IF(A218=1,Dashboard!$F$14,T217)</x:f>
      </x:c>
      <x:c r="Q218" s="32" t="e">
        <x:f>IF(A218&lt;=Dashboard!$F$17,MIN(P218,$B$6*52/12),0)</x:f>
      </x:c>
      <x:c r="R218" s="32" t="e">
        <x:f>IF(A218&lt;=Dashboard!$F$17,MAX(0,P218-Q218)*Dashboard!$F$6,0)</x:f>
      </x:c>
      <x:c r="S218" s="32" t="e">
        <x:f>IF(A218&lt;=Dashboard!$F$17,MIN(Dashboard!$F$10,MAX(0,P218-Q218)+R218),0)</x:f>
      </x:c>
      <x:c r="T218" s="32" t="e">
        <x:f>IF(A218&lt;=Dashboard!$F$17,MAX(0,P218-Q218-MAX(0,S218-R218)),0)</x:f>
      </x:c>
      <x:c r="U218" s="32" t="e">
        <x:f>IF(A218=1,R218,U217+R218)</x:f>
      </x:c>
      <x:c r="V218" s="32"/>
      <x:c r="W218" s="32" t="e">
        <x:f>IF(A218=1,Dashboard!$F$14,AA217)</x:f>
      </x:c>
      <x:c r="X218" s="32" t="e">
        <x:f>IF(AND(A218&lt;=Dashboard!$F$17,MOD(A218-1,12)=0),MIN(W218,$B$7),0)</x:f>
      </x:c>
      <x:c r="Y218" s="32" t="e">
        <x:f>IF(A218&lt;=Dashboard!$F$17,MAX(0,W218-X218)*Dashboard!$F$6,0)</x:f>
      </x:c>
      <x:c r="Z218" s="32" t="e">
        <x:f>IF(A218&lt;=Dashboard!$F$17,MIN(Dashboard!$F$10,MAX(0,W218-X218)+Y218),0)</x:f>
      </x:c>
      <x:c r="AA218" s="32" t="e">
        <x:f>IF(A218&lt;=Dashboard!$F$17,MAX(0,W218-X218-MAX(0,Z218-Y218)),0)</x:f>
      </x:c>
      <x:c r="AB218" s="32" t="e">
        <x:f>IF(A218=1,Y218,AB217+Y218)</x:f>
      </x:c>
      <x:c r="AC218" s="32"/>
      <x:c r="AD218" s="32" t="e">
        <x:f>IF(A218=1,MAX(0,Dashboard!$F$14-$B$8),AG217)</x:f>
      </x:c>
      <x:c r="AE218" s="32" t="n">
        <x:f>0</x:f>
        <x:v>0</x:v>
      </x:c>
      <x:c r="AF218" s="32" t="e">
        <x:f>IF(A218&lt;=Dashboard!$F$17,AD218*Dashboard!$F$6,0)</x:f>
      </x:c>
      <x:c r="AG218" s="32" t="e">
        <x:f>IF(A218&lt;=Dashboard!$F$17,MIN(Dashboard!$F$10,AD218+AF218),0)</x:f>
      </x:c>
      <x:c r="AH218" s="32" t="e">
        <x:f>IF(A218&lt;=Dashboard!$F$17,MAX(0,AD218-MAX(0,AG218-AF218)),0)</x:f>
      </x:c>
      <x:c r="AI218" s="32" t="e">
        <x:f>IF(A218=1,AF218,AI217+AF218)</x:f>
      </x:c>
      <x:c r="AJ218" s="33"/>
      <x:c r="AK218" s="33"/>
      <x:c r="AL218" s="33"/>
      <x:c r="AM218" s="33"/>
    </x:row>
    <x:row r="219">
      <x:c r="A219" s="33" t="n">
        <x:v>207</x:v>
      </x:c>
      <x:c r="B219" s="32" t="e">
        <x:f>IF(A219=1,Dashboard!$F$14,F218)</x:f>
      </x:c>
      <x:c r="C219" s="32" t="n">
        <x:f>0</x:f>
        <x:v>0</x:v>
      </x:c>
      <x:c r="D219" s="32" t="e">
        <x:f>IF(A219&lt;=Dashboard!$F$15,B219*Dashboard!$F$6,0)</x:f>
      </x:c>
      <x:c r="E219" s="32" t="e">
        <x:f>IF(A219&lt;=Dashboard!$F$15,MIN(Dashboard!$F$10,B219+D219),0)</x:f>
      </x:c>
      <x:c r="F219" s="32" t="e">
        <x:f>IF(A219&lt;=Dashboard!$F$15,MAX(0,B219-MAX(0,E219-D219)),0)</x:f>
      </x:c>
      <x:c r="G219" s="32" t="e">
        <x:f>IF(A219=1,D219,G218+D219)</x:f>
      </x:c>
      <x:c r="H219" s="32"/>
      <x:c r="I219" s="32" t="e">
        <x:f>IF(A219=1,Dashboard!$F$14,M218)</x:f>
      </x:c>
      <x:c r="J219" s="32" t="e">
        <x:f>IF(A219&lt;=Dashboard!$F$17,MIN(I219,$B$5),0)</x:f>
      </x:c>
      <x:c r="K219" s="32" t="e">
        <x:f>IF(A219&lt;=Dashboard!$F$17,MAX(0,I219-J219)*Dashboard!$F$6,0)</x:f>
      </x:c>
      <x:c r="L219" s="32" t="e">
        <x:f>IF(A219&lt;=Dashboard!$F$17,MIN(Dashboard!$F$10,MAX(0,I219-J219)+K219),0)</x:f>
      </x:c>
      <x:c r="M219" s="32" t="e">
        <x:f>IF(A219&lt;=Dashboard!$F$17,MAX(0,I219-J219-MAX(0,L219-K219)),0)</x:f>
      </x:c>
      <x:c r="N219" s="32" t="e">
        <x:f>IF(A219=1,K219,N218+K219)</x:f>
      </x:c>
      <x:c r="O219" s="32"/>
      <x:c r="P219" s="32" t="e">
        <x:f>IF(A219=1,Dashboard!$F$14,T218)</x:f>
      </x:c>
      <x:c r="Q219" s="32" t="e">
        <x:f>IF(A219&lt;=Dashboard!$F$17,MIN(P219,$B$6*52/12),0)</x:f>
      </x:c>
      <x:c r="R219" s="32" t="e">
        <x:f>IF(A219&lt;=Dashboard!$F$17,MAX(0,P219-Q219)*Dashboard!$F$6,0)</x:f>
      </x:c>
      <x:c r="S219" s="32" t="e">
        <x:f>IF(A219&lt;=Dashboard!$F$17,MIN(Dashboard!$F$10,MAX(0,P219-Q219)+R219),0)</x:f>
      </x:c>
      <x:c r="T219" s="32" t="e">
        <x:f>IF(A219&lt;=Dashboard!$F$17,MAX(0,P219-Q219-MAX(0,S219-R219)),0)</x:f>
      </x:c>
      <x:c r="U219" s="32" t="e">
        <x:f>IF(A219=1,R219,U218+R219)</x:f>
      </x:c>
      <x:c r="V219" s="32"/>
      <x:c r="W219" s="32" t="e">
        <x:f>IF(A219=1,Dashboard!$F$14,AA218)</x:f>
      </x:c>
      <x:c r="X219" s="32" t="e">
        <x:f>IF(AND(A219&lt;=Dashboard!$F$17,MOD(A219-1,12)=0),MIN(W219,$B$7),0)</x:f>
      </x:c>
      <x:c r="Y219" s="32" t="e">
        <x:f>IF(A219&lt;=Dashboard!$F$17,MAX(0,W219-X219)*Dashboard!$F$6,0)</x:f>
      </x:c>
      <x:c r="Z219" s="32" t="e">
        <x:f>IF(A219&lt;=Dashboard!$F$17,MIN(Dashboard!$F$10,MAX(0,W219-X219)+Y219),0)</x:f>
      </x:c>
      <x:c r="AA219" s="32" t="e">
        <x:f>IF(A219&lt;=Dashboard!$F$17,MAX(0,W219-X219-MAX(0,Z219-Y219)),0)</x:f>
      </x:c>
      <x:c r="AB219" s="32" t="e">
        <x:f>IF(A219=1,Y219,AB218+Y219)</x:f>
      </x:c>
      <x:c r="AC219" s="32"/>
      <x:c r="AD219" s="32" t="e">
        <x:f>IF(A219=1,MAX(0,Dashboard!$F$14-$B$8),AG218)</x:f>
      </x:c>
      <x:c r="AE219" s="32" t="n">
        <x:f>0</x:f>
        <x:v>0</x:v>
      </x:c>
      <x:c r="AF219" s="32" t="e">
        <x:f>IF(A219&lt;=Dashboard!$F$17,AD219*Dashboard!$F$6,0)</x:f>
      </x:c>
      <x:c r="AG219" s="32" t="e">
        <x:f>IF(A219&lt;=Dashboard!$F$17,MIN(Dashboard!$F$10,AD219+AF219),0)</x:f>
      </x:c>
      <x:c r="AH219" s="32" t="e">
        <x:f>IF(A219&lt;=Dashboard!$F$17,MAX(0,AD219-MAX(0,AG219-AF219)),0)</x:f>
      </x:c>
      <x:c r="AI219" s="32" t="e">
        <x:f>IF(A219=1,AF219,AI218+AF219)</x:f>
      </x:c>
      <x:c r="AJ219" s="33"/>
      <x:c r="AK219" s="33"/>
      <x:c r="AL219" s="33"/>
      <x:c r="AM219" s="33"/>
    </x:row>
    <x:row r="220">
      <x:c r="A220" s="33" t="n">
        <x:v>208</x:v>
      </x:c>
      <x:c r="B220" s="32" t="e">
        <x:f>IF(A220=1,Dashboard!$F$14,F219)</x:f>
      </x:c>
      <x:c r="C220" s="32" t="n">
        <x:f>0</x:f>
        <x:v>0</x:v>
      </x:c>
      <x:c r="D220" s="32" t="e">
        <x:f>IF(A220&lt;=Dashboard!$F$15,B220*Dashboard!$F$6,0)</x:f>
      </x:c>
      <x:c r="E220" s="32" t="e">
        <x:f>IF(A220&lt;=Dashboard!$F$15,MIN(Dashboard!$F$10,B220+D220),0)</x:f>
      </x:c>
      <x:c r="F220" s="32" t="e">
        <x:f>IF(A220&lt;=Dashboard!$F$15,MAX(0,B220-MAX(0,E220-D220)),0)</x:f>
      </x:c>
      <x:c r="G220" s="32" t="e">
        <x:f>IF(A220=1,D220,G219+D220)</x:f>
      </x:c>
      <x:c r="H220" s="32"/>
      <x:c r="I220" s="32" t="e">
        <x:f>IF(A220=1,Dashboard!$F$14,M219)</x:f>
      </x:c>
      <x:c r="J220" s="32" t="e">
        <x:f>IF(A220&lt;=Dashboard!$F$17,MIN(I220,$B$5),0)</x:f>
      </x:c>
      <x:c r="K220" s="32" t="e">
        <x:f>IF(A220&lt;=Dashboard!$F$17,MAX(0,I220-J220)*Dashboard!$F$6,0)</x:f>
      </x:c>
      <x:c r="L220" s="32" t="e">
        <x:f>IF(A220&lt;=Dashboard!$F$17,MIN(Dashboard!$F$10,MAX(0,I220-J220)+K220),0)</x:f>
      </x:c>
      <x:c r="M220" s="32" t="e">
        <x:f>IF(A220&lt;=Dashboard!$F$17,MAX(0,I220-J220-MAX(0,L220-K220)),0)</x:f>
      </x:c>
      <x:c r="N220" s="32" t="e">
        <x:f>IF(A220=1,K220,N219+K220)</x:f>
      </x:c>
      <x:c r="O220" s="32"/>
      <x:c r="P220" s="32" t="e">
        <x:f>IF(A220=1,Dashboard!$F$14,T219)</x:f>
      </x:c>
      <x:c r="Q220" s="32" t="e">
        <x:f>IF(A220&lt;=Dashboard!$F$17,MIN(P220,$B$6*52/12),0)</x:f>
      </x:c>
      <x:c r="R220" s="32" t="e">
        <x:f>IF(A220&lt;=Dashboard!$F$17,MAX(0,P220-Q220)*Dashboard!$F$6,0)</x:f>
      </x:c>
      <x:c r="S220" s="32" t="e">
        <x:f>IF(A220&lt;=Dashboard!$F$17,MIN(Dashboard!$F$10,MAX(0,P220-Q220)+R220),0)</x:f>
      </x:c>
      <x:c r="T220" s="32" t="e">
        <x:f>IF(A220&lt;=Dashboard!$F$17,MAX(0,P220-Q220-MAX(0,S220-R220)),0)</x:f>
      </x:c>
      <x:c r="U220" s="32" t="e">
        <x:f>IF(A220=1,R220,U219+R220)</x:f>
      </x:c>
      <x:c r="V220" s="32"/>
      <x:c r="W220" s="32" t="e">
        <x:f>IF(A220=1,Dashboard!$F$14,AA219)</x:f>
      </x:c>
      <x:c r="X220" s="32" t="e">
        <x:f>IF(AND(A220&lt;=Dashboard!$F$17,MOD(A220-1,12)=0),MIN(W220,$B$7),0)</x:f>
      </x:c>
      <x:c r="Y220" s="32" t="e">
        <x:f>IF(A220&lt;=Dashboard!$F$17,MAX(0,W220-X220)*Dashboard!$F$6,0)</x:f>
      </x:c>
      <x:c r="Z220" s="32" t="e">
        <x:f>IF(A220&lt;=Dashboard!$F$17,MIN(Dashboard!$F$10,MAX(0,W220-X220)+Y220),0)</x:f>
      </x:c>
      <x:c r="AA220" s="32" t="e">
        <x:f>IF(A220&lt;=Dashboard!$F$17,MAX(0,W220-X220-MAX(0,Z220-Y220)),0)</x:f>
      </x:c>
      <x:c r="AB220" s="32" t="e">
        <x:f>IF(A220=1,Y220,AB219+Y220)</x:f>
      </x:c>
      <x:c r="AC220" s="32"/>
      <x:c r="AD220" s="32" t="e">
        <x:f>IF(A220=1,MAX(0,Dashboard!$F$14-$B$8),AG219)</x:f>
      </x:c>
      <x:c r="AE220" s="32" t="n">
        <x:f>0</x:f>
        <x:v>0</x:v>
      </x:c>
      <x:c r="AF220" s="32" t="e">
        <x:f>IF(A220&lt;=Dashboard!$F$17,AD220*Dashboard!$F$6,0)</x:f>
      </x:c>
      <x:c r="AG220" s="32" t="e">
        <x:f>IF(A220&lt;=Dashboard!$F$17,MIN(Dashboard!$F$10,AD220+AF220),0)</x:f>
      </x:c>
      <x:c r="AH220" s="32" t="e">
        <x:f>IF(A220&lt;=Dashboard!$F$17,MAX(0,AD220-MAX(0,AG220-AF220)),0)</x:f>
      </x:c>
      <x:c r="AI220" s="32" t="e">
        <x:f>IF(A220=1,AF220,AI219+AF220)</x:f>
      </x:c>
      <x:c r="AJ220" s="33"/>
      <x:c r="AK220" s="33"/>
      <x:c r="AL220" s="33"/>
      <x:c r="AM220" s="33"/>
    </x:row>
    <x:row r="221">
      <x:c r="A221" s="33" t="n">
        <x:v>209</x:v>
      </x:c>
      <x:c r="B221" s="32" t="e">
        <x:f>IF(A221=1,Dashboard!$F$14,F220)</x:f>
      </x:c>
      <x:c r="C221" s="32" t="n">
        <x:f>0</x:f>
        <x:v>0</x:v>
      </x:c>
      <x:c r="D221" s="32" t="e">
        <x:f>IF(A221&lt;=Dashboard!$F$15,B221*Dashboard!$F$6,0)</x:f>
      </x:c>
      <x:c r="E221" s="32" t="e">
        <x:f>IF(A221&lt;=Dashboard!$F$15,MIN(Dashboard!$F$10,B221+D221),0)</x:f>
      </x:c>
      <x:c r="F221" s="32" t="e">
        <x:f>IF(A221&lt;=Dashboard!$F$15,MAX(0,B221-MAX(0,E221-D221)),0)</x:f>
      </x:c>
      <x:c r="G221" s="32" t="e">
        <x:f>IF(A221=1,D221,G220+D221)</x:f>
      </x:c>
      <x:c r="H221" s="32"/>
      <x:c r="I221" s="32" t="e">
        <x:f>IF(A221=1,Dashboard!$F$14,M220)</x:f>
      </x:c>
      <x:c r="J221" s="32" t="e">
        <x:f>IF(A221&lt;=Dashboard!$F$17,MIN(I221,$B$5),0)</x:f>
      </x:c>
      <x:c r="K221" s="32" t="e">
        <x:f>IF(A221&lt;=Dashboard!$F$17,MAX(0,I221-J221)*Dashboard!$F$6,0)</x:f>
      </x:c>
      <x:c r="L221" s="32" t="e">
        <x:f>IF(A221&lt;=Dashboard!$F$17,MIN(Dashboard!$F$10,MAX(0,I221-J221)+K221),0)</x:f>
      </x:c>
      <x:c r="M221" s="32" t="e">
        <x:f>IF(A221&lt;=Dashboard!$F$17,MAX(0,I221-J221-MAX(0,L221-K221)),0)</x:f>
      </x:c>
      <x:c r="N221" s="32" t="e">
        <x:f>IF(A221=1,K221,N220+K221)</x:f>
      </x:c>
      <x:c r="O221" s="32"/>
      <x:c r="P221" s="32" t="e">
        <x:f>IF(A221=1,Dashboard!$F$14,T220)</x:f>
      </x:c>
      <x:c r="Q221" s="32" t="e">
        <x:f>IF(A221&lt;=Dashboard!$F$17,MIN(P221,$B$6*52/12),0)</x:f>
      </x:c>
      <x:c r="R221" s="32" t="e">
        <x:f>IF(A221&lt;=Dashboard!$F$17,MAX(0,P221-Q221)*Dashboard!$F$6,0)</x:f>
      </x:c>
      <x:c r="S221" s="32" t="e">
        <x:f>IF(A221&lt;=Dashboard!$F$17,MIN(Dashboard!$F$10,MAX(0,P221-Q221)+R221),0)</x:f>
      </x:c>
      <x:c r="T221" s="32" t="e">
        <x:f>IF(A221&lt;=Dashboard!$F$17,MAX(0,P221-Q221-MAX(0,S221-R221)),0)</x:f>
      </x:c>
      <x:c r="U221" s="32" t="e">
        <x:f>IF(A221=1,R221,U220+R221)</x:f>
      </x:c>
      <x:c r="V221" s="32"/>
      <x:c r="W221" s="32" t="e">
        <x:f>IF(A221=1,Dashboard!$F$14,AA220)</x:f>
      </x:c>
      <x:c r="X221" s="32" t="e">
        <x:f>IF(AND(A221&lt;=Dashboard!$F$17,MOD(A221-1,12)=0),MIN(W221,$B$7),0)</x:f>
      </x:c>
      <x:c r="Y221" s="32" t="e">
        <x:f>IF(A221&lt;=Dashboard!$F$17,MAX(0,W221-X221)*Dashboard!$F$6,0)</x:f>
      </x:c>
      <x:c r="Z221" s="32" t="e">
        <x:f>IF(A221&lt;=Dashboard!$F$17,MIN(Dashboard!$F$10,MAX(0,W221-X221)+Y221),0)</x:f>
      </x:c>
      <x:c r="AA221" s="32" t="e">
        <x:f>IF(A221&lt;=Dashboard!$F$17,MAX(0,W221-X221-MAX(0,Z221-Y221)),0)</x:f>
      </x:c>
      <x:c r="AB221" s="32" t="e">
        <x:f>IF(A221=1,Y221,AB220+Y221)</x:f>
      </x:c>
      <x:c r="AC221" s="32"/>
      <x:c r="AD221" s="32" t="e">
        <x:f>IF(A221=1,MAX(0,Dashboard!$F$14-$B$8),AG220)</x:f>
      </x:c>
      <x:c r="AE221" s="32" t="n">
        <x:f>0</x:f>
        <x:v>0</x:v>
      </x:c>
      <x:c r="AF221" s="32" t="e">
        <x:f>IF(A221&lt;=Dashboard!$F$17,AD221*Dashboard!$F$6,0)</x:f>
      </x:c>
      <x:c r="AG221" s="32" t="e">
        <x:f>IF(A221&lt;=Dashboard!$F$17,MIN(Dashboard!$F$10,AD221+AF221),0)</x:f>
      </x:c>
      <x:c r="AH221" s="32" t="e">
        <x:f>IF(A221&lt;=Dashboard!$F$17,MAX(0,AD221-MAX(0,AG221-AF221)),0)</x:f>
      </x:c>
      <x:c r="AI221" s="32" t="e">
        <x:f>IF(A221=1,AF221,AI220+AF221)</x:f>
      </x:c>
      <x:c r="AJ221" s="33"/>
      <x:c r="AK221" s="33"/>
      <x:c r="AL221" s="33"/>
      <x:c r="AM221" s="33"/>
    </x:row>
    <x:row r="222">
      <x:c r="A222" s="33" t="n">
        <x:v>210</x:v>
      </x:c>
      <x:c r="B222" s="32" t="e">
        <x:f>IF(A222=1,Dashboard!$F$14,F221)</x:f>
      </x:c>
      <x:c r="C222" s="32" t="n">
        <x:f>0</x:f>
        <x:v>0</x:v>
      </x:c>
      <x:c r="D222" s="32" t="e">
        <x:f>IF(A222&lt;=Dashboard!$F$15,B222*Dashboard!$F$6,0)</x:f>
      </x:c>
      <x:c r="E222" s="32" t="e">
        <x:f>IF(A222&lt;=Dashboard!$F$15,MIN(Dashboard!$F$10,B222+D222),0)</x:f>
      </x:c>
      <x:c r="F222" s="32" t="e">
        <x:f>IF(A222&lt;=Dashboard!$F$15,MAX(0,B222-MAX(0,E222-D222)),0)</x:f>
      </x:c>
      <x:c r="G222" s="32" t="e">
        <x:f>IF(A222=1,D222,G221+D222)</x:f>
      </x:c>
      <x:c r="H222" s="32"/>
      <x:c r="I222" s="32" t="e">
        <x:f>IF(A222=1,Dashboard!$F$14,M221)</x:f>
      </x:c>
      <x:c r="J222" s="32" t="e">
        <x:f>IF(A222&lt;=Dashboard!$F$17,MIN(I222,$B$5),0)</x:f>
      </x:c>
      <x:c r="K222" s="32" t="e">
        <x:f>IF(A222&lt;=Dashboard!$F$17,MAX(0,I222-J222)*Dashboard!$F$6,0)</x:f>
      </x:c>
      <x:c r="L222" s="32" t="e">
        <x:f>IF(A222&lt;=Dashboard!$F$17,MIN(Dashboard!$F$10,MAX(0,I222-J222)+K222),0)</x:f>
      </x:c>
      <x:c r="M222" s="32" t="e">
        <x:f>IF(A222&lt;=Dashboard!$F$17,MAX(0,I222-J222-MAX(0,L222-K222)),0)</x:f>
      </x:c>
      <x:c r="N222" s="32" t="e">
        <x:f>IF(A222=1,K222,N221+K222)</x:f>
      </x:c>
      <x:c r="O222" s="32"/>
      <x:c r="P222" s="32" t="e">
        <x:f>IF(A222=1,Dashboard!$F$14,T221)</x:f>
      </x:c>
      <x:c r="Q222" s="32" t="e">
        <x:f>IF(A222&lt;=Dashboard!$F$17,MIN(P222,$B$6*52/12),0)</x:f>
      </x:c>
      <x:c r="R222" s="32" t="e">
        <x:f>IF(A222&lt;=Dashboard!$F$17,MAX(0,P222-Q222)*Dashboard!$F$6,0)</x:f>
      </x:c>
      <x:c r="S222" s="32" t="e">
        <x:f>IF(A222&lt;=Dashboard!$F$17,MIN(Dashboard!$F$10,MAX(0,P222-Q222)+R222),0)</x:f>
      </x:c>
      <x:c r="T222" s="32" t="e">
        <x:f>IF(A222&lt;=Dashboard!$F$17,MAX(0,P222-Q222-MAX(0,S222-R222)),0)</x:f>
      </x:c>
      <x:c r="U222" s="32" t="e">
        <x:f>IF(A222=1,R222,U221+R222)</x:f>
      </x:c>
      <x:c r="V222" s="32"/>
      <x:c r="W222" s="32" t="e">
        <x:f>IF(A222=1,Dashboard!$F$14,AA221)</x:f>
      </x:c>
      <x:c r="X222" s="32" t="e">
        <x:f>IF(AND(A222&lt;=Dashboard!$F$17,MOD(A222-1,12)=0),MIN(W222,$B$7),0)</x:f>
      </x:c>
      <x:c r="Y222" s="32" t="e">
        <x:f>IF(A222&lt;=Dashboard!$F$17,MAX(0,W222-X222)*Dashboard!$F$6,0)</x:f>
      </x:c>
      <x:c r="Z222" s="32" t="e">
        <x:f>IF(A222&lt;=Dashboard!$F$17,MIN(Dashboard!$F$10,MAX(0,W222-X222)+Y222),0)</x:f>
      </x:c>
      <x:c r="AA222" s="32" t="e">
        <x:f>IF(A222&lt;=Dashboard!$F$17,MAX(0,W222-X222-MAX(0,Z222-Y222)),0)</x:f>
      </x:c>
      <x:c r="AB222" s="32" t="e">
        <x:f>IF(A222=1,Y222,AB221+Y222)</x:f>
      </x:c>
      <x:c r="AC222" s="32"/>
      <x:c r="AD222" s="32" t="e">
        <x:f>IF(A222=1,MAX(0,Dashboard!$F$14-$B$8),AG221)</x:f>
      </x:c>
      <x:c r="AE222" s="32" t="n">
        <x:f>0</x:f>
        <x:v>0</x:v>
      </x:c>
      <x:c r="AF222" s="32" t="e">
        <x:f>IF(A222&lt;=Dashboard!$F$17,AD222*Dashboard!$F$6,0)</x:f>
      </x:c>
      <x:c r="AG222" s="32" t="e">
        <x:f>IF(A222&lt;=Dashboard!$F$17,MIN(Dashboard!$F$10,AD222+AF222),0)</x:f>
      </x:c>
      <x:c r="AH222" s="32" t="e">
        <x:f>IF(A222&lt;=Dashboard!$F$17,MAX(0,AD222-MAX(0,AG222-AF222)),0)</x:f>
      </x:c>
      <x:c r="AI222" s="32" t="e">
        <x:f>IF(A222=1,AF222,AI221+AF222)</x:f>
      </x:c>
      <x:c r="AJ222" s="33"/>
      <x:c r="AK222" s="33"/>
      <x:c r="AL222" s="33"/>
      <x:c r="AM222" s="33"/>
    </x:row>
    <x:row r="223">
      <x:c r="A223" s="33" t="n">
        <x:v>211</x:v>
      </x:c>
      <x:c r="B223" s="32" t="e">
        <x:f>IF(A223=1,Dashboard!$F$14,F222)</x:f>
      </x:c>
      <x:c r="C223" s="32" t="n">
        <x:f>0</x:f>
        <x:v>0</x:v>
      </x:c>
      <x:c r="D223" s="32" t="e">
        <x:f>IF(A223&lt;=Dashboard!$F$15,B223*Dashboard!$F$6,0)</x:f>
      </x:c>
      <x:c r="E223" s="32" t="e">
        <x:f>IF(A223&lt;=Dashboard!$F$15,MIN(Dashboard!$F$10,B223+D223),0)</x:f>
      </x:c>
      <x:c r="F223" s="32" t="e">
        <x:f>IF(A223&lt;=Dashboard!$F$15,MAX(0,B223-MAX(0,E223-D223)),0)</x:f>
      </x:c>
      <x:c r="G223" s="32" t="e">
        <x:f>IF(A223=1,D223,G222+D223)</x:f>
      </x:c>
      <x:c r="H223" s="32"/>
      <x:c r="I223" s="32" t="e">
        <x:f>IF(A223=1,Dashboard!$F$14,M222)</x:f>
      </x:c>
      <x:c r="J223" s="32" t="e">
        <x:f>IF(A223&lt;=Dashboard!$F$17,MIN(I223,$B$5),0)</x:f>
      </x:c>
      <x:c r="K223" s="32" t="e">
        <x:f>IF(A223&lt;=Dashboard!$F$17,MAX(0,I223-J223)*Dashboard!$F$6,0)</x:f>
      </x:c>
      <x:c r="L223" s="32" t="e">
        <x:f>IF(A223&lt;=Dashboard!$F$17,MIN(Dashboard!$F$10,MAX(0,I223-J223)+K223),0)</x:f>
      </x:c>
      <x:c r="M223" s="32" t="e">
        <x:f>IF(A223&lt;=Dashboard!$F$17,MAX(0,I223-J223-MAX(0,L223-K223)),0)</x:f>
      </x:c>
      <x:c r="N223" s="32" t="e">
        <x:f>IF(A223=1,K223,N222+K223)</x:f>
      </x:c>
      <x:c r="O223" s="32"/>
      <x:c r="P223" s="32" t="e">
        <x:f>IF(A223=1,Dashboard!$F$14,T222)</x:f>
      </x:c>
      <x:c r="Q223" s="32" t="e">
        <x:f>IF(A223&lt;=Dashboard!$F$17,MIN(P223,$B$6*52/12),0)</x:f>
      </x:c>
      <x:c r="R223" s="32" t="e">
        <x:f>IF(A223&lt;=Dashboard!$F$17,MAX(0,P223-Q223)*Dashboard!$F$6,0)</x:f>
      </x:c>
      <x:c r="S223" s="32" t="e">
        <x:f>IF(A223&lt;=Dashboard!$F$17,MIN(Dashboard!$F$10,MAX(0,P223-Q223)+R223),0)</x:f>
      </x:c>
      <x:c r="T223" s="32" t="e">
        <x:f>IF(A223&lt;=Dashboard!$F$17,MAX(0,P223-Q223-MAX(0,S223-R223)),0)</x:f>
      </x:c>
      <x:c r="U223" s="32" t="e">
        <x:f>IF(A223=1,R223,U222+R223)</x:f>
      </x:c>
      <x:c r="V223" s="32"/>
      <x:c r="W223" s="32" t="e">
        <x:f>IF(A223=1,Dashboard!$F$14,AA222)</x:f>
      </x:c>
      <x:c r="X223" s="32" t="e">
        <x:f>IF(AND(A223&lt;=Dashboard!$F$17,MOD(A223-1,12)=0),MIN(W223,$B$7),0)</x:f>
      </x:c>
      <x:c r="Y223" s="32" t="e">
        <x:f>IF(A223&lt;=Dashboard!$F$17,MAX(0,W223-X223)*Dashboard!$F$6,0)</x:f>
      </x:c>
      <x:c r="Z223" s="32" t="e">
        <x:f>IF(A223&lt;=Dashboard!$F$17,MIN(Dashboard!$F$10,MAX(0,W223-X223)+Y223),0)</x:f>
      </x:c>
      <x:c r="AA223" s="32" t="e">
        <x:f>IF(A223&lt;=Dashboard!$F$17,MAX(0,W223-X223-MAX(0,Z223-Y223)),0)</x:f>
      </x:c>
      <x:c r="AB223" s="32" t="e">
        <x:f>IF(A223=1,Y223,AB222+Y223)</x:f>
      </x:c>
      <x:c r="AC223" s="32"/>
      <x:c r="AD223" s="32" t="e">
        <x:f>IF(A223=1,MAX(0,Dashboard!$F$14-$B$8),AG222)</x:f>
      </x:c>
      <x:c r="AE223" s="32" t="n">
        <x:f>0</x:f>
        <x:v>0</x:v>
      </x:c>
      <x:c r="AF223" s="32" t="e">
        <x:f>IF(A223&lt;=Dashboard!$F$17,AD223*Dashboard!$F$6,0)</x:f>
      </x:c>
      <x:c r="AG223" s="32" t="e">
        <x:f>IF(A223&lt;=Dashboard!$F$17,MIN(Dashboard!$F$10,AD223+AF223),0)</x:f>
      </x:c>
      <x:c r="AH223" s="32" t="e">
        <x:f>IF(A223&lt;=Dashboard!$F$17,MAX(0,AD223-MAX(0,AG223-AF223)),0)</x:f>
      </x:c>
      <x:c r="AI223" s="32" t="e">
        <x:f>IF(A223=1,AF223,AI222+AF223)</x:f>
      </x:c>
      <x:c r="AJ223" s="33"/>
      <x:c r="AK223" s="33"/>
      <x:c r="AL223" s="33"/>
      <x:c r="AM223" s="33"/>
    </x:row>
    <x:row r="224">
      <x:c r="A224" s="33" t="n">
        <x:v>212</x:v>
      </x:c>
      <x:c r="B224" s="32" t="e">
        <x:f>IF(A224=1,Dashboard!$F$14,F223)</x:f>
      </x:c>
      <x:c r="C224" s="32" t="n">
        <x:f>0</x:f>
        <x:v>0</x:v>
      </x:c>
      <x:c r="D224" s="32" t="e">
        <x:f>IF(A224&lt;=Dashboard!$F$15,B224*Dashboard!$F$6,0)</x:f>
      </x:c>
      <x:c r="E224" s="32" t="e">
        <x:f>IF(A224&lt;=Dashboard!$F$15,MIN(Dashboard!$F$10,B224+D224),0)</x:f>
      </x:c>
      <x:c r="F224" s="32" t="e">
        <x:f>IF(A224&lt;=Dashboard!$F$15,MAX(0,B224-MAX(0,E224-D224)),0)</x:f>
      </x:c>
      <x:c r="G224" s="32" t="e">
        <x:f>IF(A224=1,D224,G223+D224)</x:f>
      </x:c>
      <x:c r="H224" s="32"/>
      <x:c r="I224" s="32" t="e">
        <x:f>IF(A224=1,Dashboard!$F$14,M223)</x:f>
      </x:c>
      <x:c r="J224" s="32" t="e">
        <x:f>IF(A224&lt;=Dashboard!$F$17,MIN(I224,$B$5),0)</x:f>
      </x:c>
      <x:c r="K224" s="32" t="e">
        <x:f>IF(A224&lt;=Dashboard!$F$17,MAX(0,I224-J224)*Dashboard!$F$6,0)</x:f>
      </x:c>
      <x:c r="L224" s="32" t="e">
        <x:f>IF(A224&lt;=Dashboard!$F$17,MIN(Dashboard!$F$10,MAX(0,I224-J224)+K224),0)</x:f>
      </x:c>
      <x:c r="M224" s="32" t="e">
        <x:f>IF(A224&lt;=Dashboard!$F$17,MAX(0,I224-J224-MAX(0,L224-K224)),0)</x:f>
      </x:c>
      <x:c r="N224" s="32" t="e">
        <x:f>IF(A224=1,K224,N223+K224)</x:f>
      </x:c>
      <x:c r="O224" s="32"/>
      <x:c r="P224" s="32" t="e">
        <x:f>IF(A224=1,Dashboard!$F$14,T223)</x:f>
      </x:c>
      <x:c r="Q224" s="32" t="e">
        <x:f>IF(A224&lt;=Dashboard!$F$17,MIN(P224,$B$6*52/12),0)</x:f>
      </x:c>
      <x:c r="R224" s="32" t="e">
        <x:f>IF(A224&lt;=Dashboard!$F$17,MAX(0,P224-Q224)*Dashboard!$F$6,0)</x:f>
      </x:c>
      <x:c r="S224" s="32" t="e">
        <x:f>IF(A224&lt;=Dashboard!$F$17,MIN(Dashboard!$F$10,MAX(0,P224-Q224)+R224),0)</x:f>
      </x:c>
      <x:c r="T224" s="32" t="e">
        <x:f>IF(A224&lt;=Dashboard!$F$17,MAX(0,P224-Q224-MAX(0,S224-R224)),0)</x:f>
      </x:c>
      <x:c r="U224" s="32" t="e">
        <x:f>IF(A224=1,R224,U223+R224)</x:f>
      </x:c>
      <x:c r="V224" s="32"/>
      <x:c r="W224" s="32" t="e">
        <x:f>IF(A224=1,Dashboard!$F$14,AA223)</x:f>
      </x:c>
      <x:c r="X224" s="32" t="e">
        <x:f>IF(AND(A224&lt;=Dashboard!$F$17,MOD(A224-1,12)=0),MIN(W224,$B$7),0)</x:f>
      </x:c>
      <x:c r="Y224" s="32" t="e">
        <x:f>IF(A224&lt;=Dashboard!$F$17,MAX(0,W224-X224)*Dashboard!$F$6,0)</x:f>
      </x:c>
      <x:c r="Z224" s="32" t="e">
        <x:f>IF(A224&lt;=Dashboard!$F$17,MIN(Dashboard!$F$10,MAX(0,W224-X224)+Y224),0)</x:f>
      </x:c>
      <x:c r="AA224" s="32" t="e">
        <x:f>IF(A224&lt;=Dashboard!$F$17,MAX(0,W224-X224-MAX(0,Z224-Y224)),0)</x:f>
      </x:c>
      <x:c r="AB224" s="32" t="e">
        <x:f>IF(A224=1,Y224,AB223+Y224)</x:f>
      </x:c>
      <x:c r="AC224" s="32"/>
      <x:c r="AD224" s="32" t="e">
        <x:f>IF(A224=1,MAX(0,Dashboard!$F$14-$B$8),AG223)</x:f>
      </x:c>
      <x:c r="AE224" s="32" t="n">
        <x:f>0</x:f>
        <x:v>0</x:v>
      </x:c>
      <x:c r="AF224" s="32" t="e">
        <x:f>IF(A224&lt;=Dashboard!$F$17,AD224*Dashboard!$F$6,0)</x:f>
      </x:c>
      <x:c r="AG224" s="32" t="e">
        <x:f>IF(A224&lt;=Dashboard!$F$17,MIN(Dashboard!$F$10,AD224+AF224),0)</x:f>
      </x:c>
      <x:c r="AH224" s="32" t="e">
        <x:f>IF(A224&lt;=Dashboard!$F$17,MAX(0,AD224-MAX(0,AG224-AF224)),0)</x:f>
      </x:c>
      <x:c r="AI224" s="32" t="e">
        <x:f>IF(A224=1,AF224,AI223+AF224)</x:f>
      </x:c>
      <x:c r="AJ224" s="33"/>
      <x:c r="AK224" s="33"/>
      <x:c r="AL224" s="33"/>
      <x:c r="AM224" s="33"/>
    </x:row>
    <x:row r="225">
      <x:c r="A225" s="33" t="n">
        <x:v>213</x:v>
      </x:c>
      <x:c r="B225" s="32" t="e">
        <x:f>IF(A225=1,Dashboard!$F$14,F224)</x:f>
      </x:c>
      <x:c r="C225" s="32" t="n">
        <x:f>0</x:f>
        <x:v>0</x:v>
      </x:c>
      <x:c r="D225" s="32" t="e">
        <x:f>IF(A225&lt;=Dashboard!$F$15,B225*Dashboard!$F$6,0)</x:f>
      </x:c>
      <x:c r="E225" s="32" t="e">
        <x:f>IF(A225&lt;=Dashboard!$F$15,MIN(Dashboard!$F$10,B225+D225),0)</x:f>
      </x:c>
      <x:c r="F225" s="32" t="e">
        <x:f>IF(A225&lt;=Dashboard!$F$15,MAX(0,B225-MAX(0,E225-D225)),0)</x:f>
      </x:c>
      <x:c r="G225" s="32" t="e">
        <x:f>IF(A225=1,D225,G224+D225)</x:f>
      </x:c>
      <x:c r="H225" s="32"/>
      <x:c r="I225" s="32" t="e">
        <x:f>IF(A225=1,Dashboard!$F$14,M224)</x:f>
      </x:c>
      <x:c r="J225" s="32" t="e">
        <x:f>IF(A225&lt;=Dashboard!$F$17,MIN(I225,$B$5),0)</x:f>
      </x:c>
      <x:c r="K225" s="32" t="e">
        <x:f>IF(A225&lt;=Dashboard!$F$17,MAX(0,I225-J225)*Dashboard!$F$6,0)</x:f>
      </x:c>
      <x:c r="L225" s="32" t="e">
        <x:f>IF(A225&lt;=Dashboard!$F$17,MIN(Dashboard!$F$10,MAX(0,I225-J225)+K225),0)</x:f>
      </x:c>
      <x:c r="M225" s="32" t="e">
        <x:f>IF(A225&lt;=Dashboard!$F$17,MAX(0,I225-J225-MAX(0,L225-K225)),0)</x:f>
      </x:c>
      <x:c r="N225" s="32" t="e">
        <x:f>IF(A225=1,K225,N224+K225)</x:f>
      </x:c>
      <x:c r="O225" s="32"/>
      <x:c r="P225" s="32" t="e">
        <x:f>IF(A225=1,Dashboard!$F$14,T224)</x:f>
      </x:c>
      <x:c r="Q225" s="32" t="e">
        <x:f>IF(A225&lt;=Dashboard!$F$17,MIN(P225,$B$6*52/12),0)</x:f>
      </x:c>
      <x:c r="R225" s="32" t="e">
        <x:f>IF(A225&lt;=Dashboard!$F$17,MAX(0,P225-Q225)*Dashboard!$F$6,0)</x:f>
      </x:c>
      <x:c r="S225" s="32" t="e">
        <x:f>IF(A225&lt;=Dashboard!$F$17,MIN(Dashboard!$F$10,MAX(0,P225-Q225)+R225),0)</x:f>
      </x:c>
      <x:c r="T225" s="32" t="e">
        <x:f>IF(A225&lt;=Dashboard!$F$17,MAX(0,P225-Q225-MAX(0,S225-R225)),0)</x:f>
      </x:c>
      <x:c r="U225" s="32" t="e">
        <x:f>IF(A225=1,R225,U224+R225)</x:f>
      </x:c>
      <x:c r="V225" s="32"/>
      <x:c r="W225" s="32" t="e">
        <x:f>IF(A225=1,Dashboard!$F$14,AA224)</x:f>
      </x:c>
      <x:c r="X225" s="32" t="e">
        <x:f>IF(AND(A225&lt;=Dashboard!$F$17,MOD(A225-1,12)=0),MIN(W225,$B$7),0)</x:f>
      </x:c>
      <x:c r="Y225" s="32" t="e">
        <x:f>IF(A225&lt;=Dashboard!$F$17,MAX(0,W225-X225)*Dashboard!$F$6,0)</x:f>
      </x:c>
      <x:c r="Z225" s="32" t="e">
        <x:f>IF(A225&lt;=Dashboard!$F$17,MIN(Dashboard!$F$10,MAX(0,W225-X225)+Y225),0)</x:f>
      </x:c>
      <x:c r="AA225" s="32" t="e">
        <x:f>IF(A225&lt;=Dashboard!$F$17,MAX(0,W225-X225-MAX(0,Z225-Y225)),0)</x:f>
      </x:c>
      <x:c r="AB225" s="32" t="e">
        <x:f>IF(A225=1,Y225,AB224+Y225)</x:f>
      </x:c>
      <x:c r="AC225" s="32"/>
      <x:c r="AD225" s="32" t="e">
        <x:f>IF(A225=1,MAX(0,Dashboard!$F$14-$B$8),AG224)</x:f>
      </x:c>
      <x:c r="AE225" s="32" t="n">
        <x:f>0</x:f>
        <x:v>0</x:v>
      </x:c>
      <x:c r="AF225" s="32" t="e">
        <x:f>IF(A225&lt;=Dashboard!$F$17,AD225*Dashboard!$F$6,0)</x:f>
      </x:c>
      <x:c r="AG225" s="32" t="e">
        <x:f>IF(A225&lt;=Dashboard!$F$17,MIN(Dashboard!$F$10,AD225+AF225),0)</x:f>
      </x:c>
      <x:c r="AH225" s="32" t="e">
        <x:f>IF(A225&lt;=Dashboard!$F$17,MAX(0,AD225-MAX(0,AG225-AF225)),0)</x:f>
      </x:c>
      <x:c r="AI225" s="32" t="e">
        <x:f>IF(A225=1,AF225,AI224+AF225)</x:f>
      </x:c>
      <x:c r="AJ225" s="33"/>
      <x:c r="AK225" s="33"/>
      <x:c r="AL225" s="33"/>
      <x:c r="AM225" s="33"/>
    </x:row>
    <x:row r="226">
      <x:c r="A226" s="33" t="n">
        <x:v>214</x:v>
      </x:c>
      <x:c r="B226" s="32" t="e">
        <x:f>IF(A226=1,Dashboard!$F$14,F225)</x:f>
      </x:c>
      <x:c r="C226" s="32" t="n">
        <x:f>0</x:f>
        <x:v>0</x:v>
      </x:c>
      <x:c r="D226" s="32" t="e">
        <x:f>IF(A226&lt;=Dashboard!$F$15,B226*Dashboard!$F$6,0)</x:f>
      </x:c>
      <x:c r="E226" s="32" t="e">
        <x:f>IF(A226&lt;=Dashboard!$F$15,MIN(Dashboard!$F$10,B226+D226),0)</x:f>
      </x:c>
      <x:c r="F226" s="32" t="e">
        <x:f>IF(A226&lt;=Dashboard!$F$15,MAX(0,B226-MAX(0,E226-D226)),0)</x:f>
      </x:c>
      <x:c r="G226" s="32" t="e">
        <x:f>IF(A226=1,D226,G225+D226)</x:f>
      </x:c>
      <x:c r="H226" s="32"/>
      <x:c r="I226" s="32" t="e">
        <x:f>IF(A226=1,Dashboard!$F$14,M225)</x:f>
      </x:c>
      <x:c r="J226" s="32" t="e">
        <x:f>IF(A226&lt;=Dashboard!$F$17,MIN(I226,$B$5),0)</x:f>
      </x:c>
      <x:c r="K226" s="32" t="e">
        <x:f>IF(A226&lt;=Dashboard!$F$17,MAX(0,I226-J226)*Dashboard!$F$6,0)</x:f>
      </x:c>
      <x:c r="L226" s="32" t="e">
        <x:f>IF(A226&lt;=Dashboard!$F$17,MIN(Dashboard!$F$10,MAX(0,I226-J226)+K226),0)</x:f>
      </x:c>
      <x:c r="M226" s="32" t="e">
        <x:f>IF(A226&lt;=Dashboard!$F$17,MAX(0,I226-J226-MAX(0,L226-K226)),0)</x:f>
      </x:c>
      <x:c r="N226" s="32" t="e">
        <x:f>IF(A226=1,K226,N225+K226)</x:f>
      </x:c>
      <x:c r="O226" s="32"/>
      <x:c r="P226" s="32" t="e">
        <x:f>IF(A226=1,Dashboard!$F$14,T225)</x:f>
      </x:c>
      <x:c r="Q226" s="32" t="e">
        <x:f>IF(A226&lt;=Dashboard!$F$17,MIN(P226,$B$6*52/12),0)</x:f>
      </x:c>
      <x:c r="R226" s="32" t="e">
        <x:f>IF(A226&lt;=Dashboard!$F$17,MAX(0,P226-Q226)*Dashboard!$F$6,0)</x:f>
      </x:c>
      <x:c r="S226" s="32" t="e">
        <x:f>IF(A226&lt;=Dashboard!$F$17,MIN(Dashboard!$F$10,MAX(0,P226-Q226)+R226),0)</x:f>
      </x:c>
      <x:c r="T226" s="32" t="e">
        <x:f>IF(A226&lt;=Dashboard!$F$17,MAX(0,P226-Q226-MAX(0,S226-R226)),0)</x:f>
      </x:c>
      <x:c r="U226" s="32" t="e">
        <x:f>IF(A226=1,R226,U225+R226)</x:f>
      </x:c>
      <x:c r="V226" s="32"/>
      <x:c r="W226" s="32" t="e">
        <x:f>IF(A226=1,Dashboard!$F$14,AA225)</x:f>
      </x:c>
      <x:c r="X226" s="32" t="e">
        <x:f>IF(AND(A226&lt;=Dashboard!$F$17,MOD(A226-1,12)=0),MIN(W226,$B$7),0)</x:f>
      </x:c>
      <x:c r="Y226" s="32" t="e">
        <x:f>IF(A226&lt;=Dashboard!$F$17,MAX(0,W226-X226)*Dashboard!$F$6,0)</x:f>
      </x:c>
      <x:c r="Z226" s="32" t="e">
        <x:f>IF(A226&lt;=Dashboard!$F$17,MIN(Dashboard!$F$10,MAX(0,W226-X226)+Y226),0)</x:f>
      </x:c>
      <x:c r="AA226" s="32" t="e">
        <x:f>IF(A226&lt;=Dashboard!$F$17,MAX(0,W226-X226-MAX(0,Z226-Y226)),0)</x:f>
      </x:c>
      <x:c r="AB226" s="32" t="e">
        <x:f>IF(A226=1,Y226,AB225+Y226)</x:f>
      </x:c>
      <x:c r="AC226" s="32"/>
      <x:c r="AD226" s="32" t="e">
        <x:f>IF(A226=1,MAX(0,Dashboard!$F$14-$B$8),AG225)</x:f>
      </x:c>
      <x:c r="AE226" s="32" t="n">
        <x:f>0</x:f>
        <x:v>0</x:v>
      </x:c>
      <x:c r="AF226" s="32" t="e">
        <x:f>IF(A226&lt;=Dashboard!$F$17,AD226*Dashboard!$F$6,0)</x:f>
      </x:c>
      <x:c r="AG226" s="32" t="e">
        <x:f>IF(A226&lt;=Dashboard!$F$17,MIN(Dashboard!$F$10,AD226+AF226),0)</x:f>
      </x:c>
      <x:c r="AH226" s="32" t="e">
        <x:f>IF(A226&lt;=Dashboard!$F$17,MAX(0,AD226-MAX(0,AG226-AF226)),0)</x:f>
      </x:c>
      <x:c r="AI226" s="32" t="e">
        <x:f>IF(A226=1,AF226,AI225+AF226)</x:f>
      </x:c>
      <x:c r="AJ226" s="33"/>
      <x:c r="AK226" s="33"/>
      <x:c r="AL226" s="33"/>
      <x:c r="AM226" s="33"/>
    </x:row>
    <x:row r="227">
      <x:c r="A227" s="33" t="n">
        <x:v>215</x:v>
      </x:c>
      <x:c r="B227" s="32" t="e">
        <x:f>IF(A227=1,Dashboard!$F$14,F226)</x:f>
      </x:c>
      <x:c r="C227" s="32" t="n">
        <x:f>0</x:f>
        <x:v>0</x:v>
      </x:c>
      <x:c r="D227" s="32" t="e">
        <x:f>IF(A227&lt;=Dashboard!$F$15,B227*Dashboard!$F$6,0)</x:f>
      </x:c>
      <x:c r="E227" s="32" t="e">
        <x:f>IF(A227&lt;=Dashboard!$F$15,MIN(Dashboard!$F$10,B227+D227),0)</x:f>
      </x:c>
      <x:c r="F227" s="32" t="e">
        <x:f>IF(A227&lt;=Dashboard!$F$15,MAX(0,B227-MAX(0,E227-D227)),0)</x:f>
      </x:c>
      <x:c r="G227" s="32" t="e">
        <x:f>IF(A227=1,D227,G226+D227)</x:f>
      </x:c>
      <x:c r="H227" s="32"/>
      <x:c r="I227" s="32" t="e">
        <x:f>IF(A227=1,Dashboard!$F$14,M226)</x:f>
      </x:c>
      <x:c r="J227" s="32" t="e">
        <x:f>IF(A227&lt;=Dashboard!$F$17,MIN(I227,$B$5),0)</x:f>
      </x:c>
      <x:c r="K227" s="32" t="e">
        <x:f>IF(A227&lt;=Dashboard!$F$17,MAX(0,I227-J227)*Dashboard!$F$6,0)</x:f>
      </x:c>
      <x:c r="L227" s="32" t="e">
        <x:f>IF(A227&lt;=Dashboard!$F$17,MIN(Dashboard!$F$10,MAX(0,I227-J227)+K227),0)</x:f>
      </x:c>
      <x:c r="M227" s="32" t="e">
        <x:f>IF(A227&lt;=Dashboard!$F$17,MAX(0,I227-J227-MAX(0,L227-K227)),0)</x:f>
      </x:c>
      <x:c r="N227" s="32" t="e">
        <x:f>IF(A227=1,K227,N226+K227)</x:f>
      </x:c>
      <x:c r="O227" s="32"/>
      <x:c r="P227" s="32" t="e">
        <x:f>IF(A227=1,Dashboard!$F$14,T226)</x:f>
      </x:c>
      <x:c r="Q227" s="32" t="e">
        <x:f>IF(A227&lt;=Dashboard!$F$17,MIN(P227,$B$6*52/12),0)</x:f>
      </x:c>
      <x:c r="R227" s="32" t="e">
        <x:f>IF(A227&lt;=Dashboard!$F$17,MAX(0,P227-Q227)*Dashboard!$F$6,0)</x:f>
      </x:c>
      <x:c r="S227" s="32" t="e">
        <x:f>IF(A227&lt;=Dashboard!$F$17,MIN(Dashboard!$F$10,MAX(0,P227-Q227)+R227),0)</x:f>
      </x:c>
      <x:c r="T227" s="32" t="e">
        <x:f>IF(A227&lt;=Dashboard!$F$17,MAX(0,P227-Q227-MAX(0,S227-R227)),0)</x:f>
      </x:c>
      <x:c r="U227" s="32" t="e">
        <x:f>IF(A227=1,R227,U226+R227)</x:f>
      </x:c>
      <x:c r="V227" s="32"/>
      <x:c r="W227" s="32" t="e">
        <x:f>IF(A227=1,Dashboard!$F$14,AA226)</x:f>
      </x:c>
      <x:c r="X227" s="32" t="e">
        <x:f>IF(AND(A227&lt;=Dashboard!$F$17,MOD(A227-1,12)=0),MIN(W227,$B$7),0)</x:f>
      </x:c>
      <x:c r="Y227" s="32" t="e">
        <x:f>IF(A227&lt;=Dashboard!$F$17,MAX(0,W227-X227)*Dashboard!$F$6,0)</x:f>
      </x:c>
      <x:c r="Z227" s="32" t="e">
        <x:f>IF(A227&lt;=Dashboard!$F$17,MIN(Dashboard!$F$10,MAX(0,W227-X227)+Y227),0)</x:f>
      </x:c>
      <x:c r="AA227" s="32" t="e">
        <x:f>IF(A227&lt;=Dashboard!$F$17,MAX(0,W227-X227-MAX(0,Z227-Y227)),0)</x:f>
      </x:c>
      <x:c r="AB227" s="32" t="e">
        <x:f>IF(A227=1,Y227,AB226+Y227)</x:f>
      </x:c>
      <x:c r="AC227" s="32"/>
      <x:c r="AD227" s="32" t="e">
        <x:f>IF(A227=1,MAX(0,Dashboard!$F$14-$B$8),AG226)</x:f>
      </x:c>
      <x:c r="AE227" s="32" t="n">
        <x:f>0</x:f>
        <x:v>0</x:v>
      </x:c>
      <x:c r="AF227" s="32" t="e">
        <x:f>IF(A227&lt;=Dashboard!$F$17,AD227*Dashboard!$F$6,0)</x:f>
      </x:c>
      <x:c r="AG227" s="32" t="e">
        <x:f>IF(A227&lt;=Dashboard!$F$17,MIN(Dashboard!$F$10,AD227+AF227),0)</x:f>
      </x:c>
      <x:c r="AH227" s="32" t="e">
        <x:f>IF(A227&lt;=Dashboard!$F$17,MAX(0,AD227-MAX(0,AG227-AF227)),0)</x:f>
      </x:c>
      <x:c r="AI227" s="32" t="e">
        <x:f>IF(A227=1,AF227,AI226+AF227)</x:f>
      </x:c>
      <x:c r="AJ227" s="33"/>
      <x:c r="AK227" s="33"/>
      <x:c r="AL227" s="33"/>
      <x:c r="AM227" s="33"/>
    </x:row>
    <x:row r="228">
      <x:c r="A228" s="33" t="n">
        <x:v>216</x:v>
      </x:c>
      <x:c r="B228" s="32" t="e">
        <x:f>IF(A228=1,Dashboard!$F$14,F227)</x:f>
      </x:c>
      <x:c r="C228" s="32" t="n">
        <x:f>0</x:f>
        <x:v>0</x:v>
      </x:c>
      <x:c r="D228" s="32" t="e">
        <x:f>IF(A228&lt;=Dashboard!$F$15,B228*Dashboard!$F$6,0)</x:f>
      </x:c>
      <x:c r="E228" s="32" t="e">
        <x:f>IF(A228&lt;=Dashboard!$F$15,MIN(Dashboard!$F$10,B228+D228),0)</x:f>
      </x:c>
      <x:c r="F228" s="32" t="e">
        <x:f>IF(A228&lt;=Dashboard!$F$15,MAX(0,B228-MAX(0,E228-D228)),0)</x:f>
      </x:c>
      <x:c r="G228" s="32" t="e">
        <x:f>IF(A228=1,D228,G227+D228)</x:f>
      </x:c>
      <x:c r="H228" s="32"/>
      <x:c r="I228" s="32" t="e">
        <x:f>IF(A228=1,Dashboard!$F$14,M227)</x:f>
      </x:c>
      <x:c r="J228" s="32" t="e">
        <x:f>IF(A228&lt;=Dashboard!$F$17,MIN(I228,$B$5),0)</x:f>
      </x:c>
      <x:c r="K228" s="32" t="e">
        <x:f>IF(A228&lt;=Dashboard!$F$17,MAX(0,I228-J228)*Dashboard!$F$6,0)</x:f>
      </x:c>
      <x:c r="L228" s="32" t="e">
        <x:f>IF(A228&lt;=Dashboard!$F$17,MIN(Dashboard!$F$10,MAX(0,I228-J228)+K228),0)</x:f>
      </x:c>
      <x:c r="M228" s="32" t="e">
        <x:f>IF(A228&lt;=Dashboard!$F$17,MAX(0,I228-J228-MAX(0,L228-K228)),0)</x:f>
      </x:c>
      <x:c r="N228" s="32" t="e">
        <x:f>IF(A228=1,K228,N227+K228)</x:f>
      </x:c>
      <x:c r="O228" s="32"/>
      <x:c r="P228" s="32" t="e">
        <x:f>IF(A228=1,Dashboard!$F$14,T227)</x:f>
      </x:c>
      <x:c r="Q228" s="32" t="e">
        <x:f>IF(A228&lt;=Dashboard!$F$17,MIN(P228,$B$6*52/12),0)</x:f>
      </x:c>
      <x:c r="R228" s="32" t="e">
        <x:f>IF(A228&lt;=Dashboard!$F$17,MAX(0,P228-Q228)*Dashboard!$F$6,0)</x:f>
      </x:c>
      <x:c r="S228" s="32" t="e">
        <x:f>IF(A228&lt;=Dashboard!$F$17,MIN(Dashboard!$F$10,MAX(0,P228-Q228)+R228),0)</x:f>
      </x:c>
      <x:c r="T228" s="32" t="e">
        <x:f>IF(A228&lt;=Dashboard!$F$17,MAX(0,P228-Q228-MAX(0,S228-R228)),0)</x:f>
      </x:c>
      <x:c r="U228" s="32" t="e">
        <x:f>IF(A228=1,R228,U227+R228)</x:f>
      </x:c>
      <x:c r="V228" s="32"/>
      <x:c r="W228" s="32" t="e">
        <x:f>IF(A228=1,Dashboard!$F$14,AA227)</x:f>
      </x:c>
      <x:c r="X228" s="32" t="e">
        <x:f>IF(AND(A228&lt;=Dashboard!$F$17,MOD(A228-1,12)=0),MIN(W228,$B$7),0)</x:f>
      </x:c>
      <x:c r="Y228" s="32" t="e">
        <x:f>IF(A228&lt;=Dashboard!$F$17,MAX(0,W228-X228)*Dashboard!$F$6,0)</x:f>
      </x:c>
      <x:c r="Z228" s="32" t="e">
        <x:f>IF(A228&lt;=Dashboard!$F$17,MIN(Dashboard!$F$10,MAX(0,W228-X228)+Y228),0)</x:f>
      </x:c>
      <x:c r="AA228" s="32" t="e">
        <x:f>IF(A228&lt;=Dashboard!$F$17,MAX(0,W228-X228-MAX(0,Z228-Y228)),0)</x:f>
      </x:c>
      <x:c r="AB228" s="32" t="e">
        <x:f>IF(A228=1,Y228,AB227+Y228)</x:f>
      </x:c>
      <x:c r="AC228" s="32"/>
      <x:c r="AD228" s="32" t="e">
        <x:f>IF(A228=1,MAX(0,Dashboard!$F$14-$B$8),AG227)</x:f>
      </x:c>
      <x:c r="AE228" s="32" t="n">
        <x:f>0</x:f>
        <x:v>0</x:v>
      </x:c>
      <x:c r="AF228" s="32" t="e">
        <x:f>IF(A228&lt;=Dashboard!$F$17,AD228*Dashboard!$F$6,0)</x:f>
      </x:c>
      <x:c r="AG228" s="32" t="e">
        <x:f>IF(A228&lt;=Dashboard!$F$17,MIN(Dashboard!$F$10,AD228+AF228),0)</x:f>
      </x:c>
      <x:c r="AH228" s="32" t="e">
        <x:f>IF(A228&lt;=Dashboard!$F$17,MAX(0,AD228-MAX(0,AG228-AF228)),0)</x:f>
      </x:c>
      <x:c r="AI228" s="32" t="e">
        <x:f>IF(A228=1,AF228,AI227+AF228)</x:f>
      </x:c>
      <x:c r="AJ228" s="33"/>
      <x:c r="AK228" s="33"/>
      <x:c r="AL228" s="33"/>
      <x:c r="AM228" s="33"/>
    </x:row>
    <x:row r="229">
      <x:c r="A229" s="33" t="n">
        <x:v>217</x:v>
      </x:c>
      <x:c r="B229" s="32" t="e">
        <x:f>IF(A229=1,Dashboard!$F$14,F228)</x:f>
      </x:c>
      <x:c r="C229" s="32" t="n">
        <x:f>0</x:f>
        <x:v>0</x:v>
      </x:c>
      <x:c r="D229" s="32" t="e">
        <x:f>IF(A229&lt;=Dashboard!$F$15,B229*Dashboard!$F$6,0)</x:f>
      </x:c>
      <x:c r="E229" s="32" t="e">
        <x:f>IF(A229&lt;=Dashboard!$F$15,MIN(Dashboard!$F$10,B229+D229),0)</x:f>
      </x:c>
      <x:c r="F229" s="32" t="e">
        <x:f>IF(A229&lt;=Dashboard!$F$15,MAX(0,B229-MAX(0,E229-D229)),0)</x:f>
      </x:c>
      <x:c r="G229" s="32" t="e">
        <x:f>IF(A229=1,D229,G228+D229)</x:f>
      </x:c>
      <x:c r="H229" s="32"/>
      <x:c r="I229" s="32" t="e">
        <x:f>IF(A229=1,Dashboard!$F$14,M228)</x:f>
      </x:c>
      <x:c r="J229" s="32" t="e">
        <x:f>IF(A229&lt;=Dashboard!$F$17,MIN(I229,$B$5),0)</x:f>
      </x:c>
      <x:c r="K229" s="32" t="e">
        <x:f>IF(A229&lt;=Dashboard!$F$17,MAX(0,I229-J229)*Dashboard!$F$6,0)</x:f>
      </x:c>
      <x:c r="L229" s="32" t="e">
        <x:f>IF(A229&lt;=Dashboard!$F$17,MIN(Dashboard!$F$10,MAX(0,I229-J229)+K229),0)</x:f>
      </x:c>
      <x:c r="M229" s="32" t="e">
        <x:f>IF(A229&lt;=Dashboard!$F$17,MAX(0,I229-J229-MAX(0,L229-K229)),0)</x:f>
      </x:c>
      <x:c r="N229" s="32" t="e">
        <x:f>IF(A229=1,K229,N228+K229)</x:f>
      </x:c>
      <x:c r="O229" s="32"/>
      <x:c r="P229" s="32" t="e">
        <x:f>IF(A229=1,Dashboard!$F$14,T228)</x:f>
      </x:c>
      <x:c r="Q229" s="32" t="e">
        <x:f>IF(A229&lt;=Dashboard!$F$17,MIN(P229,$B$6*52/12),0)</x:f>
      </x:c>
      <x:c r="R229" s="32" t="e">
        <x:f>IF(A229&lt;=Dashboard!$F$17,MAX(0,P229-Q229)*Dashboard!$F$6,0)</x:f>
      </x:c>
      <x:c r="S229" s="32" t="e">
        <x:f>IF(A229&lt;=Dashboard!$F$17,MIN(Dashboard!$F$10,MAX(0,P229-Q229)+R229),0)</x:f>
      </x:c>
      <x:c r="T229" s="32" t="e">
        <x:f>IF(A229&lt;=Dashboard!$F$17,MAX(0,P229-Q229-MAX(0,S229-R229)),0)</x:f>
      </x:c>
      <x:c r="U229" s="32" t="e">
        <x:f>IF(A229=1,R229,U228+R229)</x:f>
      </x:c>
      <x:c r="V229" s="32"/>
      <x:c r="W229" s="32" t="e">
        <x:f>IF(A229=1,Dashboard!$F$14,AA228)</x:f>
      </x:c>
      <x:c r="X229" s="32" t="e">
        <x:f>IF(AND(A229&lt;=Dashboard!$F$17,MOD(A229-1,12)=0),MIN(W229,$B$7),0)</x:f>
      </x:c>
      <x:c r="Y229" s="32" t="e">
        <x:f>IF(A229&lt;=Dashboard!$F$17,MAX(0,W229-X229)*Dashboard!$F$6,0)</x:f>
      </x:c>
      <x:c r="Z229" s="32" t="e">
        <x:f>IF(A229&lt;=Dashboard!$F$17,MIN(Dashboard!$F$10,MAX(0,W229-X229)+Y229),0)</x:f>
      </x:c>
      <x:c r="AA229" s="32" t="e">
        <x:f>IF(A229&lt;=Dashboard!$F$17,MAX(0,W229-X229-MAX(0,Z229-Y229)),0)</x:f>
      </x:c>
      <x:c r="AB229" s="32" t="e">
        <x:f>IF(A229=1,Y229,AB228+Y229)</x:f>
      </x:c>
      <x:c r="AC229" s="32"/>
      <x:c r="AD229" s="32" t="e">
        <x:f>IF(A229=1,MAX(0,Dashboard!$F$14-$B$8),AG228)</x:f>
      </x:c>
      <x:c r="AE229" s="32" t="n">
        <x:f>0</x:f>
        <x:v>0</x:v>
      </x:c>
      <x:c r="AF229" s="32" t="e">
        <x:f>IF(A229&lt;=Dashboard!$F$17,AD229*Dashboard!$F$6,0)</x:f>
      </x:c>
      <x:c r="AG229" s="32" t="e">
        <x:f>IF(A229&lt;=Dashboard!$F$17,MIN(Dashboard!$F$10,AD229+AF229),0)</x:f>
      </x:c>
      <x:c r="AH229" s="32" t="e">
        <x:f>IF(A229&lt;=Dashboard!$F$17,MAX(0,AD229-MAX(0,AG229-AF229)),0)</x:f>
      </x:c>
      <x:c r="AI229" s="32" t="e">
        <x:f>IF(A229=1,AF229,AI228+AF229)</x:f>
      </x:c>
      <x:c r="AJ229" s="33"/>
      <x:c r="AK229" s="33"/>
      <x:c r="AL229" s="33"/>
      <x:c r="AM229" s="33"/>
    </x:row>
    <x:row r="230">
      <x:c r="A230" s="33" t="n">
        <x:v>218</x:v>
      </x:c>
      <x:c r="B230" s="32" t="e">
        <x:f>IF(A230=1,Dashboard!$F$14,F229)</x:f>
      </x:c>
      <x:c r="C230" s="32" t="n">
        <x:f>0</x:f>
        <x:v>0</x:v>
      </x:c>
      <x:c r="D230" s="32" t="e">
        <x:f>IF(A230&lt;=Dashboard!$F$15,B230*Dashboard!$F$6,0)</x:f>
      </x:c>
      <x:c r="E230" s="32" t="e">
        <x:f>IF(A230&lt;=Dashboard!$F$15,MIN(Dashboard!$F$10,B230+D230),0)</x:f>
      </x:c>
      <x:c r="F230" s="32" t="e">
        <x:f>IF(A230&lt;=Dashboard!$F$15,MAX(0,B230-MAX(0,E230-D230)),0)</x:f>
      </x:c>
      <x:c r="G230" s="32" t="e">
        <x:f>IF(A230=1,D230,G229+D230)</x:f>
      </x:c>
      <x:c r="H230" s="32"/>
      <x:c r="I230" s="32" t="e">
        <x:f>IF(A230=1,Dashboard!$F$14,M229)</x:f>
      </x:c>
      <x:c r="J230" s="32" t="e">
        <x:f>IF(A230&lt;=Dashboard!$F$17,MIN(I230,$B$5),0)</x:f>
      </x:c>
      <x:c r="K230" s="32" t="e">
        <x:f>IF(A230&lt;=Dashboard!$F$17,MAX(0,I230-J230)*Dashboard!$F$6,0)</x:f>
      </x:c>
      <x:c r="L230" s="32" t="e">
        <x:f>IF(A230&lt;=Dashboard!$F$17,MIN(Dashboard!$F$10,MAX(0,I230-J230)+K230),0)</x:f>
      </x:c>
      <x:c r="M230" s="32" t="e">
        <x:f>IF(A230&lt;=Dashboard!$F$17,MAX(0,I230-J230-MAX(0,L230-K230)),0)</x:f>
      </x:c>
      <x:c r="N230" s="32" t="e">
        <x:f>IF(A230=1,K230,N229+K230)</x:f>
      </x:c>
      <x:c r="O230" s="32"/>
      <x:c r="P230" s="32" t="e">
        <x:f>IF(A230=1,Dashboard!$F$14,T229)</x:f>
      </x:c>
      <x:c r="Q230" s="32" t="e">
        <x:f>IF(A230&lt;=Dashboard!$F$17,MIN(P230,$B$6*52/12),0)</x:f>
      </x:c>
      <x:c r="R230" s="32" t="e">
        <x:f>IF(A230&lt;=Dashboard!$F$17,MAX(0,P230-Q230)*Dashboard!$F$6,0)</x:f>
      </x:c>
      <x:c r="S230" s="32" t="e">
        <x:f>IF(A230&lt;=Dashboard!$F$17,MIN(Dashboard!$F$10,MAX(0,P230-Q230)+R230),0)</x:f>
      </x:c>
      <x:c r="T230" s="32" t="e">
        <x:f>IF(A230&lt;=Dashboard!$F$17,MAX(0,P230-Q230-MAX(0,S230-R230)),0)</x:f>
      </x:c>
      <x:c r="U230" s="32" t="e">
        <x:f>IF(A230=1,R230,U229+R230)</x:f>
      </x:c>
      <x:c r="V230" s="32"/>
      <x:c r="W230" s="32" t="e">
        <x:f>IF(A230=1,Dashboard!$F$14,AA229)</x:f>
      </x:c>
      <x:c r="X230" s="32" t="e">
        <x:f>IF(AND(A230&lt;=Dashboard!$F$17,MOD(A230-1,12)=0),MIN(W230,$B$7),0)</x:f>
      </x:c>
      <x:c r="Y230" s="32" t="e">
        <x:f>IF(A230&lt;=Dashboard!$F$17,MAX(0,W230-X230)*Dashboard!$F$6,0)</x:f>
      </x:c>
      <x:c r="Z230" s="32" t="e">
        <x:f>IF(A230&lt;=Dashboard!$F$17,MIN(Dashboard!$F$10,MAX(0,W230-X230)+Y230),0)</x:f>
      </x:c>
      <x:c r="AA230" s="32" t="e">
        <x:f>IF(A230&lt;=Dashboard!$F$17,MAX(0,W230-X230-MAX(0,Z230-Y230)),0)</x:f>
      </x:c>
      <x:c r="AB230" s="32" t="e">
        <x:f>IF(A230=1,Y230,AB229+Y230)</x:f>
      </x:c>
      <x:c r="AC230" s="32"/>
      <x:c r="AD230" s="32" t="e">
        <x:f>IF(A230=1,MAX(0,Dashboard!$F$14-$B$8),AG229)</x:f>
      </x:c>
      <x:c r="AE230" s="32" t="n">
        <x:f>0</x:f>
        <x:v>0</x:v>
      </x:c>
      <x:c r="AF230" s="32" t="e">
        <x:f>IF(A230&lt;=Dashboard!$F$17,AD230*Dashboard!$F$6,0)</x:f>
      </x:c>
      <x:c r="AG230" s="32" t="e">
        <x:f>IF(A230&lt;=Dashboard!$F$17,MIN(Dashboard!$F$10,AD230+AF230),0)</x:f>
      </x:c>
      <x:c r="AH230" s="32" t="e">
        <x:f>IF(A230&lt;=Dashboard!$F$17,MAX(0,AD230-MAX(0,AG230-AF230)),0)</x:f>
      </x:c>
      <x:c r="AI230" s="32" t="e">
        <x:f>IF(A230=1,AF230,AI229+AF230)</x:f>
      </x:c>
      <x:c r="AJ230" s="33"/>
      <x:c r="AK230" s="33"/>
      <x:c r="AL230" s="33"/>
      <x:c r="AM230" s="33"/>
    </x:row>
    <x:row r="231">
      <x:c r="A231" s="33" t="n">
        <x:v>219</x:v>
      </x:c>
      <x:c r="B231" s="32" t="e">
        <x:f>IF(A231=1,Dashboard!$F$14,F230)</x:f>
      </x:c>
      <x:c r="C231" s="32" t="n">
        <x:f>0</x:f>
        <x:v>0</x:v>
      </x:c>
      <x:c r="D231" s="32" t="e">
        <x:f>IF(A231&lt;=Dashboard!$F$15,B231*Dashboard!$F$6,0)</x:f>
      </x:c>
      <x:c r="E231" s="32" t="e">
        <x:f>IF(A231&lt;=Dashboard!$F$15,MIN(Dashboard!$F$10,B231+D231),0)</x:f>
      </x:c>
      <x:c r="F231" s="32" t="e">
        <x:f>IF(A231&lt;=Dashboard!$F$15,MAX(0,B231-MAX(0,E231-D231)),0)</x:f>
      </x:c>
      <x:c r="G231" s="32" t="e">
        <x:f>IF(A231=1,D231,G230+D231)</x:f>
      </x:c>
      <x:c r="H231" s="32"/>
      <x:c r="I231" s="32" t="e">
        <x:f>IF(A231=1,Dashboard!$F$14,M230)</x:f>
      </x:c>
      <x:c r="J231" s="32" t="e">
        <x:f>IF(A231&lt;=Dashboard!$F$17,MIN(I231,$B$5),0)</x:f>
      </x:c>
      <x:c r="K231" s="32" t="e">
        <x:f>IF(A231&lt;=Dashboard!$F$17,MAX(0,I231-J231)*Dashboard!$F$6,0)</x:f>
      </x:c>
      <x:c r="L231" s="32" t="e">
        <x:f>IF(A231&lt;=Dashboard!$F$17,MIN(Dashboard!$F$10,MAX(0,I231-J231)+K231),0)</x:f>
      </x:c>
      <x:c r="M231" s="32" t="e">
        <x:f>IF(A231&lt;=Dashboard!$F$17,MAX(0,I231-J231-MAX(0,L231-K231)),0)</x:f>
      </x:c>
      <x:c r="N231" s="32" t="e">
        <x:f>IF(A231=1,K231,N230+K231)</x:f>
      </x:c>
      <x:c r="O231" s="32"/>
      <x:c r="P231" s="32" t="e">
        <x:f>IF(A231=1,Dashboard!$F$14,T230)</x:f>
      </x:c>
      <x:c r="Q231" s="32" t="e">
        <x:f>IF(A231&lt;=Dashboard!$F$17,MIN(P231,$B$6*52/12),0)</x:f>
      </x:c>
      <x:c r="R231" s="32" t="e">
        <x:f>IF(A231&lt;=Dashboard!$F$17,MAX(0,P231-Q231)*Dashboard!$F$6,0)</x:f>
      </x:c>
      <x:c r="S231" s="32" t="e">
        <x:f>IF(A231&lt;=Dashboard!$F$17,MIN(Dashboard!$F$10,MAX(0,P231-Q231)+R231),0)</x:f>
      </x:c>
      <x:c r="T231" s="32" t="e">
        <x:f>IF(A231&lt;=Dashboard!$F$17,MAX(0,P231-Q231-MAX(0,S231-R231)),0)</x:f>
      </x:c>
      <x:c r="U231" s="32" t="e">
        <x:f>IF(A231=1,R231,U230+R231)</x:f>
      </x:c>
      <x:c r="V231" s="32"/>
      <x:c r="W231" s="32" t="e">
        <x:f>IF(A231=1,Dashboard!$F$14,AA230)</x:f>
      </x:c>
      <x:c r="X231" s="32" t="e">
        <x:f>IF(AND(A231&lt;=Dashboard!$F$17,MOD(A231-1,12)=0),MIN(W231,$B$7),0)</x:f>
      </x:c>
      <x:c r="Y231" s="32" t="e">
        <x:f>IF(A231&lt;=Dashboard!$F$17,MAX(0,W231-X231)*Dashboard!$F$6,0)</x:f>
      </x:c>
      <x:c r="Z231" s="32" t="e">
        <x:f>IF(A231&lt;=Dashboard!$F$17,MIN(Dashboard!$F$10,MAX(0,W231-X231)+Y231),0)</x:f>
      </x:c>
      <x:c r="AA231" s="32" t="e">
        <x:f>IF(A231&lt;=Dashboard!$F$17,MAX(0,W231-X231-MAX(0,Z231-Y231)),0)</x:f>
      </x:c>
      <x:c r="AB231" s="32" t="e">
        <x:f>IF(A231=1,Y231,AB230+Y231)</x:f>
      </x:c>
      <x:c r="AC231" s="32"/>
      <x:c r="AD231" s="32" t="e">
        <x:f>IF(A231=1,MAX(0,Dashboard!$F$14-$B$8),AG230)</x:f>
      </x:c>
      <x:c r="AE231" s="32" t="n">
        <x:f>0</x:f>
        <x:v>0</x:v>
      </x:c>
      <x:c r="AF231" s="32" t="e">
        <x:f>IF(A231&lt;=Dashboard!$F$17,AD231*Dashboard!$F$6,0)</x:f>
      </x:c>
      <x:c r="AG231" s="32" t="e">
        <x:f>IF(A231&lt;=Dashboard!$F$17,MIN(Dashboard!$F$10,AD231+AF231),0)</x:f>
      </x:c>
      <x:c r="AH231" s="32" t="e">
        <x:f>IF(A231&lt;=Dashboard!$F$17,MAX(0,AD231-MAX(0,AG231-AF231)),0)</x:f>
      </x:c>
      <x:c r="AI231" s="32" t="e">
        <x:f>IF(A231=1,AF231,AI230+AF231)</x:f>
      </x:c>
      <x:c r="AJ231" s="33"/>
      <x:c r="AK231" s="33"/>
      <x:c r="AL231" s="33"/>
      <x:c r="AM231" s="33"/>
    </x:row>
    <x:row r="232">
      <x:c r="A232" s="33" t="n">
        <x:v>220</x:v>
      </x:c>
      <x:c r="B232" s="32" t="e">
        <x:f>IF(A232=1,Dashboard!$F$14,F231)</x:f>
      </x:c>
      <x:c r="C232" s="32" t="n">
        <x:f>0</x:f>
        <x:v>0</x:v>
      </x:c>
      <x:c r="D232" s="32" t="e">
        <x:f>IF(A232&lt;=Dashboard!$F$15,B232*Dashboard!$F$6,0)</x:f>
      </x:c>
      <x:c r="E232" s="32" t="e">
        <x:f>IF(A232&lt;=Dashboard!$F$15,MIN(Dashboard!$F$10,B232+D232),0)</x:f>
      </x:c>
      <x:c r="F232" s="32" t="e">
        <x:f>IF(A232&lt;=Dashboard!$F$15,MAX(0,B232-MAX(0,E232-D232)),0)</x:f>
      </x:c>
      <x:c r="G232" s="32" t="e">
        <x:f>IF(A232=1,D232,G231+D232)</x:f>
      </x:c>
      <x:c r="H232" s="32"/>
      <x:c r="I232" s="32" t="e">
        <x:f>IF(A232=1,Dashboard!$F$14,M231)</x:f>
      </x:c>
      <x:c r="J232" s="32" t="e">
        <x:f>IF(A232&lt;=Dashboard!$F$17,MIN(I232,$B$5),0)</x:f>
      </x:c>
      <x:c r="K232" s="32" t="e">
        <x:f>IF(A232&lt;=Dashboard!$F$17,MAX(0,I232-J232)*Dashboard!$F$6,0)</x:f>
      </x:c>
      <x:c r="L232" s="32" t="e">
        <x:f>IF(A232&lt;=Dashboard!$F$17,MIN(Dashboard!$F$10,MAX(0,I232-J232)+K232),0)</x:f>
      </x:c>
      <x:c r="M232" s="32" t="e">
        <x:f>IF(A232&lt;=Dashboard!$F$17,MAX(0,I232-J232-MAX(0,L232-K232)),0)</x:f>
      </x:c>
      <x:c r="N232" s="32" t="e">
        <x:f>IF(A232=1,K232,N231+K232)</x:f>
      </x:c>
      <x:c r="O232" s="32"/>
      <x:c r="P232" s="32" t="e">
        <x:f>IF(A232=1,Dashboard!$F$14,T231)</x:f>
      </x:c>
      <x:c r="Q232" s="32" t="e">
        <x:f>IF(A232&lt;=Dashboard!$F$17,MIN(P232,$B$6*52/12),0)</x:f>
      </x:c>
      <x:c r="R232" s="32" t="e">
        <x:f>IF(A232&lt;=Dashboard!$F$17,MAX(0,P232-Q232)*Dashboard!$F$6,0)</x:f>
      </x:c>
      <x:c r="S232" s="32" t="e">
        <x:f>IF(A232&lt;=Dashboard!$F$17,MIN(Dashboard!$F$10,MAX(0,P232-Q232)+R232),0)</x:f>
      </x:c>
      <x:c r="T232" s="32" t="e">
        <x:f>IF(A232&lt;=Dashboard!$F$17,MAX(0,P232-Q232-MAX(0,S232-R232)),0)</x:f>
      </x:c>
      <x:c r="U232" s="32" t="e">
        <x:f>IF(A232=1,R232,U231+R232)</x:f>
      </x:c>
      <x:c r="V232" s="32"/>
      <x:c r="W232" s="32" t="e">
        <x:f>IF(A232=1,Dashboard!$F$14,AA231)</x:f>
      </x:c>
      <x:c r="X232" s="32" t="e">
        <x:f>IF(AND(A232&lt;=Dashboard!$F$17,MOD(A232-1,12)=0),MIN(W232,$B$7),0)</x:f>
      </x:c>
      <x:c r="Y232" s="32" t="e">
        <x:f>IF(A232&lt;=Dashboard!$F$17,MAX(0,W232-X232)*Dashboard!$F$6,0)</x:f>
      </x:c>
      <x:c r="Z232" s="32" t="e">
        <x:f>IF(A232&lt;=Dashboard!$F$17,MIN(Dashboard!$F$10,MAX(0,W232-X232)+Y232),0)</x:f>
      </x:c>
      <x:c r="AA232" s="32" t="e">
        <x:f>IF(A232&lt;=Dashboard!$F$17,MAX(0,W232-X232-MAX(0,Z232-Y232)),0)</x:f>
      </x:c>
      <x:c r="AB232" s="32" t="e">
        <x:f>IF(A232=1,Y232,AB231+Y232)</x:f>
      </x:c>
      <x:c r="AC232" s="32"/>
      <x:c r="AD232" s="32" t="e">
        <x:f>IF(A232=1,MAX(0,Dashboard!$F$14-$B$8),AG231)</x:f>
      </x:c>
      <x:c r="AE232" s="32" t="n">
        <x:f>0</x:f>
        <x:v>0</x:v>
      </x:c>
      <x:c r="AF232" s="32" t="e">
        <x:f>IF(A232&lt;=Dashboard!$F$17,AD232*Dashboard!$F$6,0)</x:f>
      </x:c>
      <x:c r="AG232" s="32" t="e">
        <x:f>IF(A232&lt;=Dashboard!$F$17,MIN(Dashboard!$F$10,AD232+AF232),0)</x:f>
      </x:c>
      <x:c r="AH232" s="32" t="e">
        <x:f>IF(A232&lt;=Dashboard!$F$17,MAX(0,AD232-MAX(0,AG232-AF232)),0)</x:f>
      </x:c>
      <x:c r="AI232" s="32" t="e">
        <x:f>IF(A232=1,AF232,AI231+AF232)</x:f>
      </x:c>
      <x:c r="AJ232" s="33"/>
      <x:c r="AK232" s="33"/>
      <x:c r="AL232" s="33"/>
      <x:c r="AM232" s="33"/>
    </x:row>
    <x:row r="233">
      <x:c r="A233" s="33" t="n">
        <x:v>221</x:v>
      </x:c>
      <x:c r="B233" s="32" t="e">
        <x:f>IF(A233=1,Dashboard!$F$14,F232)</x:f>
      </x:c>
      <x:c r="C233" s="32" t="n">
        <x:f>0</x:f>
        <x:v>0</x:v>
      </x:c>
      <x:c r="D233" s="32" t="e">
        <x:f>IF(A233&lt;=Dashboard!$F$15,B233*Dashboard!$F$6,0)</x:f>
      </x:c>
      <x:c r="E233" s="32" t="e">
        <x:f>IF(A233&lt;=Dashboard!$F$15,MIN(Dashboard!$F$10,B233+D233),0)</x:f>
      </x:c>
      <x:c r="F233" s="32" t="e">
        <x:f>IF(A233&lt;=Dashboard!$F$15,MAX(0,B233-MAX(0,E233-D233)),0)</x:f>
      </x:c>
      <x:c r="G233" s="32" t="e">
        <x:f>IF(A233=1,D233,G232+D233)</x:f>
      </x:c>
      <x:c r="H233" s="32"/>
      <x:c r="I233" s="32" t="e">
        <x:f>IF(A233=1,Dashboard!$F$14,M232)</x:f>
      </x:c>
      <x:c r="J233" s="32" t="e">
        <x:f>IF(A233&lt;=Dashboard!$F$17,MIN(I233,$B$5),0)</x:f>
      </x:c>
      <x:c r="K233" s="32" t="e">
        <x:f>IF(A233&lt;=Dashboard!$F$17,MAX(0,I233-J233)*Dashboard!$F$6,0)</x:f>
      </x:c>
      <x:c r="L233" s="32" t="e">
        <x:f>IF(A233&lt;=Dashboard!$F$17,MIN(Dashboard!$F$10,MAX(0,I233-J233)+K233),0)</x:f>
      </x:c>
      <x:c r="M233" s="32" t="e">
        <x:f>IF(A233&lt;=Dashboard!$F$17,MAX(0,I233-J233-MAX(0,L233-K233)),0)</x:f>
      </x:c>
      <x:c r="N233" s="32" t="e">
        <x:f>IF(A233=1,K233,N232+K233)</x:f>
      </x:c>
      <x:c r="O233" s="32"/>
      <x:c r="P233" s="32" t="e">
        <x:f>IF(A233=1,Dashboard!$F$14,T232)</x:f>
      </x:c>
      <x:c r="Q233" s="32" t="e">
        <x:f>IF(A233&lt;=Dashboard!$F$17,MIN(P233,$B$6*52/12),0)</x:f>
      </x:c>
      <x:c r="R233" s="32" t="e">
        <x:f>IF(A233&lt;=Dashboard!$F$17,MAX(0,P233-Q233)*Dashboard!$F$6,0)</x:f>
      </x:c>
      <x:c r="S233" s="32" t="e">
        <x:f>IF(A233&lt;=Dashboard!$F$17,MIN(Dashboard!$F$10,MAX(0,P233-Q233)+R233),0)</x:f>
      </x:c>
      <x:c r="T233" s="32" t="e">
        <x:f>IF(A233&lt;=Dashboard!$F$17,MAX(0,P233-Q233-MAX(0,S233-R233)),0)</x:f>
      </x:c>
      <x:c r="U233" s="32" t="e">
        <x:f>IF(A233=1,R233,U232+R233)</x:f>
      </x:c>
      <x:c r="V233" s="32"/>
      <x:c r="W233" s="32" t="e">
        <x:f>IF(A233=1,Dashboard!$F$14,AA232)</x:f>
      </x:c>
      <x:c r="X233" s="32" t="e">
        <x:f>IF(AND(A233&lt;=Dashboard!$F$17,MOD(A233-1,12)=0),MIN(W233,$B$7),0)</x:f>
      </x:c>
      <x:c r="Y233" s="32" t="e">
        <x:f>IF(A233&lt;=Dashboard!$F$17,MAX(0,W233-X233)*Dashboard!$F$6,0)</x:f>
      </x:c>
      <x:c r="Z233" s="32" t="e">
        <x:f>IF(A233&lt;=Dashboard!$F$17,MIN(Dashboard!$F$10,MAX(0,W233-X233)+Y233),0)</x:f>
      </x:c>
      <x:c r="AA233" s="32" t="e">
        <x:f>IF(A233&lt;=Dashboard!$F$17,MAX(0,W233-X233-MAX(0,Z233-Y233)),0)</x:f>
      </x:c>
      <x:c r="AB233" s="32" t="e">
        <x:f>IF(A233=1,Y233,AB232+Y233)</x:f>
      </x:c>
      <x:c r="AC233" s="32"/>
      <x:c r="AD233" s="32" t="e">
        <x:f>IF(A233=1,MAX(0,Dashboard!$F$14-$B$8),AG232)</x:f>
      </x:c>
      <x:c r="AE233" s="32" t="n">
        <x:f>0</x:f>
        <x:v>0</x:v>
      </x:c>
      <x:c r="AF233" s="32" t="e">
        <x:f>IF(A233&lt;=Dashboard!$F$17,AD233*Dashboard!$F$6,0)</x:f>
      </x:c>
      <x:c r="AG233" s="32" t="e">
        <x:f>IF(A233&lt;=Dashboard!$F$17,MIN(Dashboard!$F$10,AD233+AF233),0)</x:f>
      </x:c>
      <x:c r="AH233" s="32" t="e">
        <x:f>IF(A233&lt;=Dashboard!$F$17,MAX(0,AD233-MAX(0,AG233-AF233)),0)</x:f>
      </x:c>
      <x:c r="AI233" s="32" t="e">
        <x:f>IF(A233=1,AF233,AI232+AF233)</x:f>
      </x:c>
      <x:c r="AJ233" s="33"/>
      <x:c r="AK233" s="33"/>
      <x:c r="AL233" s="33"/>
      <x:c r="AM233" s="33"/>
    </x:row>
    <x:row r="234">
      <x:c r="A234" s="33" t="n">
        <x:v>222</x:v>
      </x:c>
      <x:c r="B234" s="32" t="e">
        <x:f>IF(A234=1,Dashboard!$F$14,F233)</x:f>
      </x:c>
      <x:c r="C234" s="32" t="n">
        <x:f>0</x:f>
        <x:v>0</x:v>
      </x:c>
      <x:c r="D234" s="32" t="e">
        <x:f>IF(A234&lt;=Dashboard!$F$15,B234*Dashboard!$F$6,0)</x:f>
      </x:c>
      <x:c r="E234" s="32" t="e">
        <x:f>IF(A234&lt;=Dashboard!$F$15,MIN(Dashboard!$F$10,B234+D234),0)</x:f>
      </x:c>
      <x:c r="F234" s="32" t="e">
        <x:f>IF(A234&lt;=Dashboard!$F$15,MAX(0,B234-MAX(0,E234-D234)),0)</x:f>
      </x:c>
      <x:c r="G234" s="32" t="e">
        <x:f>IF(A234=1,D234,G233+D234)</x:f>
      </x:c>
      <x:c r="H234" s="32"/>
      <x:c r="I234" s="32" t="e">
        <x:f>IF(A234=1,Dashboard!$F$14,M233)</x:f>
      </x:c>
      <x:c r="J234" s="32" t="e">
        <x:f>IF(A234&lt;=Dashboard!$F$17,MIN(I234,$B$5),0)</x:f>
      </x:c>
      <x:c r="K234" s="32" t="e">
        <x:f>IF(A234&lt;=Dashboard!$F$17,MAX(0,I234-J234)*Dashboard!$F$6,0)</x:f>
      </x:c>
      <x:c r="L234" s="32" t="e">
        <x:f>IF(A234&lt;=Dashboard!$F$17,MIN(Dashboard!$F$10,MAX(0,I234-J234)+K234),0)</x:f>
      </x:c>
      <x:c r="M234" s="32" t="e">
        <x:f>IF(A234&lt;=Dashboard!$F$17,MAX(0,I234-J234-MAX(0,L234-K234)),0)</x:f>
      </x:c>
      <x:c r="N234" s="32" t="e">
        <x:f>IF(A234=1,K234,N233+K234)</x:f>
      </x:c>
      <x:c r="O234" s="32"/>
      <x:c r="P234" s="32" t="e">
        <x:f>IF(A234=1,Dashboard!$F$14,T233)</x:f>
      </x:c>
      <x:c r="Q234" s="32" t="e">
        <x:f>IF(A234&lt;=Dashboard!$F$17,MIN(P234,$B$6*52/12),0)</x:f>
      </x:c>
      <x:c r="R234" s="32" t="e">
        <x:f>IF(A234&lt;=Dashboard!$F$17,MAX(0,P234-Q234)*Dashboard!$F$6,0)</x:f>
      </x:c>
      <x:c r="S234" s="32" t="e">
        <x:f>IF(A234&lt;=Dashboard!$F$17,MIN(Dashboard!$F$10,MAX(0,P234-Q234)+R234),0)</x:f>
      </x:c>
      <x:c r="T234" s="32" t="e">
        <x:f>IF(A234&lt;=Dashboard!$F$17,MAX(0,P234-Q234-MAX(0,S234-R234)),0)</x:f>
      </x:c>
      <x:c r="U234" s="32" t="e">
        <x:f>IF(A234=1,R234,U233+R234)</x:f>
      </x:c>
      <x:c r="V234" s="32"/>
      <x:c r="W234" s="32" t="e">
        <x:f>IF(A234=1,Dashboard!$F$14,AA233)</x:f>
      </x:c>
      <x:c r="X234" s="32" t="e">
        <x:f>IF(AND(A234&lt;=Dashboard!$F$17,MOD(A234-1,12)=0),MIN(W234,$B$7),0)</x:f>
      </x:c>
      <x:c r="Y234" s="32" t="e">
        <x:f>IF(A234&lt;=Dashboard!$F$17,MAX(0,W234-X234)*Dashboard!$F$6,0)</x:f>
      </x:c>
      <x:c r="Z234" s="32" t="e">
        <x:f>IF(A234&lt;=Dashboard!$F$17,MIN(Dashboard!$F$10,MAX(0,W234-X234)+Y234),0)</x:f>
      </x:c>
      <x:c r="AA234" s="32" t="e">
        <x:f>IF(A234&lt;=Dashboard!$F$17,MAX(0,W234-X234-MAX(0,Z234-Y234)),0)</x:f>
      </x:c>
      <x:c r="AB234" s="32" t="e">
        <x:f>IF(A234=1,Y234,AB233+Y234)</x:f>
      </x:c>
      <x:c r="AC234" s="32"/>
      <x:c r="AD234" s="32" t="e">
        <x:f>IF(A234=1,MAX(0,Dashboard!$F$14-$B$8),AG233)</x:f>
      </x:c>
      <x:c r="AE234" s="32" t="n">
        <x:f>0</x:f>
        <x:v>0</x:v>
      </x:c>
      <x:c r="AF234" s="32" t="e">
        <x:f>IF(A234&lt;=Dashboard!$F$17,AD234*Dashboard!$F$6,0)</x:f>
      </x:c>
      <x:c r="AG234" s="32" t="e">
        <x:f>IF(A234&lt;=Dashboard!$F$17,MIN(Dashboard!$F$10,AD234+AF234),0)</x:f>
      </x:c>
      <x:c r="AH234" s="32" t="e">
        <x:f>IF(A234&lt;=Dashboard!$F$17,MAX(0,AD234-MAX(0,AG234-AF234)),0)</x:f>
      </x:c>
      <x:c r="AI234" s="32" t="e">
        <x:f>IF(A234=1,AF234,AI233+AF234)</x:f>
      </x:c>
      <x:c r="AJ234" s="33"/>
      <x:c r="AK234" s="33"/>
      <x:c r="AL234" s="33"/>
      <x:c r="AM234" s="33"/>
    </x:row>
    <x:row r="235">
      <x:c r="A235" s="33" t="n">
        <x:v>223</x:v>
      </x:c>
      <x:c r="B235" s="32" t="e">
        <x:f>IF(A235=1,Dashboard!$F$14,F234)</x:f>
      </x:c>
      <x:c r="C235" s="32" t="n">
        <x:f>0</x:f>
        <x:v>0</x:v>
      </x:c>
      <x:c r="D235" s="32" t="e">
        <x:f>IF(A235&lt;=Dashboard!$F$15,B235*Dashboard!$F$6,0)</x:f>
      </x:c>
      <x:c r="E235" s="32" t="e">
        <x:f>IF(A235&lt;=Dashboard!$F$15,MIN(Dashboard!$F$10,B235+D235),0)</x:f>
      </x:c>
      <x:c r="F235" s="32" t="e">
        <x:f>IF(A235&lt;=Dashboard!$F$15,MAX(0,B235-MAX(0,E235-D235)),0)</x:f>
      </x:c>
      <x:c r="G235" s="32" t="e">
        <x:f>IF(A235=1,D235,G234+D235)</x:f>
      </x:c>
      <x:c r="H235" s="32"/>
      <x:c r="I235" s="32" t="e">
        <x:f>IF(A235=1,Dashboard!$F$14,M234)</x:f>
      </x:c>
      <x:c r="J235" s="32" t="e">
        <x:f>IF(A235&lt;=Dashboard!$F$17,MIN(I235,$B$5),0)</x:f>
      </x:c>
      <x:c r="K235" s="32" t="e">
        <x:f>IF(A235&lt;=Dashboard!$F$17,MAX(0,I235-J235)*Dashboard!$F$6,0)</x:f>
      </x:c>
      <x:c r="L235" s="32" t="e">
        <x:f>IF(A235&lt;=Dashboard!$F$17,MIN(Dashboard!$F$10,MAX(0,I235-J235)+K235),0)</x:f>
      </x:c>
      <x:c r="M235" s="32" t="e">
        <x:f>IF(A235&lt;=Dashboard!$F$17,MAX(0,I235-J235-MAX(0,L235-K235)),0)</x:f>
      </x:c>
      <x:c r="N235" s="32" t="e">
        <x:f>IF(A235=1,K235,N234+K235)</x:f>
      </x:c>
      <x:c r="O235" s="32"/>
      <x:c r="P235" s="32" t="e">
        <x:f>IF(A235=1,Dashboard!$F$14,T234)</x:f>
      </x:c>
      <x:c r="Q235" s="32" t="e">
        <x:f>IF(A235&lt;=Dashboard!$F$17,MIN(P235,$B$6*52/12),0)</x:f>
      </x:c>
      <x:c r="R235" s="32" t="e">
        <x:f>IF(A235&lt;=Dashboard!$F$17,MAX(0,P235-Q235)*Dashboard!$F$6,0)</x:f>
      </x:c>
      <x:c r="S235" s="32" t="e">
        <x:f>IF(A235&lt;=Dashboard!$F$17,MIN(Dashboard!$F$10,MAX(0,P235-Q235)+R235),0)</x:f>
      </x:c>
      <x:c r="T235" s="32" t="e">
        <x:f>IF(A235&lt;=Dashboard!$F$17,MAX(0,P235-Q235-MAX(0,S235-R235)),0)</x:f>
      </x:c>
      <x:c r="U235" s="32" t="e">
        <x:f>IF(A235=1,R235,U234+R235)</x:f>
      </x:c>
      <x:c r="V235" s="32"/>
      <x:c r="W235" s="32" t="e">
        <x:f>IF(A235=1,Dashboard!$F$14,AA234)</x:f>
      </x:c>
      <x:c r="X235" s="32" t="e">
        <x:f>IF(AND(A235&lt;=Dashboard!$F$17,MOD(A235-1,12)=0),MIN(W235,$B$7),0)</x:f>
      </x:c>
      <x:c r="Y235" s="32" t="e">
        <x:f>IF(A235&lt;=Dashboard!$F$17,MAX(0,W235-X235)*Dashboard!$F$6,0)</x:f>
      </x:c>
      <x:c r="Z235" s="32" t="e">
        <x:f>IF(A235&lt;=Dashboard!$F$17,MIN(Dashboard!$F$10,MAX(0,W235-X235)+Y235),0)</x:f>
      </x:c>
      <x:c r="AA235" s="32" t="e">
        <x:f>IF(A235&lt;=Dashboard!$F$17,MAX(0,W235-X235-MAX(0,Z235-Y235)),0)</x:f>
      </x:c>
      <x:c r="AB235" s="32" t="e">
        <x:f>IF(A235=1,Y235,AB234+Y235)</x:f>
      </x:c>
      <x:c r="AC235" s="32"/>
      <x:c r="AD235" s="32" t="e">
        <x:f>IF(A235=1,MAX(0,Dashboard!$F$14-$B$8),AG234)</x:f>
      </x:c>
      <x:c r="AE235" s="32" t="n">
        <x:f>0</x:f>
        <x:v>0</x:v>
      </x:c>
      <x:c r="AF235" s="32" t="e">
        <x:f>IF(A235&lt;=Dashboard!$F$17,AD235*Dashboard!$F$6,0)</x:f>
      </x:c>
      <x:c r="AG235" s="32" t="e">
        <x:f>IF(A235&lt;=Dashboard!$F$17,MIN(Dashboard!$F$10,AD235+AF235),0)</x:f>
      </x:c>
      <x:c r="AH235" s="32" t="e">
        <x:f>IF(A235&lt;=Dashboard!$F$17,MAX(0,AD235-MAX(0,AG235-AF235)),0)</x:f>
      </x:c>
      <x:c r="AI235" s="32" t="e">
        <x:f>IF(A235=1,AF235,AI234+AF235)</x:f>
      </x:c>
      <x:c r="AJ235" s="33"/>
      <x:c r="AK235" s="33"/>
      <x:c r="AL235" s="33"/>
      <x:c r="AM235" s="33"/>
    </x:row>
    <x:row r="236">
      <x:c r="A236" s="33" t="n">
        <x:v>224</x:v>
      </x:c>
      <x:c r="B236" s="32" t="e">
        <x:f>IF(A236=1,Dashboard!$F$14,F235)</x:f>
      </x:c>
      <x:c r="C236" s="32" t="n">
        <x:f>0</x:f>
        <x:v>0</x:v>
      </x:c>
      <x:c r="D236" s="32" t="e">
        <x:f>IF(A236&lt;=Dashboard!$F$15,B236*Dashboard!$F$6,0)</x:f>
      </x:c>
      <x:c r="E236" s="32" t="e">
        <x:f>IF(A236&lt;=Dashboard!$F$15,MIN(Dashboard!$F$10,B236+D236),0)</x:f>
      </x:c>
      <x:c r="F236" s="32" t="e">
        <x:f>IF(A236&lt;=Dashboard!$F$15,MAX(0,B236-MAX(0,E236-D236)),0)</x:f>
      </x:c>
      <x:c r="G236" s="32" t="e">
        <x:f>IF(A236=1,D236,G235+D236)</x:f>
      </x:c>
      <x:c r="H236" s="32"/>
      <x:c r="I236" s="32" t="e">
        <x:f>IF(A236=1,Dashboard!$F$14,M235)</x:f>
      </x:c>
      <x:c r="J236" s="32" t="e">
        <x:f>IF(A236&lt;=Dashboard!$F$17,MIN(I236,$B$5),0)</x:f>
      </x:c>
      <x:c r="K236" s="32" t="e">
        <x:f>IF(A236&lt;=Dashboard!$F$17,MAX(0,I236-J236)*Dashboard!$F$6,0)</x:f>
      </x:c>
      <x:c r="L236" s="32" t="e">
        <x:f>IF(A236&lt;=Dashboard!$F$17,MIN(Dashboard!$F$10,MAX(0,I236-J236)+K236),0)</x:f>
      </x:c>
      <x:c r="M236" s="32" t="e">
        <x:f>IF(A236&lt;=Dashboard!$F$17,MAX(0,I236-J236-MAX(0,L236-K236)),0)</x:f>
      </x:c>
      <x:c r="N236" s="32" t="e">
        <x:f>IF(A236=1,K236,N235+K236)</x:f>
      </x:c>
      <x:c r="O236" s="32"/>
      <x:c r="P236" s="32" t="e">
        <x:f>IF(A236=1,Dashboard!$F$14,T235)</x:f>
      </x:c>
      <x:c r="Q236" s="32" t="e">
        <x:f>IF(A236&lt;=Dashboard!$F$17,MIN(P236,$B$6*52/12),0)</x:f>
      </x:c>
      <x:c r="R236" s="32" t="e">
        <x:f>IF(A236&lt;=Dashboard!$F$17,MAX(0,P236-Q236)*Dashboard!$F$6,0)</x:f>
      </x:c>
      <x:c r="S236" s="32" t="e">
        <x:f>IF(A236&lt;=Dashboard!$F$17,MIN(Dashboard!$F$10,MAX(0,P236-Q236)+R236),0)</x:f>
      </x:c>
      <x:c r="T236" s="32" t="e">
        <x:f>IF(A236&lt;=Dashboard!$F$17,MAX(0,P236-Q236-MAX(0,S236-R236)),0)</x:f>
      </x:c>
      <x:c r="U236" s="32" t="e">
        <x:f>IF(A236=1,R236,U235+R236)</x:f>
      </x:c>
      <x:c r="V236" s="32"/>
      <x:c r="W236" s="32" t="e">
        <x:f>IF(A236=1,Dashboard!$F$14,AA235)</x:f>
      </x:c>
      <x:c r="X236" s="32" t="e">
        <x:f>IF(AND(A236&lt;=Dashboard!$F$17,MOD(A236-1,12)=0),MIN(W236,$B$7),0)</x:f>
      </x:c>
      <x:c r="Y236" s="32" t="e">
        <x:f>IF(A236&lt;=Dashboard!$F$17,MAX(0,W236-X236)*Dashboard!$F$6,0)</x:f>
      </x:c>
      <x:c r="Z236" s="32" t="e">
        <x:f>IF(A236&lt;=Dashboard!$F$17,MIN(Dashboard!$F$10,MAX(0,W236-X236)+Y236),0)</x:f>
      </x:c>
      <x:c r="AA236" s="32" t="e">
        <x:f>IF(A236&lt;=Dashboard!$F$17,MAX(0,W236-X236-MAX(0,Z236-Y236)),0)</x:f>
      </x:c>
      <x:c r="AB236" s="32" t="e">
        <x:f>IF(A236=1,Y236,AB235+Y236)</x:f>
      </x:c>
      <x:c r="AC236" s="32"/>
      <x:c r="AD236" s="32" t="e">
        <x:f>IF(A236=1,MAX(0,Dashboard!$F$14-$B$8),AG235)</x:f>
      </x:c>
      <x:c r="AE236" s="32" t="n">
        <x:f>0</x:f>
        <x:v>0</x:v>
      </x:c>
      <x:c r="AF236" s="32" t="e">
        <x:f>IF(A236&lt;=Dashboard!$F$17,AD236*Dashboard!$F$6,0)</x:f>
      </x:c>
      <x:c r="AG236" s="32" t="e">
        <x:f>IF(A236&lt;=Dashboard!$F$17,MIN(Dashboard!$F$10,AD236+AF236),0)</x:f>
      </x:c>
      <x:c r="AH236" s="32" t="e">
        <x:f>IF(A236&lt;=Dashboard!$F$17,MAX(0,AD236-MAX(0,AG236-AF236)),0)</x:f>
      </x:c>
      <x:c r="AI236" s="32" t="e">
        <x:f>IF(A236=1,AF236,AI235+AF236)</x:f>
      </x:c>
      <x:c r="AJ236" s="33"/>
      <x:c r="AK236" s="33"/>
      <x:c r="AL236" s="33"/>
      <x:c r="AM236" s="33"/>
    </x:row>
    <x:row r="237">
      <x:c r="A237" s="33" t="n">
        <x:v>225</x:v>
      </x:c>
      <x:c r="B237" s="32" t="e">
        <x:f>IF(A237=1,Dashboard!$F$14,F236)</x:f>
      </x:c>
      <x:c r="C237" s="32" t="n">
        <x:f>0</x:f>
        <x:v>0</x:v>
      </x:c>
      <x:c r="D237" s="32" t="e">
        <x:f>IF(A237&lt;=Dashboard!$F$15,B237*Dashboard!$F$6,0)</x:f>
      </x:c>
      <x:c r="E237" s="32" t="e">
        <x:f>IF(A237&lt;=Dashboard!$F$15,MIN(Dashboard!$F$10,B237+D237),0)</x:f>
      </x:c>
      <x:c r="F237" s="32" t="e">
        <x:f>IF(A237&lt;=Dashboard!$F$15,MAX(0,B237-MAX(0,E237-D237)),0)</x:f>
      </x:c>
      <x:c r="G237" s="32" t="e">
        <x:f>IF(A237=1,D237,G236+D237)</x:f>
      </x:c>
      <x:c r="H237" s="32"/>
      <x:c r="I237" s="32" t="e">
        <x:f>IF(A237=1,Dashboard!$F$14,M236)</x:f>
      </x:c>
      <x:c r="J237" s="32" t="e">
        <x:f>IF(A237&lt;=Dashboard!$F$17,MIN(I237,$B$5),0)</x:f>
      </x:c>
      <x:c r="K237" s="32" t="e">
        <x:f>IF(A237&lt;=Dashboard!$F$17,MAX(0,I237-J237)*Dashboard!$F$6,0)</x:f>
      </x:c>
      <x:c r="L237" s="32" t="e">
        <x:f>IF(A237&lt;=Dashboard!$F$17,MIN(Dashboard!$F$10,MAX(0,I237-J237)+K237),0)</x:f>
      </x:c>
      <x:c r="M237" s="32" t="e">
        <x:f>IF(A237&lt;=Dashboard!$F$17,MAX(0,I237-J237-MAX(0,L237-K237)),0)</x:f>
      </x:c>
      <x:c r="N237" s="32" t="e">
        <x:f>IF(A237=1,K237,N236+K237)</x:f>
      </x:c>
      <x:c r="O237" s="32"/>
      <x:c r="P237" s="32" t="e">
        <x:f>IF(A237=1,Dashboard!$F$14,T236)</x:f>
      </x:c>
      <x:c r="Q237" s="32" t="e">
        <x:f>IF(A237&lt;=Dashboard!$F$17,MIN(P237,$B$6*52/12),0)</x:f>
      </x:c>
      <x:c r="R237" s="32" t="e">
        <x:f>IF(A237&lt;=Dashboard!$F$17,MAX(0,P237-Q237)*Dashboard!$F$6,0)</x:f>
      </x:c>
      <x:c r="S237" s="32" t="e">
        <x:f>IF(A237&lt;=Dashboard!$F$17,MIN(Dashboard!$F$10,MAX(0,P237-Q237)+R237),0)</x:f>
      </x:c>
      <x:c r="T237" s="32" t="e">
        <x:f>IF(A237&lt;=Dashboard!$F$17,MAX(0,P237-Q237-MAX(0,S237-R237)),0)</x:f>
      </x:c>
      <x:c r="U237" s="32" t="e">
        <x:f>IF(A237=1,R237,U236+R237)</x:f>
      </x:c>
      <x:c r="V237" s="32"/>
      <x:c r="W237" s="32" t="e">
        <x:f>IF(A237=1,Dashboard!$F$14,AA236)</x:f>
      </x:c>
      <x:c r="X237" s="32" t="e">
        <x:f>IF(AND(A237&lt;=Dashboard!$F$17,MOD(A237-1,12)=0),MIN(W237,$B$7),0)</x:f>
      </x:c>
      <x:c r="Y237" s="32" t="e">
        <x:f>IF(A237&lt;=Dashboard!$F$17,MAX(0,W237-X237)*Dashboard!$F$6,0)</x:f>
      </x:c>
      <x:c r="Z237" s="32" t="e">
        <x:f>IF(A237&lt;=Dashboard!$F$17,MIN(Dashboard!$F$10,MAX(0,W237-X237)+Y237),0)</x:f>
      </x:c>
      <x:c r="AA237" s="32" t="e">
        <x:f>IF(A237&lt;=Dashboard!$F$17,MAX(0,W237-X237-MAX(0,Z237-Y237)),0)</x:f>
      </x:c>
      <x:c r="AB237" s="32" t="e">
        <x:f>IF(A237=1,Y237,AB236+Y237)</x:f>
      </x:c>
      <x:c r="AC237" s="32"/>
      <x:c r="AD237" s="32" t="e">
        <x:f>IF(A237=1,MAX(0,Dashboard!$F$14-$B$8),AG236)</x:f>
      </x:c>
      <x:c r="AE237" s="32" t="n">
        <x:f>0</x:f>
        <x:v>0</x:v>
      </x:c>
      <x:c r="AF237" s="32" t="e">
        <x:f>IF(A237&lt;=Dashboard!$F$17,AD237*Dashboard!$F$6,0)</x:f>
      </x:c>
      <x:c r="AG237" s="32" t="e">
        <x:f>IF(A237&lt;=Dashboard!$F$17,MIN(Dashboard!$F$10,AD237+AF237),0)</x:f>
      </x:c>
      <x:c r="AH237" s="32" t="e">
        <x:f>IF(A237&lt;=Dashboard!$F$17,MAX(0,AD237-MAX(0,AG237-AF237)),0)</x:f>
      </x:c>
      <x:c r="AI237" s="32" t="e">
        <x:f>IF(A237=1,AF237,AI236+AF237)</x:f>
      </x:c>
      <x:c r="AJ237" s="33"/>
      <x:c r="AK237" s="33"/>
      <x:c r="AL237" s="33"/>
      <x:c r="AM237" s="33"/>
    </x:row>
    <x:row r="238">
      <x:c r="A238" s="33" t="n">
        <x:v>226</x:v>
      </x:c>
      <x:c r="B238" s="32" t="e">
        <x:f>IF(A238=1,Dashboard!$F$14,F237)</x:f>
      </x:c>
      <x:c r="C238" s="32" t="n">
        <x:f>0</x:f>
        <x:v>0</x:v>
      </x:c>
      <x:c r="D238" s="32" t="e">
        <x:f>IF(A238&lt;=Dashboard!$F$15,B238*Dashboard!$F$6,0)</x:f>
      </x:c>
      <x:c r="E238" s="32" t="e">
        <x:f>IF(A238&lt;=Dashboard!$F$15,MIN(Dashboard!$F$10,B238+D238),0)</x:f>
      </x:c>
      <x:c r="F238" s="32" t="e">
        <x:f>IF(A238&lt;=Dashboard!$F$15,MAX(0,B238-MAX(0,E238-D238)),0)</x:f>
      </x:c>
      <x:c r="G238" s="32" t="e">
        <x:f>IF(A238=1,D238,G237+D238)</x:f>
      </x:c>
      <x:c r="H238" s="32"/>
      <x:c r="I238" s="32" t="e">
        <x:f>IF(A238=1,Dashboard!$F$14,M237)</x:f>
      </x:c>
      <x:c r="J238" s="32" t="e">
        <x:f>IF(A238&lt;=Dashboard!$F$17,MIN(I238,$B$5),0)</x:f>
      </x:c>
      <x:c r="K238" s="32" t="e">
        <x:f>IF(A238&lt;=Dashboard!$F$17,MAX(0,I238-J238)*Dashboard!$F$6,0)</x:f>
      </x:c>
      <x:c r="L238" s="32" t="e">
        <x:f>IF(A238&lt;=Dashboard!$F$17,MIN(Dashboard!$F$10,MAX(0,I238-J238)+K238),0)</x:f>
      </x:c>
      <x:c r="M238" s="32" t="e">
        <x:f>IF(A238&lt;=Dashboard!$F$17,MAX(0,I238-J238-MAX(0,L238-K238)),0)</x:f>
      </x:c>
      <x:c r="N238" s="32" t="e">
        <x:f>IF(A238=1,K238,N237+K238)</x:f>
      </x:c>
      <x:c r="O238" s="32"/>
      <x:c r="P238" s="32" t="e">
        <x:f>IF(A238=1,Dashboard!$F$14,T237)</x:f>
      </x:c>
      <x:c r="Q238" s="32" t="e">
        <x:f>IF(A238&lt;=Dashboard!$F$17,MIN(P238,$B$6*52/12),0)</x:f>
      </x:c>
      <x:c r="R238" s="32" t="e">
        <x:f>IF(A238&lt;=Dashboard!$F$17,MAX(0,P238-Q238)*Dashboard!$F$6,0)</x:f>
      </x:c>
      <x:c r="S238" s="32" t="e">
        <x:f>IF(A238&lt;=Dashboard!$F$17,MIN(Dashboard!$F$10,MAX(0,P238-Q238)+R238),0)</x:f>
      </x:c>
      <x:c r="T238" s="32" t="e">
        <x:f>IF(A238&lt;=Dashboard!$F$17,MAX(0,P238-Q238-MAX(0,S238-R238)),0)</x:f>
      </x:c>
      <x:c r="U238" s="32" t="e">
        <x:f>IF(A238=1,R238,U237+R238)</x:f>
      </x:c>
      <x:c r="V238" s="32"/>
      <x:c r="W238" s="32" t="e">
        <x:f>IF(A238=1,Dashboard!$F$14,AA237)</x:f>
      </x:c>
      <x:c r="X238" s="32" t="e">
        <x:f>IF(AND(A238&lt;=Dashboard!$F$17,MOD(A238-1,12)=0),MIN(W238,$B$7),0)</x:f>
      </x:c>
      <x:c r="Y238" s="32" t="e">
        <x:f>IF(A238&lt;=Dashboard!$F$17,MAX(0,W238-X238)*Dashboard!$F$6,0)</x:f>
      </x:c>
      <x:c r="Z238" s="32" t="e">
        <x:f>IF(A238&lt;=Dashboard!$F$17,MIN(Dashboard!$F$10,MAX(0,W238-X238)+Y238),0)</x:f>
      </x:c>
      <x:c r="AA238" s="32" t="e">
        <x:f>IF(A238&lt;=Dashboard!$F$17,MAX(0,W238-X238-MAX(0,Z238-Y238)),0)</x:f>
      </x:c>
      <x:c r="AB238" s="32" t="e">
        <x:f>IF(A238=1,Y238,AB237+Y238)</x:f>
      </x:c>
      <x:c r="AC238" s="32"/>
      <x:c r="AD238" s="32" t="e">
        <x:f>IF(A238=1,MAX(0,Dashboard!$F$14-$B$8),AG237)</x:f>
      </x:c>
      <x:c r="AE238" s="32" t="n">
        <x:f>0</x:f>
        <x:v>0</x:v>
      </x:c>
      <x:c r="AF238" s="32" t="e">
        <x:f>IF(A238&lt;=Dashboard!$F$17,AD238*Dashboard!$F$6,0)</x:f>
      </x:c>
      <x:c r="AG238" s="32" t="e">
        <x:f>IF(A238&lt;=Dashboard!$F$17,MIN(Dashboard!$F$10,AD238+AF238),0)</x:f>
      </x:c>
      <x:c r="AH238" s="32" t="e">
        <x:f>IF(A238&lt;=Dashboard!$F$17,MAX(0,AD238-MAX(0,AG238-AF238)),0)</x:f>
      </x:c>
      <x:c r="AI238" s="32" t="e">
        <x:f>IF(A238=1,AF238,AI237+AF238)</x:f>
      </x:c>
      <x:c r="AJ238" s="33"/>
      <x:c r="AK238" s="33"/>
      <x:c r="AL238" s="33"/>
      <x:c r="AM238" s="33"/>
    </x:row>
    <x:row r="239">
      <x:c r="A239" s="33" t="n">
        <x:v>227</x:v>
      </x:c>
      <x:c r="B239" s="32" t="e">
        <x:f>IF(A239=1,Dashboard!$F$14,F238)</x:f>
      </x:c>
      <x:c r="C239" s="32" t="n">
        <x:f>0</x:f>
        <x:v>0</x:v>
      </x:c>
      <x:c r="D239" s="32" t="e">
        <x:f>IF(A239&lt;=Dashboard!$F$15,B239*Dashboard!$F$6,0)</x:f>
      </x:c>
      <x:c r="E239" s="32" t="e">
        <x:f>IF(A239&lt;=Dashboard!$F$15,MIN(Dashboard!$F$10,B239+D239),0)</x:f>
      </x:c>
      <x:c r="F239" s="32" t="e">
        <x:f>IF(A239&lt;=Dashboard!$F$15,MAX(0,B239-MAX(0,E239-D239)),0)</x:f>
      </x:c>
      <x:c r="G239" s="32" t="e">
        <x:f>IF(A239=1,D239,G238+D239)</x:f>
      </x:c>
      <x:c r="H239" s="32"/>
      <x:c r="I239" s="32" t="e">
        <x:f>IF(A239=1,Dashboard!$F$14,M238)</x:f>
      </x:c>
      <x:c r="J239" s="32" t="e">
        <x:f>IF(A239&lt;=Dashboard!$F$17,MIN(I239,$B$5),0)</x:f>
      </x:c>
      <x:c r="K239" s="32" t="e">
        <x:f>IF(A239&lt;=Dashboard!$F$17,MAX(0,I239-J239)*Dashboard!$F$6,0)</x:f>
      </x:c>
      <x:c r="L239" s="32" t="e">
        <x:f>IF(A239&lt;=Dashboard!$F$17,MIN(Dashboard!$F$10,MAX(0,I239-J239)+K239),0)</x:f>
      </x:c>
      <x:c r="M239" s="32" t="e">
        <x:f>IF(A239&lt;=Dashboard!$F$17,MAX(0,I239-J239-MAX(0,L239-K239)),0)</x:f>
      </x:c>
      <x:c r="N239" s="32" t="e">
        <x:f>IF(A239=1,K239,N238+K239)</x:f>
      </x:c>
      <x:c r="O239" s="32"/>
      <x:c r="P239" s="32" t="e">
        <x:f>IF(A239=1,Dashboard!$F$14,T238)</x:f>
      </x:c>
      <x:c r="Q239" s="32" t="e">
        <x:f>IF(A239&lt;=Dashboard!$F$17,MIN(P239,$B$6*52/12),0)</x:f>
      </x:c>
      <x:c r="R239" s="32" t="e">
        <x:f>IF(A239&lt;=Dashboard!$F$17,MAX(0,P239-Q239)*Dashboard!$F$6,0)</x:f>
      </x:c>
      <x:c r="S239" s="32" t="e">
        <x:f>IF(A239&lt;=Dashboard!$F$17,MIN(Dashboard!$F$10,MAX(0,P239-Q239)+R239),0)</x:f>
      </x:c>
      <x:c r="T239" s="32" t="e">
        <x:f>IF(A239&lt;=Dashboard!$F$17,MAX(0,P239-Q239-MAX(0,S239-R239)),0)</x:f>
      </x:c>
      <x:c r="U239" s="32" t="e">
        <x:f>IF(A239=1,R239,U238+R239)</x:f>
      </x:c>
      <x:c r="V239" s="32"/>
      <x:c r="W239" s="32" t="e">
        <x:f>IF(A239=1,Dashboard!$F$14,AA238)</x:f>
      </x:c>
      <x:c r="X239" s="32" t="e">
        <x:f>IF(AND(A239&lt;=Dashboard!$F$17,MOD(A239-1,12)=0),MIN(W239,$B$7),0)</x:f>
      </x:c>
      <x:c r="Y239" s="32" t="e">
        <x:f>IF(A239&lt;=Dashboard!$F$17,MAX(0,W239-X239)*Dashboard!$F$6,0)</x:f>
      </x:c>
      <x:c r="Z239" s="32" t="e">
        <x:f>IF(A239&lt;=Dashboard!$F$17,MIN(Dashboard!$F$10,MAX(0,W239-X239)+Y239),0)</x:f>
      </x:c>
      <x:c r="AA239" s="32" t="e">
        <x:f>IF(A239&lt;=Dashboard!$F$17,MAX(0,W239-X239-MAX(0,Z239-Y239)),0)</x:f>
      </x:c>
      <x:c r="AB239" s="32" t="e">
        <x:f>IF(A239=1,Y239,AB238+Y239)</x:f>
      </x:c>
      <x:c r="AC239" s="32"/>
      <x:c r="AD239" s="32" t="e">
        <x:f>IF(A239=1,MAX(0,Dashboard!$F$14-$B$8),AG238)</x:f>
      </x:c>
      <x:c r="AE239" s="32" t="n">
        <x:f>0</x:f>
        <x:v>0</x:v>
      </x:c>
      <x:c r="AF239" s="32" t="e">
        <x:f>IF(A239&lt;=Dashboard!$F$17,AD239*Dashboard!$F$6,0)</x:f>
      </x:c>
      <x:c r="AG239" s="32" t="e">
        <x:f>IF(A239&lt;=Dashboard!$F$17,MIN(Dashboard!$F$10,AD239+AF239),0)</x:f>
      </x:c>
      <x:c r="AH239" s="32" t="e">
        <x:f>IF(A239&lt;=Dashboard!$F$17,MAX(0,AD239-MAX(0,AG239-AF239)),0)</x:f>
      </x:c>
      <x:c r="AI239" s="32" t="e">
        <x:f>IF(A239=1,AF239,AI238+AF239)</x:f>
      </x:c>
      <x:c r="AJ239" s="33"/>
      <x:c r="AK239" s="33"/>
      <x:c r="AL239" s="33"/>
      <x:c r="AM239" s="33"/>
    </x:row>
    <x:row r="240">
      <x:c r="A240" s="33" t="n">
        <x:v>228</x:v>
      </x:c>
      <x:c r="B240" s="32" t="e">
        <x:f>IF(A240=1,Dashboard!$F$14,F239)</x:f>
      </x:c>
      <x:c r="C240" s="32" t="n">
        <x:f>0</x:f>
        <x:v>0</x:v>
      </x:c>
      <x:c r="D240" s="32" t="e">
        <x:f>IF(A240&lt;=Dashboard!$F$15,B240*Dashboard!$F$6,0)</x:f>
      </x:c>
      <x:c r="E240" s="32" t="e">
        <x:f>IF(A240&lt;=Dashboard!$F$15,MIN(Dashboard!$F$10,B240+D240),0)</x:f>
      </x:c>
      <x:c r="F240" s="32" t="e">
        <x:f>IF(A240&lt;=Dashboard!$F$15,MAX(0,B240-MAX(0,E240-D240)),0)</x:f>
      </x:c>
      <x:c r="G240" s="32" t="e">
        <x:f>IF(A240=1,D240,G239+D240)</x:f>
      </x:c>
      <x:c r="H240" s="32"/>
      <x:c r="I240" s="32" t="e">
        <x:f>IF(A240=1,Dashboard!$F$14,M239)</x:f>
      </x:c>
      <x:c r="J240" s="32" t="e">
        <x:f>IF(A240&lt;=Dashboard!$F$17,MIN(I240,$B$5),0)</x:f>
      </x:c>
      <x:c r="K240" s="32" t="e">
        <x:f>IF(A240&lt;=Dashboard!$F$17,MAX(0,I240-J240)*Dashboard!$F$6,0)</x:f>
      </x:c>
      <x:c r="L240" s="32" t="e">
        <x:f>IF(A240&lt;=Dashboard!$F$17,MIN(Dashboard!$F$10,MAX(0,I240-J240)+K240),0)</x:f>
      </x:c>
      <x:c r="M240" s="32" t="e">
        <x:f>IF(A240&lt;=Dashboard!$F$17,MAX(0,I240-J240-MAX(0,L240-K240)),0)</x:f>
      </x:c>
      <x:c r="N240" s="32" t="e">
        <x:f>IF(A240=1,K240,N239+K240)</x:f>
      </x:c>
      <x:c r="O240" s="32"/>
      <x:c r="P240" s="32" t="e">
        <x:f>IF(A240=1,Dashboard!$F$14,T239)</x:f>
      </x:c>
      <x:c r="Q240" s="32" t="e">
        <x:f>IF(A240&lt;=Dashboard!$F$17,MIN(P240,$B$6*52/12),0)</x:f>
      </x:c>
      <x:c r="R240" s="32" t="e">
        <x:f>IF(A240&lt;=Dashboard!$F$17,MAX(0,P240-Q240)*Dashboard!$F$6,0)</x:f>
      </x:c>
      <x:c r="S240" s="32" t="e">
        <x:f>IF(A240&lt;=Dashboard!$F$17,MIN(Dashboard!$F$10,MAX(0,P240-Q240)+R240),0)</x:f>
      </x:c>
      <x:c r="T240" s="32" t="e">
        <x:f>IF(A240&lt;=Dashboard!$F$17,MAX(0,P240-Q240-MAX(0,S240-R240)),0)</x:f>
      </x:c>
      <x:c r="U240" s="32" t="e">
        <x:f>IF(A240=1,R240,U239+R240)</x:f>
      </x:c>
      <x:c r="V240" s="32"/>
      <x:c r="W240" s="32" t="e">
        <x:f>IF(A240=1,Dashboard!$F$14,AA239)</x:f>
      </x:c>
      <x:c r="X240" s="32" t="e">
        <x:f>IF(AND(A240&lt;=Dashboard!$F$17,MOD(A240-1,12)=0),MIN(W240,$B$7),0)</x:f>
      </x:c>
      <x:c r="Y240" s="32" t="e">
        <x:f>IF(A240&lt;=Dashboard!$F$17,MAX(0,W240-X240)*Dashboard!$F$6,0)</x:f>
      </x:c>
      <x:c r="Z240" s="32" t="e">
        <x:f>IF(A240&lt;=Dashboard!$F$17,MIN(Dashboard!$F$10,MAX(0,W240-X240)+Y240),0)</x:f>
      </x:c>
      <x:c r="AA240" s="32" t="e">
        <x:f>IF(A240&lt;=Dashboard!$F$17,MAX(0,W240-X240-MAX(0,Z240-Y240)),0)</x:f>
      </x:c>
      <x:c r="AB240" s="32" t="e">
        <x:f>IF(A240=1,Y240,AB239+Y240)</x:f>
      </x:c>
      <x:c r="AC240" s="32"/>
      <x:c r="AD240" s="32" t="e">
        <x:f>IF(A240=1,MAX(0,Dashboard!$F$14-$B$8),AG239)</x:f>
      </x:c>
      <x:c r="AE240" s="32" t="n">
        <x:f>0</x:f>
        <x:v>0</x:v>
      </x:c>
      <x:c r="AF240" s="32" t="e">
        <x:f>IF(A240&lt;=Dashboard!$F$17,AD240*Dashboard!$F$6,0)</x:f>
      </x:c>
      <x:c r="AG240" s="32" t="e">
        <x:f>IF(A240&lt;=Dashboard!$F$17,MIN(Dashboard!$F$10,AD240+AF240),0)</x:f>
      </x:c>
      <x:c r="AH240" s="32" t="e">
        <x:f>IF(A240&lt;=Dashboard!$F$17,MAX(0,AD240-MAX(0,AG240-AF240)),0)</x:f>
      </x:c>
      <x:c r="AI240" s="32" t="e">
        <x:f>IF(A240=1,AF240,AI239+AF240)</x:f>
      </x:c>
      <x:c r="AJ240" s="33"/>
      <x:c r="AK240" s="33"/>
      <x:c r="AL240" s="33"/>
      <x:c r="AM240" s="33"/>
    </x:row>
    <x:row r="241">
      <x:c r="A241" s="33" t="n">
        <x:v>229</x:v>
      </x:c>
      <x:c r="B241" s="32" t="e">
        <x:f>IF(A241=1,Dashboard!$F$14,F240)</x:f>
      </x:c>
      <x:c r="C241" s="32" t="n">
        <x:f>0</x:f>
        <x:v>0</x:v>
      </x:c>
      <x:c r="D241" s="32" t="e">
        <x:f>IF(A241&lt;=Dashboard!$F$15,B241*Dashboard!$F$6,0)</x:f>
      </x:c>
      <x:c r="E241" s="32" t="e">
        <x:f>IF(A241&lt;=Dashboard!$F$15,MIN(Dashboard!$F$10,B241+D241),0)</x:f>
      </x:c>
      <x:c r="F241" s="32" t="e">
        <x:f>IF(A241&lt;=Dashboard!$F$15,MAX(0,B241-MAX(0,E241-D241)),0)</x:f>
      </x:c>
      <x:c r="G241" s="32" t="e">
        <x:f>IF(A241=1,D241,G240+D241)</x:f>
      </x:c>
      <x:c r="H241" s="32"/>
      <x:c r="I241" s="32" t="e">
        <x:f>IF(A241=1,Dashboard!$F$14,M240)</x:f>
      </x:c>
      <x:c r="J241" s="32" t="e">
        <x:f>IF(A241&lt;=Dashboard!$F$17,MIN(I241,$B$5),0)</x:f>
      </x:c>
      <x:c r="K241" s="32" t="e">
        <x:f>IF(A241&lt;=Dashboard!$F$17,MAX(0,I241-J241)*Dashboard!$F$6,0)</x:f>
      </x:c>
      <x:c r="L241" s="32" t="e">
        <x:f>IF(A241&lt;=Dashboard!$F$17,MIN(Dashboard!$F$10,MAX(0,I241-J241)+K241),0)</x:f>
      </x:c>
      <x:c r="M241" s="32" t="e">
        <x:f>IF(A241&lt;=Dashboard!$F$17,MAX(0,I241-J241-MAX(0,L241-K241)),0)</x:f>
      </x:c>
      <x:c r="N241" s="32" t="e">
        <x:f>IF(A241=1,K241,N240+K241)</x:f>
      </x:c>
      <x:c r="O241" s="32"/>
      <x:c r="P241" s="32" t="e">
        <x:f>IF(A241=1,Dashboard!$F$14,T240)</x:f>
      </x:c>
      <x:c r="Q241" s="32" t="e">
        <x:f>IF(A241&lt;=Dashboard!$F$17,MIN(P241,$B$6*52/12),0)</x:f>
      </x:c>
      <x:c r="R241" s="32" t="e">
        <x:f>IF(A241&lt;=Dashboard!$F$17,MAX(0,P241-Q241)*Dashboard!$F$6,0)</x:f>
      </x:c>
      <x:c r="S241" s="32" t="e">
        <x:f>IF(A241&lt;=Dashboard!$F$17,MIN(Dashboard!$F$10,MAX(0,P241-Q241)+R241),0)</x:f>
      </x:c>
      <x:c r="T241" s="32" t="e">
        <x:f>IF(A241&lt;=Dashboard!$F$17,MAX(0,P241-Q241-MAX(0,S241-R241)),0)</x:f>
      </x:c>
      <x:c r="U241" s="32" t="e">
        <x:f>IF(A241=1,R241,U240+R241)</x:f>
      </x:c>
      <x:c r="V241" s="32"/>
      <x:c r="W241" s="32" t="e">
        <x:f>IF(A241=1,Dashboard!$F$14,AA240)</x:f>
      </x:c>
      <x:c r="X241" s="32" t="e">
        <x:f>IF(AND(A241&lt;=Dashboard!$F$17,MOD(A241-1,12)=0),MIN(W241,$B$7),0)</x:f>
      </x:c>
      <x:c r="Y241" s="32" t="e">
        <x:f>IF(A241&lt;=Dashboard!$F$17,MAX(0,W241-X241)*Dashboard!$F$6,0)</x:f>
      </x:c>
      <x:c r="Z241" s="32" t="e">
        <x:f>IF(A241&lt;=Dashboard!$F$17,MIN(Dashboard!$F$10,MAX(0,W241-X241)+Y241),0)</x:f>
      </x:c>
      <x:c r="AA241" s="32" t="e">
        <x:f>IF(A241&lt;=Dashboard!$F$17,MAX(0,W241-X241-MAX(0,Z241-Y241)),0)</x:f>
      </x:c>
      <x:c r="AB241" s="32" t="e">
        <x:f>IF(A241=1,Y241,AB240+Y241)</x:f>
      </x:c>
      <x:c r="AC241" s="32"/>
      <x:c r="AD241" s="32" t="e">
        <x:f>IF(A241=1,MAX(0,Dashboard!$F$14-$B$8),AG240)</x:f>
      </x:c>
      <x:c r="AE241" s="32" t="n">
        <x:f>0</x:f>
        <x:v>0</x:v>
      </x:c>
      <x:c r="AF241" s="32" t="e">
        <x:f>IF(A241&lt;=Dashboard!$F$17,AD241*Dashboard!$F$6,0)</x:f>
      </x:c>
      <x:c r="AG241" s="32" t="e">
        <x:f>IF(A241&lt;=Dashboard!$F$17,MIN(Dashboard!$F$10,AD241+AF241),0)</x:f>
      </x:c>
      <x:c r="AH241" s="32" t="e">
        <x:f>IF(A241&lt;=Dashboard!$F$17,MAX(0,AD241-MAX(0,AG241-AF241)),0)</x:f>
      </x:c>
      <x:c r="AI241" s="32" t="e">
        <x:f>IF(A241=1,AF241,AI240+AF241)</x:f>
      </x:c>
      <x:c r="AJ241" s="33"/>
      <x:c r="AK241" s="33"/>
      <x:c r="AL241" s="33"/>
      <x:c r="AM241" s="33"/>
    </x:row>
    <x:row r="242">
      <x:c r="A242" s="33" t="n">
        <x:v>230</x:v>
      </x:c>
      <x:c r="B242" s="32" t="e">
        <x:f>IF(A242=1,Dashboard!$F$14,F241)</x:f>
      </x:c>
      <x:c r="C242" s="32" t="n">
        <x:f>0</x:f>
        <x:v>0</x:v>
      </x:c>
      <x:c r="D242" s="32" t="e">
        <x:f>IF(A242&lt;=Dashboard!$F$15,B242*Dashboard!$F$6,0)</x:f>
      </x:c>
      <x:c r="E242" s="32" t="e">
        <x:f>IF(A242&lt;=Dashboard!$F$15,MIN(Dashboard!$F$10,B242+D242),0)</x:f>
      </x:c>
      <x:c r="F242" s="32" t="e">
        <x:f>IF(A242&lt;=Dashboard!$F$15,MAX(0,B242-MAX(0,E242-D242)),0)</x:f>
      </x:c>
      <x:c r="G242" s="32" t="e">
        <x:f>IF(A242=1,D242,G241+D242)</x:f>
      </x:c>
      <x:c r="H242" s="32"/>
      <x:c r="I242" s="32" t="e">
        <x:f>IF(A242=1,Dashboard!$F$14,M241)</x:f>
      </x:c>
      <x:c r="J242" s="32" t="e">
        <x:f>IF(A242&lt;=Dashboard!$F$17,MIN(I242,$B$5),0)</x:f>
      </x:c>
      <x:c r="K242" s="32" t="e">
        <x:f>IF(A242&lt;=Dashboard!$F$17,MAX(0,I242-J242)*Dashboard!$F$6,0)</x:f>
      </x:c>
      <x:c r="L242" s="32" t="e">
        <x:f>IF(A242&lt;=Dashboard!$F$17,MIN(Dashboard!$F$10,MAX(0,I242-J242)+K242),0)</x:f>
      </x:c>
      <x:c r="M242" s="32" t="e">
        <x:f>IF(A242&lt;=Dashboard!$F$17,MAX(0,I242-J242-MAX(0,L242-K242)),0)</x:f>
      </x:c>
      <x:c r="N242" s="32" t="e">
        <x:f>IF(A242=1,K242,N241+K242)</x:f>
      </x:c>
      <x:c r="O242" s="32"/>
      <x:c r="P242" s="32" t="e">
        <x:f>IF(A242=1,Dashboard!$F$14,T241)</x:f>
      </x:c>
      <x:c r="Q242" s="32" t="e">
        <x:f>IF(A242&lt;=Dashboard!$F$17,MIN(P242,$B$6*52/12),0)</x:f>
      </x:c>
      <x:c r="R242" s="32" t="e">
        <x:f>IF(A242&lt;=Dashboard!$F$17,MAX(0,P242-Q242)*Dashboard!$F$6,0)</x:f>
      </x:c>
      <x:c r="S242" s="32" t="e">
        <x:f>IF(A242&lt;=Dashboard!$F$17,MIN(Dashboard!$F$10,MAX(0,P242-Q242)+R242),0)</x:f>
      </x:c>
      <x:c r="T242" s="32" t="e">
        <x:f>IF(A242&lt;=Dashboard!$F$17,MAX(0,P242-Q242-MAX(0,S242-R242)),0)</x:f>
      </x:c>
      <x:c r="U242" s="32" t="e">
        <x:f>IF(A242=1,R242,U241+R242)</x:f>
      </x:c>
      <x:c r="V242" s="32"/>
      <x:c r="W242" s="32" t="e">
        <x:f>IF(A242=1,Dashboard!$F$14,AA241)</x:f>
      </x:c>
      <x:c r="X242" s="32" t="e">
        <x:f>IF(AND(A242&lt;=Dashboard!$F$17,MOD(A242-1,12)=0),MIN(W242,$B$7),0)</x:f>
      </x:c>
      <x:c r="Y242" s="32" t="e">
        <x:f>IF(A242&lt;=Dashboard!$F$17,MAX(0,W242-X242)*Dashboard!$F$6,0)</x:f>
      </x:c>
      <x:c r="Z242" s="32" t="e">
        <x:f>IF(A242&lt;=Dashboard!$F$17,MIN(Dashboard!$F$10,MAX(0,W242-X242)+Y242),0)</x:f>
      </x:c>
      <x:c r="AA242" s="32" t="e">
        <x:f>IF(A242&lt;=Dashboard!$F$17,MAX(0,W242-X242-MAX(0,Z242-Y242)),0)</x:f>
      </x:c>
      <x:c r="AB242" s="32" t="e">
        <x:f>IF(A242=1,Y242,AB241+Y242)</x:f>
      </x:c>
      <x:c r="AC242" s="32"/>
      <x:c r="AD242" s="32" t="e">
        <x:f>IF(A242=1,MAX(0,Dashboard!$F$14-$B$8),AG241)</x:f>
      </x:c>
      <x:c r="AE242" s="32" t="n">
        <x:f>0</x:f>
        <x:v>0</x:v>
      </x:c>
      <x:c r="AF242" s="32" t="e">
        <x:f>IF(A242&lt;=Dashboard!$F$17,AD242*Dashboard!$F$6,0)</x:f>
      </x:c>
      <x:c r="AG242" s="32" t="e">
        <x:f>IF(A242&lt;=Dashboard!$F$17,MIN(Dashboard!$F$10,AD242+AF242),0)</x:f>
      </x:c>
      <x:c r="AH242" s="32" t="e">
        <x:f>IF(A242&lt;=Dashboard!$F$17,MAX(0,AD242-MAX(0,AG242-AF242)),0)</x:f>
      </x:c>
      <x:c r="AI242" s="32" t="e">
        <x:f>IF(A242=1,AF242,AI241+AF242)</x:f>
      </x:c>
      <x:c r="AJ242" s="33"/>
      <x:c r="AK242" s="33"/>
      <x:c r="AL242" s="33"/>
      <x:c r="AM242" s="33"/>
    </x:row>
    <x:row r="243">
      <x:c r="A243" s="33" t="n">
        <x:v>231</x:v>
      </x:c>
      <x:c r="B243" s="32" t="e">
        <x:f>IF(A243=1,Dashboard!$F$14,F242)</x:f>
      </x:c>
      <x:c r="C243" s="32" t="n">
        <x:f>0</x:f>
        <x:v>0</x:v>
      </x:c>
      <x:c r="D243" s="32" t="e">
        <x:f>IF(A243&lt;=Dashboard!$F$15,B243*Dashboard!$F$6,0)</x:f>
      </x:c>
      <x:c r="E243" s="32" t="e">
        <x:f>IF(A243&lt;=Dashboard!$F$15,MIN(Dashboard!$F$10,B243+D243),0)</x:f>
      </x:c>
      <x:c r="F243" s="32" t="e">
        <x:f>IF(A243&lt;=Dashboard!$F$15,MAX(0,B243-MAX(0,E243-D243)),0)</x:f>
      </x:c>
      <x:c r="G243" s="32" t="e">
        <x:f>IF(A243=1,D243,G242+D243)</x:f>
      </x:c>
      <x:c r="H243" s="32"/>
      <x:c r="I243" s="32" t="e">
        <x:f>IF(A243=1,Dashboard!$F$14,M242)</x:f>
      </x:c>
      <x:c r="J243" s="32" t="e">
        <x:f>IF(A243&lt;=Dashboard!$F$17,MIN(I243,$B$5),0)</x:f>
      </x:c>
      <x:c r="K243" s="32" t="e">
        <x:f>IF(A243&lt;=Dashboard!$F$17,MAX(0,I243-J243)*Dashboard!$F$6,0)</x:f>
      </x:c>
      <x:c r="L243" s="32" t="e">
        <x:f>IF(A243&lt;=Dashboard!$F$17,MIN(Dashboard!$F$10,MAX(0,I243-J243)+K243),0)</x:f>
      </x:c>
      <x:c r="M243" s="32" t="e">
        <x:f>IF(A243&lt;=Dashboard!$F$17,MAX(0,I243-J243-MAX(0,L243-K243)),0)</x:f>
      </x:c>
      <x:c r="N243" s="32" t="e">
        <x:f>IF(A243=1,K243,N242+K243)</x:f>
      </x:c>
      <x:c r="O243" s="32"/>
      <x:c r="P243" s="32" t="e">
        <x:f>IF(A243=1,Dashboard!$F$14,T242)</x:f>
      </x:c>
      <x:c r="Q243" s="32" t="e">
        <x:f>IF(A243&lt;=Dashboard!$F$17,MIN(P243,$B$6*52/12),0)</x:f>
      </x:c>
      <x:c r="R243" s="32" t="e">
        <x:f>IF(A243&lt;=Dashboard!$F$17,MAX(0,P243-Q243)*Dashboard!$F$6,0)</x:f>
      </x:c>
      <x:c r="S243" s="32" t="e">
        <x:f>IF(A243&lt;=Dashboard!$F$17,MIN(Dashboard!$F$10,MAX(0,P243-Q243)+R243),0)</x:f>
      </x:c>
      <x:c r="T243" s="32" t="e">
        <x:f>IF(A243&lt;=Dashboard!$F$17,MAX(0,P243-Q243-MAX(0,S243-R243)),0)</x:f>
      </x:c>
      <x:c r="U243" s="32" t="e">
        <x:f>IF(A243=1,R243,U242+R243)</x:f>
      </x:c>
      <x:c r="V243" s="32"/>
      <x:c r="W243" s="32" t="e">
        <x:f>IF(A243=1,Dashboard!$F$14,AA242)</x:f>
      </x:c>
      <x:c r="X243" s="32" t="e">
        <x:f>IF(AND(A243&lt;=Dashboard!$F$17,MOD(A243-1,12)=0),MIN(W243,$B$7),0)</x:f>
      </x:c>
      <x:c r="Y243" s="32" t="e">
        <x:f>IF(A243&lt;=Dashboard!$F$17,MAX(0,W243-X243)*Dashboard!$F$6,0)</x:f>
      </x:c>
      <x:c r="Z243" s="32" t="e">
        <x:f>IF(A243&lt;=Dashboard!$F$17,MIN(Dashboard!$F$10,MAX(0,W243-X243)+Y243),0)</x:f>
      </x:c>
      <x:c r="AA243" s="32" t="e">
        <x:f>IF(A243&lt;=Dashboard!$F$17,MAX(0,W243-X243-MAX(0,Z243-Y243)),0)</x:f>
      </x:c>
      <x:c r="AB243" s="32" t="e">
        <x:f>IF(A243=1,Y243,AB242+Y243)</x:f>
      </x:c>
      <x:c r="AC243" s="32"/>
      <x:c r="AD243" s="32" t="e">
        <x:f>IF(A243=1,MAX(0,Dashboard!$F$14-$B$8),AG242)</x:f>
      </x:c>
      <x:c r="AE243" s="32" t="n">
        <x:f>0</x:f>
        <x:v>0</x:v>
      </x:c>
      <x:c r="AF243" s="32" t="e">
        <x:f>IF(A243&lt;=Dashboard!$F$17,AD243*Dashboard!$F$6,0)</x:f>
      </x:c>
      <x:c r="AG243" s="32" t="e">
        <x:f>IF(A243&lt;=Dashboard!$F$17,MIN(Dashboard!$F$10,AD243+AF243),0)</x:f>
      </x:c>
      <x:c r="AH243" s="32" t="e">
        <x:f>IF(A243&lt;=Dashboard!$F$17,MAX(0,AD243-MAX(0,AG243-AF243)),0)</x:f>
      </x:c>
      <x:c r="AI243" s="32" t="e">
        <x:f>IF(A243=1,AF243,AI242+AF243)</x:f>
      </x:c>
      <x:c r="AJ243" s="33"/>
      <x:c r="AK243" s="33"/>
      <x:c r="AL243" s="33"/>
      <x:c r="AM243" s="33"/>
    </x:row>
    <x:row r="244">
      <x:c r="A244" s="33" t="n">
        <x:v>232</x:v>
      </x:c>
      <x:c r="B244" s="32" t="e">
        <x:f>IF(A244=1,Dashboard!$F$14,F243)</x:f>
      </x:c>
      <x:c r="C244" s="32" t="n">
        <x:f>0</x:f>
        <x:v>0</x:v>
      </x:c>
      <x:c r="D244" s="32" t="e">
        <x:f>IF(A244&lt;=Dashboard!$F$15,B244*Dashboard!$F$6,0)</x:f>
      </x:c>
      <x:c r="E244" s="32" t="e">
        <x:f>IF(A244&lt;=Dashboard!$F$15,MIN(Dashboard!$F$10,B244+D244),0)</x:f>
      </x:c>
      <x:c r="F244" s="32" t="e">
        <x:f>IF(A244&lt;=Dashboard!$F$15,MAX(0,B244-MAX(0,E244-D244)),0)</x:f>
      </x:c>
      <x:c r="G244" s="32" t="e">
        <x:f>IF(A244=1,D244,G243+D244)</x:f>
      </x:c>
      <x:c r="H244" s="32"/>
      <x:c r="I244" s="32" t="e">
        <x:f>IF(A244=1,Dashboard!$F$14,M243)</x:f>
      </x:c>
      <x:c r="J244" s="32" t="e">
        <x:f>IF(A244&lt;=Dashboard!$F$17,MIN(I244,$B$5),0)</x:f>
      </x:c>
      <x:c r="K244" s="32" t="e">
        <x:f>IF(A244&lt;=Dashboard!$F$17,MAX(0,I244-J244)*Dashboard!$F$6,0)</x:f>
      </x:c>
      <x:c r="L244" s="32" t="e">
        <x:f>IF(A244&lt;=Dashboard!$F$17,MIN(Dashboard!$F$10,MAX(0,I244-J244)+K244),0)</x:f>
      </x:c>
      <x:c r="M244" s="32" t="e">
        <x:f>IF(A244&lt;=Dashboard!$F$17,MAX(0,I244-J244-MAX(0,L244-K244)),0)</x:f>
      </x:c>
      <x:c r="N244" s="32" t="e">
        <x:f>IF(A244=1,K244,N243+K244)</x:f>
      </x:c>
      <x:c r="O244" s="32"/>
      <x:c r="P244" s="32" t="e">
        <x:f>IF(A244=1,Dashboard!$F$14,T243)</x:f>
      </x:c>
      <x:c r="Q244" s="32" t="e">
        <x:f>IF(A244&lt;=Dashboard!$F$17,MIN(P244,$B$6*52/12),0)</x:f>
      </x:c>
      <x:c r="R244" s="32" t="e">
        <x:f>IF(A244&lt;=Dashboard!$F$17,MAX(0,P244-Q244)*Dashboard!$F$6,0)</x:f>
      </x:c>
      <x:c r="S244" s="32" t="e">
        <x:f>IF(A244&lt;=Dashboard!$F$17,MIN(Dashboard!$F$10,MAX(0,P244-Q244)+R244),0)</x:f>
      </x:c>
      <x:c r="T244" s="32" t="e">
        <x:f>IF(A244&lt;=Dashboard!$F$17,MAX(0,P244-Q244-MAX(0,S244-R244)),0)</x:f>
      </x:c>
      <x:c r="U244" s="32" t="e">
        <x:f>IF(A244=1,R244,U243+R244)</x:f>
      </x:c>
      <x:c r="V244" s="32"/>
      <x:c r="W244" s="32" t="e">
        <x:f>IF(A244=1,Dashboard!$F$14,AA243)</x:f>
      </x:c>
      <x:c r="X244" s="32" t="e">
        <x:f>IF(AND(A244&lt;=Dashboard!$F$17,MOD(A244-1,12)=0),MIN(W244,$B$7),0)</x:f>
      </x:c>
      <x:c r="Y244" s="32" t="e">
        <x:f>IF(A244&lt;=Dashboard!$F$17,MAX(0,W244-X244)*Dashboard!$F$6,0)</x:f>
      </x:c>
      <x:c r="Z244" s="32" t="e">
        <x:f>IF(A244&lt;=Dashboard!$F$17,MIN(Dashboard!$F$10,MAX(0,W244-X244)+Y244),0)</x:f>
      </x:c>
      <x:c r="AA244" s="32" t="e">
        <x:f>IF(A244&lt;=Dashboard!$F$17,MAX(0,W244-X244-MAX(0,Z244-Y244)),0)</x:f>
      </x:c>
      <x:c r="AB244" s="32" t="e">
        <x:f>IF(A244=1,Y244,AB243+Y244)</x:f>
      </x:c>
      <x:c r="AC244" s="32"/>
      <x:c r="AD244" s="32" t="e">
        <x:f>IF(A244=1,MAX(0,Dashboard!$F$14-$B$8),AG243)</x:f>
      </x:c>
      <x:c r="AE244" s="32" t="n">
        <x:f>0</x:f>
        <x:v>0</x:v>
      </x:c>
      <x:c r="AF244" s="32" t="e">
        <x:f>IF(A244&lt;=Dashboard!$F$17,AD244*Dashboard!$F$6,0)</x:f>
      </x:c>
      <x:c r="AG244" s="32" t="e">
        <x:f>IF(A244&lt;=Dashboard!$F$17,MIN(Dashboard!$F$10,AD244+AF244),0)</x:f>
      </x:c>
      <x:c r="AH244" s="32" t="e">
        <x:f>IF(A244&lt;=Dashboard!$F$17,MAX(0,AD244-MAX(0,AG244-AF244)),0)</x:f>
      </x:c>
      <x:c r="AI244" s="32" t="e">
        <x:f>IF(A244=1,AF244,AI243+AF244)</x:f>
      </x:c>
      <x:c r="AJ244" s="33"/>
      <x:c r="AK244" s="33"/>
      <x:c r="AL244" s="33"/>
      <x:c r="AM244" s="33"/>
    </x:row>
    <x:row r="245">
      <x:c r="A245" s="33" t="n">
        <x:v>233</x:v>
      </x:c>
      <x:c r="B245" s="32" t="e">
        <x:f>IF(A245=1,Dashboard!$F$14,F244)</x:f>
      </x:c>
      <x:c r="C245" s="32" t="n">
        <x:f>0</x:f>
        <x:v>0</x:v>
      </x:c>
      <x:c r="D245" s="32" t="e">
        <x:f>IF(A245&lt;=Dashboard!$F$15,B245*Dashboard!$F$6,0)</x:f>
      </x:c>
      <x:c r="E245" s="32" t="e">
        <x:f>IF(A245&lt;=Dashboard!$F$15,MIN(Dashboard!$F$10,B245+D245),0)</x:f>
      </x:c>
      <x:c r="F245" s="32" t="e">
        <x:f>IF(A245&lt;=Dashboard!$F$15,MAX(0,B245-MAX(0,E245-D245)),0)</x:f>
      </x:c>
      <x:c r="G245" s="32" t="e">
        <x:f>IF(A245=1,D245,G244+D245)</x:f>
      </x:c>
      <x:c r="H245" s="32"/>
      <x:c r="I245" s="32" t="e">
        <x:f>IF(A245=1,Dashboard!$F$14,M244)</x:f>
      </x:c>
      <x:c r="J245" s="32" t="e">
        <x:f>IF(A245&lt;=Dashboard!$F$17,MIN(I245,$B$5),0)</x:f>
      </x:c>
      <x:c r="K245" s="32" t="e">
        <x:f>IF(A245&lt;=Dashboard!$F$17,MAX(0,I245-J245)*Dashboard!$F$6,0)</x:f>
      </x:c>
      <x:c r="L245" s="32" t="e">
        <x:f>IF(A245&lt;=Dashboard!$F$17,MIN(Dashboard!$F$10,MAX(0,I245-J245)+K245),0)</x:f>
      </x:c>
      <x:c r="M245" s="32" t="e">
        <x:f>IF(A245&lt;=Dashboard!$F$17,MAX(0,I245-J245-MAX(0,L245-K245)),0)</x:f>
      </x:c>
      <x:c r="N245" s="32" t="e">
        <x:f>IF(A245=1,K245,N244+K245)</x:f>
      </x:c>
      <x:c r="O245" s="32"/>
      <x:c r="P245" s="32" t="e">
        <x:f>IF(A245=1,Dashboard!$F$14,T244)</x:f>
      </x:c>
      <x:c r="Q245" s="32" t="e">
        <x:f>IF(A245&lt;=Dashboard!$F$17,MIN(P245,$B$6*52/12),0)</x:f>
      </x:c>
      <x:c r="R245" s="32" t="e">
        <x:f>IF(A245&lt;=Dashboard!$F$17,MAX(0,P245-Q245)*Dashboard!$F$6,0)</x:f>
      </x:c>
      <x:c r="S245" s="32" t="e">
        <x:f>IF(A245&lt;=Dashboard!$F$17,MIN(Dashboard!$F$10,MAX(0,P245-Q245)+R245),0)</x:f>
      </x:c>
      <x:c r="T245" s="32" t="e">
        <x:f>IF(A245&lt;=Dashboard!$F$17,MAX(0,P245-Q245-MAX(0,S245-R245)),0)</x:f>
      </x:c>
      <x:c r="U245" s="32" t="e">
        <x:f>IF(A245=1,R245,U244+R245)</x:f>
      </x:c>
      <x:c r="V245" s="32"/>
      <x:c r="W245" s="32" t="e">
        <x:f>IF(A245=1,Dashboard!$F$14,AA244)</x:f>
      </x:c>
      <x:c r="X245" s="32" t="e">
        <x:f>IF(AND(A245&lt;=Dashboard!$F$17,MOD(A245-1,12)=0),MIN(W245,$B$7),0)</x:f>
      </x:c>
      <x:c r="Y245" s="32" t="e">
        <x:f>IF(A245&lt;=Dashboard!$F$17,MAX(0,W245-X245)*Dashboard!$F$6,0)</x:f>
      </x:c>
      <x:c r="Z245" s="32" t="e">
        <x:f>IF(A245&lt;=Dashboard!$F$17,MIN(Dashboard!$F$10,MAX(0,W245-X245)+Y245),0)</x:f>
      </x:c>
      <x:c r="AA245" s="32" t="e">
        <x:f>IF(A245&lt;=Dashboard!$F$17,MAX(0,W245-X245-MAX(0,Z245-Y245)),0)</x:f>
      </x:c>
      <x:c r="AB245" s="32" t="e">
        <x:f>IF(A245=1,Y245,AB244+Y245)</x:f>
      </x:c>
      <x:c r="AC245" s="32"/>
      <x:c r="AD245" s="32" t="e">
        <x:f>IF(A245=1,MAX(0,Dashboard!$F$14-$B$8),AG244)</x:f>
      </x:c>
      <x:c r="AE245" s="32" t="n">
        <x:f>0</x:f>
        <x:v>0</x:v>
      </x:c>
      <x:c r="AF245" s="32" t="e">
        <x:f>IF(A245&lt;=Dashboard!$F$17,AD245*Dashboard!$F$6,0)</x:f>
      </x:c>
      <x:c r="AG245" s="32" t="e">
        <x:f>IF(A245&lt;=Dashboard!$F$17,MIN(Dashboard!$F$10,AD245+AF245),0)</x:f>
      </x:c>
      <x:c r="AH245" s="32" t="e">
        <x:f>IF(A245&lt;=Dashboard!$F$17,MAX(0,AD245-MAX(0,AG245-AF245)),0)</x:f>
      </x:c>
      <x:c r="AI245" s="32" t="e">
        <x:f>IF(A245=1,AF245,AI244+AF245)</x:f>
      </x:c>
      <x:c r="AJ245" s="33"/>
      <x:c r="AK245" s="33"/>
      <x:c r="AL245" s="33"/>
      <x:c r="AM245" s="33"/>
    </x:row>
    <x:row r="246">
      <x:c r="A246" s="33" t="n">
        <x:v>234</x:v>
      </x:c>
      <x:c r="B246" s="32" t="e">
        <x:f>IF(A246=1,Dashboard!$F$14,F245)</x:f>
      </x:c>
      <x:c r="C246" s="32" t="n">
        <x:f>0</x:f>
        <x:v>0</x:v>
      </x:c>
      <x:c r="D246" s="32" t="e">
        <x:f>IF(A246&lt;=Dashboard!$F$15,B246*Dashboard!$F$6,0)</x:f>
      </x:c>
      <x:c r="E246" s="32" t="e">
        <x:f>IF(A246&lt;=Dashboard!$F$15,MIN(Dashboard!$F$10,B246+D246),0)</x:f>
      </x:c>
      <x:c r="F246" s="32" t="e">
        <x:f>IF(A246&lt;=Dashboard!$F$15,MAX(0,B246-MAX(0,E246-D246)),0)</x:f>
      </x:c>
      <x:c r="G246" s="32" t="e">
        <x:f>IF(A246=1,D246,G245+D246)</x:f>
      </x:c>
      <x:c r="H246" s="32"/>
      <x:c r="I246" s="32" t="e">
        <x:f>IF(A246=1,Dashboard!$F$14,M245)</x:f>
      </x:c>
      <x:c r="J246" s="32" t="e">
        <x:f>IF(A246&lt;=Dashboard!$F$17,MIN(I246,$B$5),0)</x:f>
      </x:c>
      <x:c r="K246" s="32" t="e">
        <x:f>IF(A246&lt;=Dashboard!$F$17,MAX(0,I246-J246)*Dashboard!$F$6,0)</x:f>
      </x:c>
      <x:c r="L246" s="32" t="e">
        <x:f>IF(A246&lt;=Dashboard!$F$17,MIN(Dashboard!$F$10,MAX(0,I246-J246)+K246),0)</x:f>
      </x:c>
      <x:c r="M246" s="32" t="e">
        <x:f>IF(A246&lt;=Dashboard!$F$17,MAX(0,I246-J246-MAX(0,L246-K246)),0)</x:f>
      </x:c>
      <x:c r="N246" s="32" t="e">
        <x:f>IF(A246=1,K246,N245+K246)</x:f>
      </x:c>
      <x:c r="O246" s="32"/>
      <x:c r="P246" s="32" t="e">
        <x:f>IF(A246=1,Dashboard!$F$14,T245)</x:f>
      </x:c>
      <x:c r="Q246" s="32" t="e">
        <x:f>IF(A246&lt;=Dashboard!$F$17,MIN(P246,$B$6*52/12),0)</x:f>
      </x:c>
      <x:c r="R246" s="32" t="e">
        <x:f>IF(A246&lt;=Dashboard!$F$17,MAX(0,P246-Q246)*Dashboard!$F$6,0)</x:f>
      </x:c>
      <x:c r="S246" s="32" t="e">
        <x:f>IF(A246&lt;=Dashboard!$F$17,MIN(Dashboard!$F$10,MAX(0,P246-Q246)+R246),0)</x:f>
      </x:c>
      <x:c r="T246" s="32" t="e">
        <x:f>IF(A246&lt;=Dashboard!$F$17,MAX(0,P246-Q246-MAX(0,S246-R246)),0)</x:f>
      </x:c>
      <x:c r="U246" s="32" t="e">
        <x:f>IF(A246=1,R246,U245+R246)</x:f>
      </x:c>
      <x:c r="V246" s="32"/>
      <x:c r="W246" s="32" t="e">
        <x:f>IF(A246=1,Dashboard!$F$14,AA245)</x:f>
      </x:c>
      <x:c r="X246" s="32" t="e">
        <x:f>IF(AND(A246&lt;=Dashboard!$F$17,MOD(A246-1,12)=0),MIN(W246,$B$7),0)</x:f>
      </x:c>
      <x:c r="Y246" s="32" t="e">
        <x:f>IF(A246&lt;=Dashboard!$F$17,MAX(0,W246-X246)*Dashboard!$F$6,0)</x:f>
      </x:c>
      <x:c r="Z246" s="32" t="e">
        <x:f>IF(A246&lt;=Dashboard!$F$17,MIN(Dashboard!$F$10,MAX(0,W246-X246)+Y246),0)</x:f>
      </x:c>
      <x:c r="AA246" s="32" t="e">
        <x:f>IF(A246&lt;=Dashboard!$F$17,MAX(0,W246-X246-MAX(0,Z246-Y246)),0)</x:f>
      </x:c>
      <x:c r="AB246" s="32" t="e">
        <x:f>IF(A246=1,Y246,AB245+Y246)</x:f>
      </x:c>
      <x:c r="AC246" s="32"/>
      <x:c r="AD246" s="32" t="e">
        <x:f>IF(A246=1,MAX(0,Dashboard!$F$14-$B$8),AG245)</x:f>
      </x:c>
      <x:c r="AE246" s="32" t="n">
        <x:f>0</x:f>
        <x:v>0</x:v>
      </x:c>
      <x:c r="AF246" s="32" t="e">
        <x:f>IF(A246&lt;=Dashboard!$F$17,AD246*Dashboard!$F$6,0)</x:f>
      </x:c>
      <x:c r="AG246" s="32" t="e">
        <x:f>IF(A246&lt;=Dashboard!$F$17,MIN(Dashboard!$F$10,AD246+AF246),0)</x:f>
      </x:c>
      <x:c r="AH246" s="32" t="e">
        <x:f>IF(A246&lt;=Dashboard!$F$17,MAX(0,AD246-MAX(0,AG246-AF246)),0)</x:f>
      </x:c>
      <x:c r="AI246" s="32" t="e">
        <x:f>IF(A246=1,AF246,AI245+AF246)</x:f>
      </x:c>
      <x:c r="AJ246" s="33"/>
      <x:c r="AK246" s="33"/>
      <x:c r="AL246" s="33"/>
      <x:c r="AM246" s="33"/>
    </x:row>
    <x:row r="247">
      <x:c r="A247" s="33" t="n">
        <x:v>235</x:v>
      </x:c>
      <x:c r="B247" s="32" t="e">
        <x:f>IF(A247=1,Dashboard!$F$14,F246)</x:f>
      </x:c>
      <x:c r="C247" s="32" t="n">
        <x:f>0</x:f>
        <x:v>0</x:v>
      </x:c>
      <x:c r="D247" s="32" t="e">
        <x:f>IF(A247&lt;=Dashboard!$F$15,B247*Dashboard!$F$6,0)</x:f>
      </x:c>
      <x:c r="E247" s="32" t="e">
        <x:f>IF(A247&lt;=Dashboard!$F$15,MIN(Dashboard!$F$10,B247+D247),0)</x:f>
      </x:c>
      <x:c r="F247" s="32" t="e">
        <x:f>IF(A247&lt;=Dashboard!$F$15,MAX(0,B247-MAX(0,E247-D247)),0)</x:f>
      </x:c>
      <x:c r="G247" s="32" t="e">
        <x:f>IF(A247=1,D247,G246+D247)</x:f>
      </x:c>
      <x:c r="H247" s="32"/>
      <x:c r="I247" s="32" t="e">
        <x:f>IF(A247=1,Dashboard!$F$14,M246)</x:f>
      </x:c>
      <x:c r="J247" s="32" t="e">
        <x:f>IF(A247&lt;=Dashboard!$F$17,MIN(I247,$B$5),0)</x:f>
      </x:c>
      <x:c r="K247" s="32" t="e">
        <x:f>IF(A247&lt;=Dashboard!$F$17,MAX(0,I247-J247)*Dashboard!$F$6,0)</x:f>
      </x:c>
      <x:c r="L247" s="32" t="e">
        <x:f>IF(A247&lt;=Dashboard!$F$17,MIN(Dashboard!$F$10,MAX(0,I247-J247)+K247),0)</x:f>
      </x:c>
      <x:c r="M247" s="32" t="e">
        <x:f>IF(A247&lt;=Dashboard!$F$17,MAX(0,I247-J247-MAX(0,L247-K247)),0)</x:f>
      </x:c>
      <x:c r="N247" s="32" t="e">
        <x:f>IF(A247=1,K247,N246+K247)</x:f>
      </x:c>
      <x:c r="O247" s="32"/>
      <x:c r="P247" s="32" t="e">
        <x:f>IF(A247=1,Dashboard!$F$14,T246)</x:f>
      </x:c>
      <x:c r="Q247" s="32" t="e">
        <x:f>IF(A247&lt;=Dashboard!$F$17,MIN(P247,$B$6*52/12),0)</x:f>
      </x:c>
      <x:c r="R247" s="32" t="e">
        <x:f>IF(A247&lt;=Dashboard!$F$17,MAX(0,P247-Q247)*Dashboard!$F$6,0)</x:f>
      </x:c>
      <x:c r="S247" s="32" t="e">
        <x:f>IF(A247&lt;=Dashboard!$F$17,MIN(Dashboard!$F$10,MAX(0,P247-Q247)+R247),0)</x:f>
      </x:c>
      <x:c r="T247" s="32" t="e">
        <x:f>IF(A247&lt;=Dashboard!$F$17,MAX(0,P247-Q247-MAX(0,S247-R247)),0)</x:f>
      </x:c>
      <x:c r="U247" s="32" t="e">
        <x:f>IF(A247=1,R247,U246+R247)</x:f>
      </x:c>
      <x:c r="V247" s="32"/>
      <x:c r="W247" s="32" t="e">
        <x:f>IF(A247=1,Dashboard!$F$14,AA246)</x:f>
      </x:c>
      <x:c r="X247" s="32" t="e">
        <x:f>IF(AND(A247&lt;=Dashboard!$F$17,MOD(A247-1,12)=0),MIN(W247,$B$7),0)</x:f>
      </x:c>
      <x:c r="Y247" s="32" t="e">
        <x:f>IF(A247&lt;=Dashboard!$F$17,MAX(0,W247-X247)*Dashboard!$F$6,0)</x:f>
      </x:c>
      <x:c r="Z247" s="32" t="e">
        <x:f>IF(A247&lt;=Dashboard!$F$17,MIN(Dashboard!$F$10,MAX(0,W247-X247)+Y247),0)</x:f>
      </x:c>
      <x:c r="AA247" s="32" t="e">
        <x:f>IF(A247&lt;=Dashboard!$F$17,MAX(0,W247-X247-MAX(0,Z247-Y247)),0)</x:f>
      </x:c>
      <x:c r="AB247" s="32" t="e">
        <x:f>IF(A247=1,Y247,AB246+Y247)</x:f>
      </x:c>
      <x:c r="AC247" s="32"/>
      <x:c r="AD247" s="32" t="e">
        <x:f>IF(A247=1,MAX(0,Dashboard!$F$14-$B$8),AG246)</x:f>
      </x:c>
      <x:c r="AE247" s="32" t="n">
        <x:f>0</x:f>
        <x:v>0</x:v>
      </x:c>
      <x:c r="AF247" s="32" t="e">
        <x:f>IF(A247&lt;=Dashboard!$F$17,AD247*Dashboard!$F$6,0)</x:f>
      </x:c>
      <x:c r="AG247" s="32" t="e">
        <x:f>IF(A247&lt;=Dashboard!$F$17,MIN(Dashboard!$F$10,AD247+AF247),0)</x:f>
      </x:c>
      <x:c r="AH247" s="32" t="e">
        <x:f>IF(A247&lt;=Dashboard!$F$17,MAX(0,AD247-MAX(0,AG247-AF247)),0)</x:f>
      </x:c>
      <x:c r="AI247" s="32" t="e">
        <x:f>IF(A247=1,AF247,AI246+AF247)</x:f>
      </x:c>
      <x:c r="AJ247" s="33"/>
      <x:c r="AK247" s="33"/>
      <x:c r="AL247" s="33"/>
      <x:c r="AM247" s="33"/>
    </x:row>
    <x:row r="248">
      <x:c r="A248" s="33" t="n">
        <x:v>236</x:v>
      </x:c>
      <x:c r="B248" s="32" t="e">
        <x:f>IF(A248=1,Dashboard!$F$14,F247)</x:f>
      </x:c>
      <x:c r="C248" s="32" t="n">
        <x:f>0</x:f>
        <x:v>0</x:v>
      </x:c>
      <x:c r="D248" s="32" t="e">
        <x:f>IF(A248&lt;=Dashboard!$F$15,B248*Dashboard!$F$6,0)</x:f>
      </x:c>
      <x:c r="E248" s="32" t="e">
        <x:f>IF(A248&lt;=Dashboard!$F$15,MIN(Dashboard!$F$10,B248+D248),0)</x:f>
      </x:c>
      <x:c r="F248" s="32" t="e">
        <x:f>IF(A248&lt;=Dashboard!$F$15,MAX(0,B248-MAX(0,E248-D248)),0)</x:f>
      </x:c>
      <x:c r="G248" s="32" t="e">
        <x:f>IF(A248=1,D248,G247+D248)</x:f>
      </x:c>
      <x:c r="H248" s="32"/>
      <x:c r="I248" s="32" t="e">
        <x:f>IF(A248=1,Dashboard!$F$14,M247)</x:f>
      </x:c>
      <x:c r="J248" s="32" t="e">
        <x:f>IF(A248&lt;=Dashboard!$F$17,MIN(I248,$B$5),0)</x:f>
      </x:c>
      <x:c r="K248" s="32" t="e">
        <x:f>IF(A248&lt;=Dashboard!$F$17,MAX(0,I248-J248)*Dashboard!$F$6,0)</x:f>
      </x:c>
      <x:c r="L248" s="32" t="e">
        <x:f>IF(A248&lt;=Dashboard!$F$17,MIN(Dashboard!$F$10,MAX(0,I248-J248)+K248),0)</x:f>
      </x:c>
      <x:c r="M248" s="32" t="e">
        <x:f>IF(A248&lt;=Dashboard!$F$17,MAX(0,I248-J248-MAX(0,L248-K248)),0)</x:f>
      </x:c>
      <x:c r="N248" s="32" t="e">
        <x:f>IF(A248=1,K248,N247+K248)</x:f>
      </x:c>
      <x:c r="O248" s="32"/>
      <x:c r="P248" s="32" t="e">
        <x:f>IF(A248=1,Dashboard!$F$14,T247)</x:f>
      </x:c>
      <x:c r="Q248" s="32" t="e">
        <x:f>IF(A248&lt;=Dashboard!$F$17,MIN(P248,$B$6*52/12),0)</x:f>
      </x:c>
      <x:c r="R248" s="32" t="e">
        <x:f>IF(A248&lt;=Dashboard!$F$17,MAX(0,P248-Q248)*Dashboard!$F$6,0)</x:f>
      </x:c>
      <x:c r="S248" s="32" t="e">
        <x:f>IF(A248&lt;=Dashboard!$F$17,MIN(Dashboard!$F$10,MAX(0,P248-Q248)+R248),0)</x:f>
      </x:c>
      <x:c r="T248" s="32" t="e">
        <x:f>IF(A248&lt;=Dashboard!$F$17,MAX(0,P248-Q248-MAX(0,S248-R248)),0)</x:f>
      </x:c>
      <x:c r="U248" s="32" t="e">
        <x:f>IF(A248=1,R248,U247+R248)</x:f>
      </x:c>
      <x:c r="V248" s="32"/>
      <x:c r="W248" s="32" t="e">
        <x:f>IF(A248=1,Dashboard!$F$14,AA247)</x:f>
      </x:c>
      <x:c r="X248" s="32" t="e">
        <x:f>IF(AND(A248&lt;=Dashboard!$F$17,MOD(A248-1,12)=0),MIN(W248,$B$7),0)</x:f>
      </x:c>
      <x:c r="Y248" s="32" t="e">
        <x:f>IF(A248&lt;=Dashboard!$F$17,MAX(0,W248-X248)*Dashboard!$F$6,0)</x:f>
      </x:c>
      <x:c r="Z248" s="32" t="e">
        <x:f>IF(A248&lt;=Dashboard!$F$17,MIN(Dashboard!$F$10,MAX(0,W248-X248)+Y248),0)</x:f>
      </x:c>
      <x:c r="AA248" s="32" t="e">
        <x:f>IF(A248&lt;=Dashboard!$F$17,MAX(0,W248-X248-MAX(0,Z248-Y248)),0)</x:f>
      </x:c>
      <x:c r="AB248" s="32" t="e">
        <x:f>IF(A248=1,Y248,AB247+Y248)</x:f>
      </x:c>
      <x:c r="AC248" s="32"/>
      <x:c r="AD248" s="32" t="e">
        <x:f>IF(A248=1,MAX(0,Dashboard!$F$14-$B$8),AG247)</x:f>
      </x:c>
      <x:c r="AE248" s="32" t="n">
        <x:f>0</x:f>
        <x:v>0</x:v>
      </x:c>
      <x:c r="AF248" s="32" t="e">
        <x:f>IF(A248&lt;=Dashboard!$F$17,AD248*Dashboard!$F$6,0)</x:f>
      </x:c>
      <x:c r="AG248" s="32" t="e">
        <x:f>IF(A248&lt;=Dashboard!$F$17,MIN(Dashboard!$F$10,AD248+AF248),0)</x:f>
      </x:c>
      <x:c r="AH248" s="32" t="e">
        <x:f>IF(A248&lt;=Dashboard!$F$17,MAX(0,AD248-MAX(0,AG248-AF248)),0)</x:f>
      </x:c>
      <x:c r="AI248" s="32" t="e">
        <x:f>IF(A248=1,AF248,AI247+AF248)</x:f>
      </x:c>
      <x:c r="AJ248" s="33"/>
      <x:c r="AK248" s="33"/>
      <x:c r="AL248" s="33"/>
      <x:c r="AM248" s="33"/>
    </x:row>
    <x:row r="249">
      <x:c r="A249" s="33" t="n">
        <x:v>237</x:v>
      </x:c>
      <x:c r="B249" s="32" t="e">
        <x:f>IF(A249=1,Dashboard!$F$14,F248)</x:f>
      </x:c>
      <x:c r="C249" s="32" t="n">
        <x:f>0</x:f>
        <x:v>0</x:v>
      </x:c>
      <x:c r="D249" s="32" t="e">
        <x:f>IF(A249&lt;=Dashboard!$F$15,B249*Dashboard!$F$6,0)</x:f>
      </x:c>
      <x:c r="E249" s="32" t="e">
        <x:f>IF(A249&lt;=Dashboard!$F$15,MIN(Dashboard!$F$10,B249+D249),0)</x:f>
      </x:c>
      <x:c r="F249" s="32" t="e">
        <x:f>IF(A249&lt;=Dashboard!$F$15,MAX(0,B249-MAX(0,E249-D249)),0)</x:f>
      </x:c>
      <x:c r="G249" s="32" t="e">
        <x:f>IF(A249=1,D249,G248+D249)</x:f>
      </x:c>
      <x:c r="H249" s="32"/>
      <x:c r="I249" s="32" t="e">
        <x:f>IF(A249=1,Dashboard!$F$14,M248)</x:f>
      </x:c>
      <x:c r="J249" s="32" t="e">
        <x:f>IF(A249&lt;=Dashboard!$F$17,MIN(I249,$B$5),0)</x:f>
      </x:c>
      <x:c r="K249" s="32" t="e">
        <x:f>IF(A249&lt;=Dashboard!$F$17,MAX(0,I249-J249)*Dashboard!$F$6,0)</x:f>
      </x:c>
      <x:c r="L249" s="32" t="e">
        <x:f>IF(A249&lt;=Dashboard!$F$17,MIN(Dashboard!$F$10,MAX(0,I249-J249)+K249),0)</x:f>
      </x:c>
      <x:c r="M249" s="32" t="e">
        <x:f>IF(A249&lt;=Dashboard!$F$17,MAX(0,I249-J249-MAX(0,L249-K249)),0)</x:f>
      </x:c>
      <x:c r="N249" s="32" t="e">
        <x:f>IF(A249=1,K249,N248+K249)</x:f>
      </x:c>
      <x:c r="O249" s="32"/>
      <x:c r="P249" s="32" t="e">
        <x:f>IF(A249=1,Dashboard!$F$14,T248)</x:f>
      </x:c>
      <x:c r="Q249" s="32" t="e">
        <x:f>IF(A249&lt;=Dashboard!$F$17,MIN(P249,$B$6*52/12),0)</x:f>
      </x:c>
      <x:c r="R249" s="32" t="e">
        <x:f>IF(A249&lt;=Dashboard!$F$17,MAX(0,P249-Q249)*Dashboard!$F$6,0)</x:f>
      </x:c>
      <x:c r="S249" s="32" t="e">
        <x:f>IF(A249&lt;=Dashboard!$F$17,MIN(Dashboard!$F$10,MAX(0,P249-Q249)+R249),0)</x:f>
      </x:c>
      <x:c r="T249" s="32" t="e">
        <x:f>IF(A249&lt;=Dashboard!$F$17,MAX(0,P249-Q249-MAX(0,S249-R249)),0)</x:f>
      </x:c>
      <x:c r="U249" s="32" t="e">
        <x:f>IF(A249=1,R249,U248+R249)</x:f>
      </x:c>
      <x:c r="V249" s="32"/>
      <x:c r="W249" s="32" t="e">
        <x:f>IF(A249=1,Dashboard!$F$14,AA248)</x:f>
      </x:c>
      <x:c r="X249" s="32" t="e">
        <x:f>IF(AND(A249&lt;=Dashboard!$F$17,MOD(A249-1,12)=0),MIN(W249,$B$7),0)</x:f>
      </x:c>
      <x:c r="Y249" s="32" t="e">
        <x:f>IF(A249&lt;=Dashboard!$F$17,MAX(0,W249-X249)*Dashboard!$F$6,0)</x:f>
      </x:c>
      <x:c r="Z249" s="32" t="e">
        <x:f>IF(A249&lt;=Dashboard!$F$17,MIN(Dashboard!$F$10,MAX(0,W249-X249)+Y249),0)</x:f>
      </x:c>
      <x:c r="AA249" s="32" t="e">
        <x:f>IF(A249&lt;=Dashboard!$F$17,MAX(0,W249-X249-MAX(0,Z249-Y249)),0)</x:f>
      </x:c>
      <x:c r="AB249" s="32" t="e">
        <x:f>IF(A249=1,Y249,AB248+Y249)</x:f>
      </x:c>
      <x:c r="AC249" s="32"/>
      <x:c r="AD249" s="32" t="e">
        <x:f>IF(A249=1,MAX(0,Dashboard!$F$14-$B$8),AG248)</x:f>
      </x:c>
      <x:c r="AE249" s="32" t="n">
        <x:f>0</x:f>
        <x:v>0</x:v>
      </x:c>
      <x:c r="AF249" s="32" t="e">
        <x:f>IF(A249&lt;=Dashboard!$F$17,AD249*Dashboard!$F$6,0)</x:f>
      </x:c>
      <x:c r="AG249" s="32" t="e">
        <x:f>IF(A249&lt;=Dashboard!$F$17,MIN(Dashboard!$F$10,AD249+AF249),0)</x:f>
      </x:c>
      <x:c r="AH249" s="32" t="e">
        <x:f>IF(A249&lt;=Dashboard!$F$17,MAX(0,AD249-MAX(0,AG249-AF249)),0)</x:f>
      </x:c>
      <x:c r="AI249" s="32" t="e">
        <x:f>IF(A249=1,AF249,AI248+AF249)</x:f>
      </x:c>
      <x:c r="AJ249" s="33"/>
      <x:c r="AK249" s="33"/>
      <x:c r="AL249" s="33"/>
      <x:c r="AM249" s="33"/>
    </x:row>
    <x:row r="250">
      <x:c r="A250" s="33" t="n">
        <x:v>238</x:v>
      </x:c>
      <x:c r="B250" s="32" t="e">
        <x:f>IF(A250=1,Dashboard!$F$14,F249)</x:f>
      </x:c>
      <x:c r="C250" s="32" t="n">
        <x:f>0</x:f>
        <x:v>0</x:v>
      </x:c>
      <x:c r="D250" s="32" t="e">
        <x:f>IF(A250&lt;=Dashboard!$F$15,B250*Dashboard!$F$6,0)</x:f>
      </x:c>
      <x:c r="E250" s="32" t="e">
        <x:f>IF(A250&lt;=Dashboard!$F$15,MIN(Dashboard!$F$10,B250+D250),0)</x:f>
      </x:c>
      <x:c r="F250" s="32" t="e">
        <x:f>IF(A250&lt;=Dashboard!$F$15,MAX(0,B250-MAX(0,E250-D250)),0)</x:f>
      </x:c>
      <x:c r="G250" s="32" t="e">
        <x:f>IF(A250=1,D250,G249+D250)</x:f>
      </x:c>
      <x:c r="H250" s="32"/>
      <x:c r="I250" s="32" t="e">
        <x:f>IF(A250=1,Dashboard!$F$14,M249)</x:f>
      </x:c>
      <x:c r="J250" s="32" t="e">
        <x:f>IF(A250&lt;=Dashboard!$F$17,MIN(I250,$B$5),0)</x:f>
      </x:c>
      <x:c r="K250" s="32" t="e">
        <x:f>IF(A250&lt;=Dashboard!$F$17,MAX(0,I250-J250)*Dashboard!$F$6,0)</x:f>
      </x:c>
      <x:c r="L250" s="32" t="e">
        <x:f>IF(A250&lt;=Dashboard!$F$17,MIN(Dashboard!$F$10,MAX(0,I250-J250)+K250),0)</x:f>
      </x:c>
      <x:c r="M250" s="32" t="e">
        <x:f>IF(A250&lt;=Dashboard!$F$17,MAX(0,I250-J250-MAX(0,L250-K250)),0)</x:f>
      </x:c>
      <x:c r="N250" s="32" t="e">
        <x:f>IF(A250=1,K250,N249+K250)</x:f>
      </x:c>
      <x:c r="O250" s="32"/>
      <x:c r="P250" s="32" t="e">
        <x:f>IF(A250=1,Dashboard!$F$14,T249)</x:f>
      </x:c>
      <x:c r="Q250" s="32" t="e">
        <x:f>IF(A250&lt;=Dashboard!$F$17,MIN(P250,$B$6*52/12),0)</x:f>
      </x:c>
      <x:c r="R250" s="32" t="e">
        <x:f>IF(A250&lt;=Dashboard!$F$17,MAX(0,P250-Q250)*Dashboard!$F$6,0)</x:f>
      </x:c>
      <x:c r="S250" s="32" t="e">
        <x:f>IF(A250&lt;=Dashboard!$F$17,MIN(Dashboard!$F$10,MAX(0,P250-Q250)+R250),0)</x:f>
      </x:c>
      <x:c r="T250" s="32" t="e">
        <x:f>IF(A250&lt;=Dashboard!$F$17,MAX(0,P250-Q250-MAX(0,S250-R250)),0)</x:f>
      </x:c>
      <x:c r="U250" s="32" t="e">
        <x:f>IF(A250=1,R250,U249+R250)</x:f>
      </x:c>
      <x:c r="V250" s="32"/>
      <x:c r="W250" s="32" t="e">
        <x:f>IF(A250=1,Dashboard!$F$14,AA249)</x:f>
      </x:c>
      <x:c r="X250" s="32" t="e">
        <x:f>IF(AND(A250&lt;=Dashboard!$F$17,MOD(A250-1,12)=0),MIN(W250,$B$7),0)</x:f>
      </x:c>
      <x:c r="Y250" s="32" t="e">
        <x:f>IF(A250&lt;=Dashboard!$F$17,MAX(0,W250-X250)*Dashboard!$F$6,0)</x:f>
      </x:c>
      <x:c r="Z250" s="32" t="e">
        <x:f>IF(A250&lt;=Dashboard!$F$17,MIN(Dashboard!$F$10,MAX(0,W250-X250)+Y250),0)</x:f>
      </x:c>
      <x:c r="AA250" s="32" t="e">
        <x:f>IF(A250&lt;=Dashboard!$F$17,MAX(0,W250-X250-MAX(0,Z250-Y250)),0)</x:f>
      </x:c>
      <x:c r="AB250" s="32" t="e">
        <x:f>IF(A250=1,Y250,AB249+Y250)</x:f>
      </x:c>
      <x:c r="AC250" s="32"/>
      <x:c r="AD250" s="32" t="e">
        <x:f>IF(A250=1,MAX(0,Dashboard!$F$14-$B$8),AG249)</x:f>
      </x:c>
      <x:c r="AE250" s="32" t="n">
        <x:f>0</x:f>
        <x:v>0</x:v>
      </x:c>
      <x:c r="AF250" s="32" t="e">
        <x:f>IF(A250&lt;=Dashboard!$F$17,AD250*Dashboard!$F$6,0)</x:f>
      </x:c>
      <x:c r="AG250" s="32" t="e">
        <x:f>IF(A250&lt;=Dashboard!$F$17,MIN(Dashboard!$F$10,AD250+AF250),0)</x:f>
      </x:c>
      <x:c r="AH250" s="32" t="e">
        <x:f>IF(A250&lt;=Dashboard!$F$17,MAX(0,AD250-MAX(0,AG250-AF250)),0)</x:f>
      </x:c>
      <x:c r="AI250" s="32" t="e">
        <x:f>IF(A250=1,AF250,AI249+AF250)</x:f>
      </x:c>
      <x:c r="AJ250" s="33"/>
      <x:c r="AK250" s="33"/>
      <x:c r="AL250" s="33"/>
      <x:c r="AM250" s="33"/>
    </x:row>
    <x:row r="251">
      <x:c r="A251" s="33" t="n">
        <x:v>239</x:v>
      </x:c>
      <x:c r="B251" s="32" t="e">
        <x:f>IF(A251=1,Dashboard!$F$14,F250)</x:f>
      </x:c>
      <x:c r="C251" s="32" t="n">
        <x:f>0</x:f>
        <x:v>0</x:v>
      </x:c>
      <x:c r="D251" s="32" t="e">
        <x:f>IF(A251&lt;=Dashboard!$F$15,B251*Dashboard!$F$6,0)</x:f>
      </x:c>
      <x:c r="E251" s="32" t="e">
        <x:f>IF(A251&lt;=Dashboard!$F$15,MIN(Dashboard!$F$10,B251+D251),0)</x:f>
      </x:c>
      <x:c r="F251" s="32" t="e">
        <x:f>IF(A251&lt;=Dashboard!$F$15,MAX(0,B251-MAX(0,E251-D251)),0)</x:f>
      </x:c>
      <x:c r="G251" s="32" t="e">
        <x:f>IF(A251=1,D251,G250+D251)</x:f>
      </x:c>
      <x:c r="H251" s="32"/>
      <x:c r="I251" s="32" t="e">
        <x:f>IF(A251=1,Dashboard!$F$14,M250)</x:f>
      </x:c>
      <x:c r="J251" s="32" t="e">
        <x:f>IF(A251&lt;=Dashboard!$F$17,MIN(I251,$B$5),0)</x:f>
      </x:c>
      <x:c r="K251" s="32" t="e">
        <x:f>IF(A251&lt;=Dashboard!$F$17,MAX(0,I251-J251)*Dashboard!$F$6,0)</x:f>
      </x:c>
      <x:c r="L251" s="32" t="e">
        <x:f>IF(A251&lt;=Dashboard!$F$17,MIN(Dashboard!$F$10,MAX(0,I251-J251)+K251),0)</x:f>
      </x:c>
      <x:c r="M251" s="32" t="e">
        <x:f>IF(A251&lt;=Dashboard!$F$17,MAX(0,I251-J251-MAX(0,L251-K251)),0)</x:f>
      </x:c>
      <x:c r="N251" s="32" t="e">
        <x:f>IF(A251=1,K251,N250+K251)</x:f>
      </x:c>
      <x:c r="O251" s="32"/>
      <x:c r="P251" s="32" t="e">
        <x:f>IF(A251=1,Dashboard!$F$14,T250)</x:f>
      </x:c>
      <x:c r="Q251" s="32" t="e">
        <x:f>IF(A251&lt;=Dashboard!$F$17,MIN(P251,$B$6*52/12),0)</x:f>
      </x:c>
      <x:c r="R251" s="32" t="e">
        <x:f>IF(A251&lt;=Dashboard!$F$17,MAX(0,P251-Q251)*Dashboard!$F$6,0)</x:f>
      </x:c>
      <x:c r="S251" s="32" t="e">
        <x:f>IF(A251&lt;=Dashboard!$F$17,MIN(Dashboard!$F$10,MAX(0,P251-Q251)+R251),0)</x:f>
      </x:c>
      <x:c r="T251" s="32" t="e">
        <x:f>IF(A251&lt;=Dashboard!$F$17,MAX(0,P251-Q251-MAX(0,S251-R251)),0)</x:f>
      </x:c>
      <x:c r="U251" s="32" t="e">
        <x:f>IF(A251=1,R251,U250+R251)</x:f>
      </x:c>
      <x:c r="V251" s="32"/>
      <x:c r="W251" s="32" t="e">
        <x:f>IF(A251=1,Dashboard!$F$14,AA250)</x:f>
      </x:c>
      <x:c r="X251" s="32" t="e">
        <x:f>IF(AND(A251&lt;=Dashboard!$F$17,MOD(A251-1,12)=0),MIN(W251,$B$7),0)</x:f>
      </x:c>
      <x:c r="Y251" s="32" t="e">
        <x:f>IF(A251&lt;=Dashboard!$F$17,MAX(0,W251-X251)*Dashboard!$F$6,0)</x:f>
      </x:c>
      <x:c r="Z251" s="32" t="e">
        <x:f>IF(A251&lt;=Dashboard!$F$17,MIN(Dashboard!$F$10,MAX(0,W251-X251)+Y251),0)</x:f>
      </x:c>
      <x:c r="AA251" s="32" t="e">
        <x:f>IF(A251&lt;=Dashboard!$F$17,MAX(0,W251-X251-MAX(0,Z251-Y251)),0)</x:f>
      </x:c>
      <x:c r="AB251" s="32" t="e">
        <x:f>IF(A251=1,Y251,AB250+Y251)</x:f>
      </x:c>
      <x:c r="AC251" s="32"/>
      <x:c r="AD251" s="32" t="e">
        <x:f>IF(A251=1,MAX(0,Dashboard!$F$14-$B$8),AG250)</x:f>
      </x:c>
      <x:c r="AE251" s="32" t="n">
        <x:f>0</x:f>
        <x:v>0</x:v>
      </x:c>
      <x:c r="AF251" s="32" t="e">
        <x:f>IF(A251&lt;=Dashboard!$F$17,AD251*Dashboard!$F$6,0)</x:f>
      </x:c>
      <x:c r="AG251" s="32" t="e">
        <x:f>IF(A251&lt;=Dashboard!$F$17,MIN(Dashboard!$F$10,AD251+AF251),0)</x:f>
      </x:c>
      <x:c r="AH251" s="32" t="e">
        <x:f>IF(A251&lt;=Dashboard!$F$17,MAX(0,AD251-MAX(0,AG251-AF251)),0)</x:f>
      </x:c>
      <x:c r="AI251" s="32" t="e">
        <x:f>IF(A251=1,AF251,AI250+AF251)</x:f>
      </x:c>
      <x:c r="AJ251" s="33"/>
      <x:c r="AK251" s="33"/>
      <x:c r="AL251" s="33"/>
      <x:c r="AM251" s="33"/>
    </x:row>
    <x:row r="252">
      <x:c r="A252" s="33" t="n">
        <x:v>240</x:v>
      </x:c>
      <x:c r="B252" s="32" t="e">
        <x:f>IF(A252=1,Dashboard!$F$14,F251)</x:f>
      </x:c>
      <x:c r="C252" s="32" t="n">
        <x:f>0</x:f>
        <x:v>0</x:v>
      </x:c>
      <x:c r="D252" s="32" t="e">
        <x:f>IF(A252&lt;=Dashboard!$F$15,B252*Dashboard!$F$6,0)</x:f>
      </x:c>
      <x:c r="E252" s="32" t="e">
        <x:f>IF(A252&lt;=Dashboard!$F$15,MIN(Dashboard!$F$10,B252+D252),0)</x:f>
      </x:c>
      <x:c r="F252" s="32" t="e">
        <x:f>IF(A252&lt;=Dashboard!$F$15,MAX(0,B252-MAX(0,E252-D252)),0)</x:f>
      </x:c>
      <x:c r="G252" s="32" t="e">
        <x:f>IF(A252=1,D252,G251+D252)</x:f>
      </x:c>
      <x:c r="H252" s="32"/>
      <x:c r="I252" s="32" t="e">
        <x:f>IF(A252=1,Dashboard!$F$14,M251)</x:f>
      </x:c>
      <x:c r="J252" s="32" t="e">
        <x:f>IF(A252&lt;=Dashboard!$F$17,MIN(I252,$B$5),0)</x:f>
      </x:c>
      <x:c r="K252" s="32" t="e">
        <x:f>IF(A252&lt;=Dashboard!$F$17,MAX(0,I252-J252)*Dashboard!$F$6,0)</x:f>
      </x:c>
      <x:c r="L252" s="32" t="e">
        <x:f>IF(A252&lt;=Dashboard!$F$17,MIN(Dashboard!$F$10,MAX(0,I252-J252)+K252),0)</x:f>
      </x:c>
      <x:c r="M252" s="32" t="e">
        <x:f>IF(A252&lt;=Dashboard!$F$17,MAX(0,I252-J252-MAX(0,L252-K252)),0)</x:f>
      </x:c>
      <x:c r="N252" s="32" t="e">
        <x:f>IF(A252=1,K252,N251+K252)</x:f>
      </x:c>
      <x:c r="O252" s="32"/>
      <x:c r="P252" s="32" t="e">
        <x:f>IF(A252=1,Dashboard!$F$14,T251)</x:f>
      </x:c>
      <x:c r="Q252" s="32" t="e">
        <x:f>IF(A252&lt;=Dashboard!$F$17,MIN(P252,$B$6*52/12),0)</x:f>
      </x:c>
      <x:c r="R252" s="32" t="e">
        <x:f>IF(A252&lt;=Dashboard!$F$17,MAX(0,P252-Q252)*Dashboard!$F$6,0)</x:f>
      </x:c>
      <x:c r="S252" s="32" t="e">
        <x:f>IF(A252&lt;=Dashboard!$F$17,MIN(Dashboard!$F$10,MAX(0,P252-Q252)+R252),0)</x:f>
      </x:c>
      <x:c r="T252" s="32" t="e">
        <x:f>IF(A252&lt;=Dashboard!$F$17,MAX(0,P252-Q252-MAX(0,S252-R252)),0)</x:f>
      </x:c>
      <x:c r="U252" s="32" t="e">
        <x:f>IF(A252=1,R252,U251+R252)</x:f>
      </x:c>
      <x:c r="V252" s="32"/>
      <x:c r="W252" s="32" t="e">
        <x:f>IF(A252=1,Dashboard!$F$14,AA251)</x:f>
      </x:c>
      <x:c r="X252" s="32" t="e">
        <x:f>IF(AND(A252&lt;=Dashboard!$F$17,MOD(A252-1,12)=0),MIN(W252,$B$7),0)</x:f>
      </x:c>
      <x:c r="Y252" s="32" t="e">
        <x:f>IF(A252&lt;=Dashboard!$F$17,MAX(0,W252-X252)*Dashboard!$F$6,0)</x:f>
      </x:c>
      <x:c r="Z252" s="32" t="e">
        <x:f>IF(A252&lt;=Dashboard!$F$17,MIN(Dashboard!$F$10,MAX(0,W252-X252)+Y252),0)</x:f>
      </x:c>
      <x:c r="AA252" s="32" t="e">
        <x:f>IF(A252&lt;=Dashboard!$F$17,MAX(0,W252-X252-MAX(0,Z252-Y252)),0)</x:f>
      </x:c>
      <x:c r="AB252" s="32" t="e">
        <x:f>IF(A252=1,Y252,AB251+Y252)</x:f>
      </x:c>
      <x:c r="AC252" s="32"/>
      <x:c r="AD252" s="32" t="e">
        <x:f>IF(A252=1,MAX(0,Dashboard!$F$14-$B$8),AG251)</x:f>
      </x:c>
      <x:c r="AE252" s="32" t="n">
        <x:f>0</x:f>
        <x:v>0</x:v>
      </x:c>
      <x:c r="AF252" s="32" t="e">
        <x:f>IF(A252&lt;=Dashboard!$F$17,AD252*Dashboard!$F$6,0)</x:f>
      </x:c>
      <x:c r="AG252" s="32" t="e">
        <x:f>IF(A252&lt;=Dashboard!$F$17,MIN(Dashboard!$F$10,AD252+AF252),0)</x:f>
      </x:c>
      <x:c r="AH252" s="32" t="e">
        <x:f>IF(A252&lt;=Dashboard!$F$17,MAX(0,AD252-MAX(0,AG252-AF252)),0)</x:f>
      </x:c>
      <x:c r="AI252" s="32" t="e">
        <x:f>IF(A252=1,AF252,AI251+AF252)</x:f>
      </x:c>
      <x:c r="AJ252" s="33"/>
      <x:c r="AK252" s="33"/>
      <x:c r="AL252" s="33"/>
      <x:c r="AM252" s="33"/>
    </x:row>
    <x:row r="253">
      <x:c r="A253" s="33" t="n">
        <x:v>241</x:v>
      </x:c>
      <x:c r="B253" s="32" t="e">
        <x:f>IF(A253=1,Dashboard!$F$14,F252)</x:f>
      </x:c>
      <x:c r="C253" s="32" t="n">
        <x:f>0</x:f>
        <x:v>0</x:v>
      </x:c>
      <x:c r="D253" s="32" t="e">
        <x:f>IF(A253&lt;=Dashboard!$F$15,B253*Dashboard!$F$6,0)</x:f>
      </x:c>
      <x:c r="E253" s="32" t="e">
        <x:f>IF(A253&lt;=Dashboard!$F$15,MIN(Dashboard!$F$10,B253+D253),0)</x:f>
      </x:c>
      <x:c r="F253" s="32" t="e">
        <x:f>IF(A253&lt;=Dashboard!$F$15,MAX(0,B253-MAX(0,E253-D253)),0)</x:f>
      </x:c>
      <x:c r="G253" s="32" t="e">
        <x:f>IF(A253=1,D253,G252+D253)</x:f>
      </x:c>
      <x:c r="H253" s="32"/>
      <x:c r="I253" s="32" t="e">
        <x:f>IF(A253=1,Dashboard!$F$14,M252)</x:f>
      </x:c>
      <x:c r="J253" s="32" t="e">
        <x:f>IF(A253&lt;=Dashboard!$F$17,MIN(I253,$B$5),0)</x:f>
      </x:c>
      <x:c r="K253" s="32" t="e">
        <x:f>IF(A253&lt;=Dashboard!$F$17,MAX(0,I253-J253)*Dashboard!$F$6,0)</x:f>
      </x:c>
      <x:c r="L253" s="32" t="e">
        <x:f>IF(A253&lt;=Dashboard!$F$17,MIN(Dashboard!$F$10,MAX(0,I253-J253)+K253),0)</x:f>
      </x:c>
      <x:c r="M253" s="32" t="e">
        <x:f>IF(A253&lt;=Dashboard!$F$17,MAX(0,I253-J253-MAX(0,L253-K253)),0)</x:f>
      </x:c>
      <x:c r="N253" s="32" t="e">
        <x:f>IF(A253=1,K253,N252+K253)</x:f>
      </x:c>
      <x:c r="O253" s="32"/>
      <x:c r="P253" s="32" t="e">
        <x:f>IF(A253=1,Dashboard!$F$14,T252)</x:f>
      </x:c>
      <x:c r="Q253" s="32" t="e">
        <x:f>IF(A253&lt;=Dashboard!$F$17,MIN(P253,$B$6*52/12),0)</x:f>
      </x:c>
      <x:c r="R253" s="32" t="e">
        <x:f>IF(A253&lt;=Dashboard!$F$17,MAX(0,P253-Q253)*Dashboard!$F$6,0)</x:f>
      </x:c>
      <x:c r="S253" s="32" t="e">
        <x:f>IF(A253&lt;=Dashboard!$F$17,MIN(Dashboard!$F$10,MAX(0,P253-Q253)+R253),0)</x:f>
      </x:c>
      <x:c r="T253" s="32" t="e">
        <x:f>IF(A253&lt;=Dashboard!$F$17,MAX(0,P253-Q253-MAX(0,S253-R253)),0)</x:f>
      </x:c>
      <x:c r="U253" s="32" t="e">
        <x:f>IF(A253=1,R253,U252+R253)</x:f>
      </x:c>
      <x:c r="V253" s="32"/>
      <x:c r="W253" s="32" t="e">
        <x:f>IF(A253=1,Dashboard!$F$14,AA252)</x:f>
      </x:c>
      <x:c r="X253" s="32" t="e">
        <x:f>IF(AND(A253&lt;=Dashboard!$F$17,MOD(A253-1,12)=0),MIN(W253,$B$7),0)</x:f>
      </x:c>
      <x:c r="Y253" s="32" t="e">
        <x:f>IF(A253&lt;=Dashboard!$F$17,MAX(0,W253-X253)*Dashboard!$F$6,0)</x:f>
      </x:c>
      <x:c r="Z253" s="32" t="e">
        <x:f>IF(A253&lt;=Dashboard!$F$17,MIN(Dashboard!$F$10,MAX(0,W253-X253)+Y253),0)</x:f>
      </x:c>
      <x:c r="AA253" s="32" t="e">
        <x:f>IF(A253&lt;=Dashboard!$F$17,MAX(0,W253-X253-MAX(0,Z253-Y253)),0)</x:f>
      </x:c>
      <x:c r="AB253" s="32" t="e">
        <x:f>IF(A253=1,Y253,AB252+Y253)</x:f>
      </x:c>
      <x:c r="AC253" s="32"/>
      <x:c r="AD253" s="32" t="e">
        <x:f>IF(A253=1,MAX(0,Dashboard!$F$14-$B$8),AG252)</x:f>
      </x:c>
      <x:c r="AE253" s="32" t="n">
        <x:f>0</x:f>
        <x:v>0</x:v>
      </x:c>
      <x:c r="AF253" s="32" t="e">
        <x:f>IF(A253&lt;=Dashboard!$F$17,AD253*Dashboard!$F$6,0)</x:f>
      </x:c>
      <x:c r="AG253" s="32" t="e">
        <x:f>IF(A253&lt;=Dashboard!$F$17,MIN(Dashboard!$F$10,AD253+AF253),0)</x:f>
      </x:c>
      <x:c r="AH253" s="32" t="e">
        <x:f>IF(A253&lt;=Dashboard!$F$17,MAX(0,AD253-MAX(0,AG253-AF253)),0)</x:f>
      </x:c>
      <x:c r="AI253" s="32" t="e">
        <x:f>IF(A253=1,AF253,AI252+AF253)</x:f>
      </x:c>
      <x:c r="AJ253" s="33"/>
      <x:c r="AK253" s="33"/>
      <x:c r="AL253" s="33"/>
      <x:c r="AM253" s="33"/>
    </x:row>
    <x:row r="254">
      <x:c r="A254" s="33" t="n">
        <x:v>242</x:v>
      </x:c>
      <x:c r="B254" s="32" t="e">
        <x:f>IF(A254=1,Dashboard!$F$14,F253)</x:f>
      </x:c>
      <x:c r="C254" s="32" t="n">
        <x:f>0</x:f>
        <x:v>0</x:v>
      </x:c>
      <x:c r="D254" s="32" t="e">
        <x:f>IF(A254&lt;=Dashboard!$F$15,B254*Dashboard!$F$6,0)</x:f>
      </x:c>
      <x:c r="E254" s="32" t="e">
        <x:f>IF(A254&lt;=Dashboard!$F$15,MIN(Dashboard!$F$10,B254+D254),0)</x:f>
      </x:c>
      <x:c r="F254" s="32" t="e">
        <x:f>IF(A254&lt;=Dashboard!$F$15,MAX(0,B254-MAX(0,E254-D254)),0)</x:f>
      </x:c>
      <x:c r="G254" s="32" t="e">
        <x:f>IF(A254=1,D254,G253+D254)</x:f>
      </x:c>
      <x:c r="H254" s="32"/>
      <x:c r="I254" s="32" t="e">
        <x:f>IF(A254=1,Dashboard!$F$14,M253)</x:f>
      </x:c>
      <x:c r="J254" s="32" t="e">
        <x:f>IF(A254&lt;=Dashboard!$F$17,MIN(I254,$B$5),0)</x:f>
      </x:c>
      <x:c r="K254" s="32" t="e">
        <x:f>IF(A254&lt;=Dashboard!$F$17,MAX(0,I254-J254)*Dashboard!$F$6,0)</x:f>
      </x:c>
      <x:c r="L254" s="32" t="e">
        <x:f>IF(A254&lt;=Dashboard!$F$17,MIN(Dashboard!$F$10,MAX(0,I254-J254)+K254),0)</x:f>
      </x:c>
      <x:c r="M254" s="32" t="e">
        <x:f>IF(A254&lt;=Dashboard!$F$17,MAX(0,I254-J254-MAX(0,L254-K254)),0)</x:f>
      </x:c>
      <x:c r="N254" s="32" t="e">
        <x:f>IF(A254=1,K254,N253+K254)</x:f>
      </x:c>
      <x:c r="O254" s="32"/>
      <x:c r="P254" s="32" t="e">
        <x:f>IF(A254=1,Dashboard!$F$14,T253)</x:f>
      </x:c>
      <x:c r="Q254" s="32" t="e">
        <x:f>IF(A254&lt;=Dashboard!$F$17,MIN(P254,$B$6*52/12),0)</x:f>
      </x:c>
      <x:c r="R254" s="32" t="e">
        <x:f>IF(A254&lt;=Dashboard!$F$17,MAX(0,P254-Q254)*Dashboard!$F$6,0)</x:f>
      </x:c>
      <x:c r="S254" s="32" t="e">
        <x:f>IF(A254&lt;=Dashboard!$F$17,MIN(Dashboard!$F$10,MAX(0,P254-Q254)+R254),0)</x:f>
      </x:c>
      <x:c r="T254" s="32" t="e">
        <x:f>IF(A254&lt;=Dashboard!$F$17,MAX(0,P254-Q254-MAX(0,S254-R254)),0)</x:f>
      </x:c>
      <x:c r="U254" s="32" t="e">
        <x:f>IF(A254=1,R254,U253+R254)</x:f>
      </x:c>
      <x:c r="V254" s="32"/>
      <x:c r="W254" s="32" t="e">
        <x:f>IF(A254=1,Dashboard!$F$14,AA253)</x:f>
      </x:c>
      <x:c r="X254" s="32" t="e">
        <x:f>IF(AND(A254&lt;=Dashboard!$F$17,MOD(A254-1,12)=0),MIN(W254,$B$7),0)</x:f>
      </x:c>
      <x:c r="Y254" s="32" t="e">
        <x:f>IF(A254&lt;=Dashboard!$F$17,MAX(0,W254-X254)*Dashboard!$F$6,0)</x:f>
      </x:c>
      <x:c r="Z254" s="32" t="e">
        <x:f>IF(A254&lt;=Dashboard!$F$17,MIN(Dashboard!$F$10,MAX(0,W254-X254)+Y254),0)</x:f>
      </x:c>
      <x:c r="AA254" s="32" t="e">
        <x:f>IF(A254&lt;=Dashboard!$F$17,MAX(0,W254-X254-MAX(0,Z254-Y254)),0)</x:f>
      </x:c>
      <x:c r="AB254" s="32" t="e">
        <x:f>IF(A254=1,Y254,AB253+Y254)</x:f>
      </x:c>
      <x:c r="AC254" s="32"/>
      <x:c r="AD254" s="32" t="e">
        <x:f>IF(A254=1,MAX(0,Dashboard!$F$14-$B$8),AG253)</x:f>
      </x:c>
      <x:c r="AE254" s="32" t="n">
        <x:f>0</x:f>
        <x:v>0</x:v>
      </x:c>
      <x:c r="AF254" s="32" t="e">
        <x:f>IF(A254&lt;=Dashboard!$F$17,AD254*Dashboard!$F$6,0)</x:f>
      </x:c>
      <x:c r="AG254" s="32" t="e">
        <x:f>IF(A254&lt;=Dashboard!$F$17,MIN(Dashboard!$F$10,AD254+AF254),0)</x:f>
      </x:c>
      <x:c r="AH254" s="32" t="e">
        <x:f>IF(A254&lt;=Dashboard!$F$17,MAX(0,AD254-MAX(0,AG254-AF254)),0)</x:f>
      </x:c>
      <x:c r="AI254" s="32" t="e">
        <x:f>IF(A254=1,AF254,AI253+AF254)</x:f>
      </x:c>
      <x:c r="AJ254" s="33"/>
      <x:c r="AK254" s="33"/>
      <x:c r="AL254" s="33"/>
      <x:c r="AM254" s="33"/>
    </x:row>
    <x:row r="255">
      <x:c r="A255" s="33" t="n">
        <x:v>243</x:v>
      </x:c>
      <x:c r="B255" s="32" t="e">
        <x:f>IF(A255=1,Dashboard!$F$14,F254)</x:f>
      </x:c>
      <x:c r="C255" s="32" t="n">
        <x:f>0</x:f>
        <x:v>0</x:v>
      </x:c>
      <x:c r="D255" s="32" t="e">
        <x:f>IF(A255&lt;=Dashboard!$F$15,B255*Dashboard!$F$6,0)</x:f>
      </x:c>
      <x:c r="E255" s="32" t="e">
        <x:f>IF(A255&lt;=Dashboard!$F$15,MIN(Dashboard!$F$10,B255+D255),0)</x:f>
      </x:c>
      <x:c r="F255" s="32" t="e">
        <x:f>IF(A255&lt;=Dashboard!$F$15,MAX(0,B255-MAX(0,E255-D255)),0)</x:f>
      </x:c>
      <x:c r="G255" s="32" t="e">
        <x:f>IF(A255=1,D255,G254+D255)</x:f>
      </x:c>
      <x:c r="H255" s="32"/>
      <x:c r="I255" s="32" t="e">
        <x:f>IF(A255=1,Dashboard!$F$14,M254)</x:f>
      </x:c>
      <x:c r="J255" s="32" t="e">
        <x:f>IF(A255&lt;=Dashboard!$F$17,MIN(I255,$B$5),0)</x:f>
      </x:c>
      <x:c r="K255" s="32" t="e">
        <x:f>IF(A255&lt;=Dashboard!$F$17,MAX(0,I255-J255)*Dashboard!$F$6,0)</x:f>
      </x:c>
      <x:c r="L255" s="32" t="e">
        <x:f>IF(A255&lt;=Dashboard!$F$17,MIN(Dashboard!$F$10,MAX(0,I255-J255)+K255),0)</x:f>
      </x:c>
      <x:c r="M255" s="32" t="e">
        <x:f>IF(A255&lt;=Dashboard!$F$17,MAX(0,I255-J255-MAX(0,L255-K255)),0)</x:f>
      </x:c>
      <x:c r="N255" s="32" t="e">
        <x:f>IF(A255=1,K255,N254+K255)</x:f>
      </x:c>
      <x:c r="O255" s="32"/>
      <x:c r="P255" s="32" t="e">
        <x:f>IF(A255=1,Dashboard!$F$14,T254)</x:f>
      </x:c>
      <x:c r="Q255" s="32" t="e">
        <x:f>IF(A255&lt;=Dashboard!$F$17,MIN(P255,$B$6*52/12),0)</x:f>
      </x:c>
      <x:c r="R255" s="32" t="e">
        <x:f>IF(A255&lt;=Dashboard!$F$17,MAX(0,P255-Q255)*Dashboard!$F$6,0)</x:f>
      </x:c>
      <x:c r="S255" s="32" t="e">
        <x:f>IF(A255&lt;=Dashboard!$F$17,MIN(Dashboard!$F$10,MAX(0,P255-Q255)+R255),0)</x:f>
      </x:c>
      <x:c r="T255" s="32" t="e">
        <x:f>IF(A255&lt;=Dashboard!$F$17,MAX(0,P255-Q255-MAX(0,S255-R255)),0)</x:f>
      </x:c>
      <x:c r="U255" s="32" t="e">
        <x:f>IF(A255=1,R255,U254+R255)</x:f>
      </x:c>
      <x:c r="V255" s="32"/>
      <x:c r="W255" s="32" t="e">
        <x:f>IF(A255=1,Dashboard!$F$14,AA254)</x:f>
      </x:c>
      <x:c r="X255" s="32" t="e">
        <x:f>IF(AND(A255&lt;=Dashboard!$F$17,MOD(A255-1,12)=0),MIN(W255,$B$7),0)</x:f>
      </x:c>
      <x:c r="Y255" s="32" t="e">
        <x:f>IF(A255&lt;=Dashboard!$F$17,MAX(0,W255-X255)*Dashboard!$F$6,0)</x:f>
      </x:c>
      <x:c r="Z255" s="32" t="e">
        <x:f>IF(A255&lt;=Dashboard!$F$17,MIN(Dashboard!$F$10,MAX(0,W255-X255)+Y255),0)</x:f>
      </x:c>
      <x:c r="AA255" s="32" t="e">
        <x:f>IF(A255&lt;=Dashboard!$F$17,MAX(0,W255-X255-MAX(0,Z255-Y255)),0)</x:f>
      </x:c>
      <x:c r="AB255" s="32" t="e">
        <x:f>IF(A255=1,Y255,AB254+Y255)</x:f>
      </x:c>
      <x:c r="AC255" s="32"/>
      <x:c r="AD255" s="32" t="e">
        <x:f>IF(A255=1,MAX(0,Dashboard!$F$14-$B$8),AG254)</x:f>
      </x:c>
      <x:c r="AE255" s="32" t="n">
        <x:f>0</x:f>
        <x:v>0</x:v>
      </x:c>
      <x:c r="AF255" s="32" t="e">
        <x:f>IF(A255&lt;=Dashboard!$F$17,AD255*Dashboard!$F$6,0)</x:f>
      </x:c>
      <x:c r="AG255" s="32" t="e">
        <x:f>IF(A255&lt;=Dashboard!$F$17,MIN(Dashboard!$F$10,AD255+AF255),0)</x:f>
      </x:c>
      <x:c r="AH255" s="32" t="e">
        <x:f>IF(A255&lt;=Dashboard!$F$17,MAX(0,AD255-MAX(0,AG255-AF255)),0)</x:f>
      </x:c>
      <x:c r="AI255" s="32" t="e">
        <x:f>IF(A255=1,AF255,AI254+AF255)</x:f>
      </x:c>
      <x:c r="AJ255" s="33"/>
      <x:c r="AK255" s="33"/>
      <x:c r="AL255" s="33"/>
      <x:c r="AM255" s="33"/>
    </x:row>
    <x:row r="256">
      <x:c r="A256" s="33" t="n">
        <x:v>244</x:v>
      </x:c>
      <x:c r="B256" s="32" t="e">
        <x:f>IF(A256=1,Dashboard!$F$14,F255)</x:f>
      </x:c>
      <x:c r="C256" s="32" t="n">
        <x:f>0</x:f>
        <x:v>0</x:v>
      </x:c>
      <x:c r="D256" s="32" t="e">
        <x:f>IF(A256&lt;=Dashboard!$F$15,B256*Dashboard!$F$6,0)</x:f>
      </x:c>
      <x:c r="E256" s="32" t="e">
        <x:f>IF(A256&lt;=Dashboard!$F$15,MIN(Dashboard!$F$10,B256+D256),0)</x:f>
      </x:c>
      <x:c r="F256" s="32" t="e">
        <x:f>IF(A256&lt;=Dashboard!$F$15,MAX(0,B256-MAX(0,E256-D256)),0)</x:f>
      </x:c>
      <x:c r="G256" s="32" t="e">
        <x:f>IF(A256=1,D256,G255+D256)</x:f>
      </x:c>
      <x:c r="H256" s="32"/>
      <x:c r="I256" s="32" t="e">
        <x:f>IF(A256=1,Dashboard!$F$14,M255)</x:f>
      </x:c>
      <x:c r="J256" s="32" t="e">
        <x:f>IF(A256&lt;=Dashboard!$F$17,MIN(I256,$B$5),0)</x:f>
      </x:c>
      <x:c r="K256" s="32" t="e">
        <x:f>IF(A256&lt;=Dashboard!$F$17,MAX(0,I256-J256)*Dashboard!$F$6,0)</x:f>
      </x:c>
      <x:c r="L256" s="32" t="e">
        <x:f>IF(A256&lt;=Dashboard!$F$17,MIN(Dashboard!$F$10,MAX(0,I256-J256)+K256),0)</x:f>
      </x:c>
      <x:c r="M256" s="32" t="e">
        <x:f>IF(A256&lt;=Dashboard!$F$17,MAX(0,I256-J256-MAX(0,L256-K256)),0)</x:f>
      </x:c>
      <x:c r="N256" s="32" t="e">
        <x:f>IF(A256=1,K256,N255+K256)</x:f>
      </x:c>
      <x:c r="O256" s="32"/>
      <x:c r="P256" s="32" t="e">
        <x:f>IF(A256=1,Dashboard!$F$14,T255)</x:f>
      </x:c>
      <x:c r="Q256" s="32" t="e">
        <x:f>IF(A256&lt;=Dashboard!$F$17,MIN(P256,$B$6*52/12),0)</x:f>
      </x:c>
      <x:c r="R256" s="32" t="e">
        <x:f>IF(A256&lt;=Dashboard!$F$17,MAX(0,P256-Q256)*Dashboard!$F$6,0)</x:f>
      </x:c>
      <x:c r="S256" s="32" t="e">
        <x:f>IF(A256&lt;=Dashboard!$F$17,MIN(Dashboard!$F$10,MAX(0,P256-Q256)+R256),0)</x:f>
      </x:c>
      <x:c r="T256" s="32" t="e">
        <x:f>IF(A256&lt;=Dashboard!$F$17,MAX(0,P256-Q256-MAX(0,S256-R256)),0)</x:f>
      </x:c>
      <x:c r="U256" s="32" t="e">
        <x:f>IF(A256=1,R256,U255+R256)</x:f>
      </x:c>
      <x:c r="V256" s="32"/>
      <x:c r="W256" s="32" t="e">
        <x:f>IF(A256=1,Dashboard!$F$14,AA255)</x:f>
      </x:c>
      <x:c r="X256" s="32" t="e">
        <x:f>IF(AND(A256&lt;=Dashboard!$F$17,MOD(A256-1,12)=0),MIN(W256,$B$7),0)</x:f>
      </x:c>
      <x:c r="Y256" s="32" t="e">
        <x:f>IF(A256&lt;=Dashboard!$F$17,MAX(0,W256-X256)*Dashboard!$F$6,0)</x:f>
      </x:c>
      <x:c r="Z256" s="32" t="e">
        <x:f>IF(A256&lt;=Dashboard!$F$17,MIN(Dashboard!$F$10,MAX(0,W256-X256)+Y256),0)</x:f>
      </x:c>
      <x:c r="AA256" s="32" t="e">
        <x:f>IF(A256&lt;=Dashboard!$F$17,MAX(0,W256-X256-MAX(0,Z256-Y256)),0)</x:f>
      </x:c>
      <x:c r="AB256" s="32" t="e">
        <x:f>IF(A256=1,Y256,AB255+Y256)</x:f>
      </x:c>
      <x:c r="AC256" s="32"/>
      <x:c r="AD256" s="32" t="e">
        <x:f>IF(A256=1,MAX(0,Dashboard!$F$14-$B$8),AG255)</x:f>
      </x:c>
      <x:c r="AE256" s="32" t="n">
        <x:f>0</x:f>
        <x:v>0</x:v>
      </x:c>
      <x:c r="AF256" s="32" t="e">
        <x:f>IF(A256&lt;=Dashboard!$F$17,AD256*Dashboard!$F$6,0)</x:f>
      </x:c>
      <x:c r="AG256" s="32" t="e">
        <x:f>IF(A256&lt;=Dashboard!$F$17,MIN(Dashboard!$F$10,AD256+AF256),0)</x:f>
      </x:c>
      <x:c r="AH256" s="32" t="e">
        <x:f>IF(A256&lt;=Dashboard!$F$17,MAX(0,AD256-MAX(0,AG256-AF256)),0)</x:f>
      </x:c>
      <x:c r="AI256" s="32" t="e">
        <x:f>IF(A256=1,AF256,AI255+AF256)</x:f>
      </x:c>
      <x:c r="AJ256" s="33"/>
      <x:c r="AK256" s="33"/>
      <x:c r="AL256" s="33"/>
      <x:c r="AM256" s="33"/>
    </x:row>
    <x:row r="257">
      <x:c r="A257" s="33" t="n">
        <x:v>245</x:v>
      </x:c>
      <x:c r="B257" s="32" t="e">
        <x:f>IF(A257=1,Dashboard!$F$14,F256)</x:f>
      </x:c>
      <x:c r="C257" s="32" t="n">
        <x:f>0</x:f>
        <x:v>0</x:v>
      </x:c>
      <x:c r="D257" s="32" t="e">
        <x:f>IF(A257&lt;=Dashboard!$F$15,B257*Dashboard!$F$6,0)</x:f>
      </x:c>
      <x:c r="E257" s="32" t="e">
        <x:f>IF(A257&lt;=Dashboard!$F$15,MIN(Dashboard!$F$10,B257+D257),0)</x:f>
      </x:c>
      <x:c r="F257" s="32" t="e">
        <x:f>IF(A257&lt;=Dashboard!$F$15,MAX(0,B257-MAX(0,E257-D257)),0)</x:f>
      </x:c>
      <x:c r="G257" s="32" t="e">
        <x:f>IF(A257=1,D257,G256+D257)</x:f>
      </x:c>
      <x:c r="H257" s="32"/>
      <x:c r="I257" s="32" t="e">
        <x:f>IF(A257=1,Dashboard!$F$14,M256)</x:f>
      </x:c>
      <x:c r="J257" s="32" t="e">
        <x:f>IF(A257&lt;=Dashboard!$F$17,MIN(I257,$B$5),0)</x:f>
      </x:c>
      <x:c r="K257" s="32" t="e">
        <x:f>IF(A257&lt;=Dashboard!$F$17,MAX(0,I257-J257)*Dashboard!$F$6,0)</x:f>
      </x:c>
      <x:c r="L257" s="32" t="e">
        <x:f>IF(A257&lt;=Dashboard!$F$17,MIN(Dashboard!$F$10,MAX(0,I257-J257)+K257),0)</x:f>
      </x:c>
      <x:c r="M257" s="32" t="e">
        <x:f>IF(A257&lt;=Dashboard!$F$17,MAX(0,I257-J257-MAX(0,L257-K257)),0)</x:f>
      </x:c>
      <x:c r="N257" s="32" t="e">
        <x:f>IF(A257=1,K257,N256+K257)</x:f>
      </x:c>
      <x:c r="O257" s="32"/>
      <x:c r="P257" s="32" t="e">
        <x:f>IF(A257=1,Dashboard!$F$14,T256)</x:f>
      </x:c>
      <x:c r="Q257" s="32" t="e">
        <x:f>IF(A257&lt;=Dashboard!$F$17,MIN(P257,$B$6*52/12),0)</x:f>
      </x:c>
      <x:c r="R257" s="32" t="e">
        <x:f>IF(A257&lt;=Dashboard!$F$17,MAX(0,P257-Q257)*Dashboard!$F$6,0)</x:f>
      </x:c>
      <x:c r="S257" s="32" t="e">
        <x:f>IF(A257&lt;=Dashboard!$F$17,MIN(Dashboard!$F$10,MAX(0,P257-Q257)+R257),0)</x:f>
      </x:c>
      <x:c r="T257" s="32" t="e">
        <x:f>IF(A257&lt;=Dashboard!$F$17,MAX(0,P257-Q257-MAX(0,S257-R257)),0)</x:f>
      </x:c>
      <x:c r="U257" s="32" t="e">
        <x:f>IF(A257=1,R257,U256+R257)</x:f>
      </x:c>
      <x:c r="V257" s="32"/>
      <x:c r="W257" s="32" t="e">
        <x:f>IF(A257=1,Dashboard!$F$14,AA256)</x:f>
      </x:c>
      <x:c r="X257" s="32" t="e">
        <x:f>IF(AND(A257&lt;=Dashboard!$F$17,MOD(A257-1,12)=0),MIN(W257,$B$7),0)</x:f>
      </x:c>
      <x:c r="Y257" s="32" t="e">
        <x:f>IF(A257&lt;=Dashboard!$F$17,MAX(0,W257-X257)*Dashboard!$F$6,0)</x:f>
      </x:c>
      <x:c r="Z257" s="32" t="e">
        <x:f>IF(A257&lt;=Dashboard!$F$17,MIN(Dashboard!$F$10,MAX(0,W257-X257)+Y257),0)</x:f>
      </x:c>
      <x:c r="AA257" s="32" t="e">
        <x:f>IF(A257&lt;=Dashboard!$F$17,MAX(0,W257-X257-MAX(0,Z257-Y257)),0)</x:f>
      </x:c>
      <x:c r="AB257" s="32" t="e">
        <x:f>IF(A257=1,Y257,AB256+Y257)</x:f>
      </x:c>
      <x:c r="AC257" s="32"/>
      <x:c r="AD257" s="32" t="e">
        <x:f>IF(A257=1,MAX(0,Dashboard!$F$14-$B$8),AG256)</x:f>
      </x:c>
      <x:c r="AE257" s="32" t="n">
        <x:f>0</x:f>
        <x:v>0</x:v>
      </x:c>
      <x:c r="AF257" s="32" t="e">
        <x:f>IF(A257&lt;=Dashboard!$F$17,AD257*Dashboard!$F$6,0)</x:f>
      </x:c>
      <x:c r="AG257" s="32" t="e">
        <x:f>IF(A257&lt;=Dashboard!$F$17,MIN(Dashboard!$F$10,AD257+AF257),0)</x:f>
      </x:c>
      <x:c r="AH257" s="32" t="e">
        <x:f>IF(A257&lt;=Dashboard!$F$17,MAX(0,AD257-MAX(0,AG257-AF257)),0)</x:f>
      </x:c>
      <x:c r="AI257" s="32" t="e">
        <x:f>IF(A257=1,AF257,AI256+AF257)</x:f>
      </x:c>
      <x:c r="AJ257" s="33"/>
      <x:c r="AK257" s="33"/>
      <x:c r="AL257" s="33"/>
      <x:c r="AM257" s="33"/>
    </x:row>
    <x:row r="258">
      <x:c r="A258" s="33" t="n">
        <x:v>246</x:v>
      </x:c>
      <x:c r="B258" s="32" t="e">
        <x:f>IF(A258=1,Dashboard!$F$14,F257)</x:f>
      </x:c>
      <x:c r="C258" s="32" t="n">
        <x:f>0</x:f>
        <x:v>0</x:v>
      </x:c>
      <x:c r="D258" s="32" t="e">
        <x:f>IF(A258&lt;=Dashboard!$F$15,B258*Dashboard!$F$6,0)</x:f>
      </x:c>
      <x:c r="E258" s="32" t="e">
        <x:f>IF(A258&lt;=Dashboard!$F$15,MIN(Dashboard!$F$10,B258+D258),0)</x:f>
      </x:c>
      <x:c r="F258" s="32" t="e">
        <x:f>IF(A258&lt;=Dashboard!$F$15,MAX(0,B258-MAX(0,E258-D258)),0)</x:f>
      </x:c>
      <x:c r="G258" s="32" t="e">
        <x:f>IF(A258=1,D258,G257+D258)</x:f>
      </x:c>
      <x:c r="H258" s="32"/>
      <x:c r="I258" s="32" t="e">
        <x:f>IF(A258=1,Dashboard!$F$14,M257)</x:f>
      </x:c>
      <x:c r="J258" s="32" t="e">
        <x:f>IF(A258&lt;=Dashboard!$F$17,MIN(I258,$B$5),0)</x:f>
      </x:c>
      <x:c r="K258" s="32" t="e">
        <x:f>IF(A258&lt;=Dashboard!$F$17,MAX(0,I258-J258)*Dashboard!$F$6,0)</x:f>
      </x:c>
      <x:c r="L258" s="32" t="e">
        <x:f>IF(A258&lt;=Dashboard!$F$17,MIN(Dashboard!$F$10,MAX(0,I258-J258)+K258),0)</x:f>
      </x:c>
      <x:c r="M258" s="32" t="e">
        <x:f>IF(A258&lt;=Dashboard!$F$17,MAX(0,I258-J258-MAX(0,L258-K258)),0)</x:f>
      </x:c>
      <x:c r="N258" s="32" t="e">
        <x:f>IF(A258=1,K258,N257+K258)</x:f>
      </x:c>
      <x:c r="O258" s="32"/>
      <x:c r="P258" s="32" t="e">
        <x:f>IF(A258=1,Dashboard!$F$14,T257)</x:f>
      </x:c>
      <x:c r="Q258" s="32" t="e">
        <x:f>IF(A258&lt;=Dashboard!$F$17,MIN(P258,$B$6*52/12),0)</x:f>
      </x:c>
      <x:c r="R258" s="32" t="e">
        <x:f>IF(A258&lt;=Dashboard!$F$17,MAX(0,P258-Q258)*Dashboard!$F$6,0)</x:f>
      </x:c>
      <x:c r="S258" s="32" t="e">
        <x:f>IF(A258&lt;=Dashboard!$F$17,MIN(Dashboard!$F$10,MAX(0,P258-Q258)+R258),0)</x:f>
      </x:c>
      <x:c r="T258" s="32" t="e">
        <x:f>IF(A258&lt;=Dashboard!$F$17,MAX(0,P258-Q258-MAX(0,S258-R258)),0)</x:f>
      </x:c>
      <x:c r="U258" s="32" t="e">
        <x:f>IF(A258=1,R258,U257+R258)</x:f>
      </x:c>
      <x:c r="V258" s="32"/>
      <x:c r="W258" s="32" t="e">
        <x:f>IF(A258=1,Dashboard!$F$14,AA257)</x:f>
      </x:c>
      <x:c r="X258" s="32" t="e">
        <x:f>IF(AND(A258&lt;=Dashboard!$F$17,MOD(A258-1,12)=0),MIN(W258,$B$7),0)</x:f>
      </x:c>
      <x:c r="Y258" s="32" t="e">
        <x:f>IF(A258&lt;=Dashboard!$F$17,MAX(0,W258-X258)*Dashboard!$F$6,0)</x:f>
      </x:c>
      <x:c r="Z258" s="32" t="e">
        <x:f>IF(A258&lt;=Dashboard!$F$17,MIN(Dashboard!$F$10,MAX(0,W258-X258)+Y258),0)</x:f>
      </x:c>
      <x:c r="AA258" s="32" t="e">
        <x:f>IF(A258&lt;=Dashboard!$F$17,MAX(0,W258-X258-MAX(0,Z258-Y258)),0)</x:f>
      </x:c>
      <x:c r="AB258" s="32" t="e">
        <x:f>IF(A258=1,Y258,AB257+Y258)</x:f>
      </x:c>
      <x:c r="AC258" s="32"/>
      <x:c r="AD258" s="32" t="e">
        <x:f>IF(A258=1,MAX(0,Dashboard!$F$14-$B$8),AG257)</x:f>
      </x:c>
      <x:c r="AE258" s="32" t="n">
        <x:f>0</x:f>
        <x:v>0</x:v>
      </x:c>
      <x:c r="AF258" s="32" t="e">
        <x:f>IF(A258&lt;=Dashboard!$F$17,AD258*Dashboard!$F$6,0)</x:f>
      </x:c>
      <x:c r="AG258" s="32" t="e">
        <x:f>IF(A258&lt;=Dashboard!$F$17,MIN(Dashboard!$F$10,AD258+AF258),0)</x:f>
      </x:c>
      <x:c r="AH258" s="32" t="e">
        <x:f>IF(A258&lt;=Dashboard!$F$17,MAX(0,AD258-MAX(0,AG258-AF258)),0)</x:f>
      </x:c>
      <x:c r="AI258" s="32" t="e">
        <x:f>IF(A258=1,AF258,AI257+AF258)</x:f>
      </x:c>
      <x:c r="AJ258" s="33"/>
      <x:c r="AK258" s="33"/>
      <x:c r="AL258" s="33"/>
      <x:c r="AM258" s="33"/>
    </x:row>
    <x:row r="259">
      <x:c r="A259" s="33" t="n">
        <x:v>247</x:v>
      </x:c>
      <x:c r="B259" s="32" t="e">
        <x:f>IF(A259=1,Dashboard!$F$14,F258)</x:f>
      </x:c>
      <x:c r="C259" s="32" t="n">
        <x:f>0</x:f>
        <x:v>0</x:v>
      </x:c>
      <x:c r="D259" s="32" t="e">
        <x:f>IF(A259&lt;=Dashboard!$F$15,B259*Dashboard!$F$6,0)</x:f>
      </x:c>
      <x:c r="E259" s="32" t="e">
        <x:f>IF(A259&lt;=Dashboard!$F$15,MIN(Dashboard!$F$10,B259+D259),0)</x:f>
      </x:c>
      <x:c r="F259" s="32" t="e">
        <x:f>IF(A259&lt;=Dashboard!$F$15,MAX(0,B259-MAX(0,E259-D259)),0)</x:f>
      </x:c>
      <x:c r="G259" s="32" t="e">
        <x:f>IF(A259=1,D259,G258+D259)</x:f>
      </x:c>
      <x:c r="H259" s="32"/>
      <x:c r="I259" s="32" t="e">
        <x:f>IF(A259=1,Dashboard!$F$14,M258)</x:f>
      </x:c>
      <x:c r="J259" s="32" t="e">
        <x:f>IF(A259&lt;=Dashboard!$F$17,MIN(I259,$B$5),0)</x:f>
      </x:c>
      <x:c r="K259" s="32" t="e">
        <x:f>IF(A259&lt;=Dashboard!$F$17,MAX(0,I259-J259)*Dashboard!$F$6,0)</x:f>
      </x:c>
      <x:c r="L259" s="32" t="e">
        <x:f>IF(A259&lt;=Dashboard!$F$17,MIN(Dashboard!$F$10,MAX(0,I259-J259)+K259),0)</x:f>
      </x:c>
      <x:c r="M259" s="32" t="e">
        <x:f>IF(A259&lt;=Dashboard!$F$17,MAX(0,I259-J259-MAX(0,L259-K259)),0)</x:f>
      </x:c>
      <x:c r="N259" s="32" t="e">
        <x:f>IF(A259=1,K259,N258+K259)</x:f>
      </x:c>
      <x:c r="O259" s="32"/>
      <x:c r="P259" s="32" t="e">
        <x:f>IF(A259=1,Dashboard!$F$14,T258)</x:f>
      </x:c>
      <x:c r="Q259" s="32" t="e">
        <x:f>IF(A259&lt;=Dashboard!$F$17,MIN(P259,$B$6*52/12),0)</x:f>
      </x:c>
      <x:c r="R259" s="32" t="e">
        <x:f>IF(A259&lt;=Dashboard!$F$17,MAX(0,P259-Q259)*Dashboard!$F$6,0)</x:f>
      </x:c>
      <x:c r="S259" s="32" t="e">
        <x:f>IF(A259&lt;=Dashboard!$F$17,MIN(Dashboard!$F$10,MAX(0,P259-Q259)+R259),0)</x:f>
      </x:c>
      <x:c r="T259" s="32" t="e">
        <x:f>IF(A259&lt;=Dashboard!$F$17,MAX(0,P259-Q259-MAX(0,S259-R259)),0)</x:f>
      </x:c>
      <x:c r="U259" s="32" t="e">
        <x:f>IF(A259=1,R259,U258+R259)</x:f>
      </x:c>
      <x:c r="V259" s="32"/>
      <x:c r="W259" s="32" t="e">
        <x:f>IF(A259=1,Dashboard!$F$14,AA258)</x:f>
      </x:c>
      <x:c r="X259" s="32" t="e">
        <x:f>IF(AND(A259&lt;=Dashboard!$F$17,MOD(A259-1,12)=0),MIN(W259,$B$7),0)</x:f>
      </x:c>
      <x:c r="Y259" s="32" t="e">
        <x:f>IF(A259&lt;=Dashboard!$F$17,MAX(0,W259-X259)*Dashboard!$F$6,0)</x:f>
      </x:c>
      <x:c r="Z259" s="32" t="e">
        <x:f>IF(A259&lt;=Dashboard!$F$17,MIN(Dashboard!$F$10,MAX(0,W259-X259)+Y259),0)</x:f>
      </x:c>
      <x:c r="AA259" s="32" t="e">
        <x:f>IF(A259&lt;=Dashboard!$F$17,MAX(0,W259-X259-MAX(0,Z259-Y259)),0)</x:f>
      </x:c>
      <x:c r="AB259" s="32" t="e">
        <x:f>IF(A259=1,Y259,AB258+Y259)</x:f>
      </x:c>
      <x:c r="AC259" s="32"/>
      <x:c r="AD259" s="32" t="e">
        <x:f>IF(A259=1,MAX(0,Dashboard!$F$14-$B$8),AG258)</x:f>
      </x:c>
      <x:c r="AE259" s="32" t="n">
        <x:f>0</x:f>
        <x:v>0</x:v>
      </x:c>
      <x:c r="AF259" s="32" t="e">
        <x:f>IF(A259&lt;=Dashboard!$F$17,AD259*Dashboard!$F$6,0)</x:f>
      </x:c>
      <x:c r="AG259" s="32" t="e">
        <x:f>IF(A259&lt;=Dashboard!$F$17,MIN(Dashboard!$F$10,AD259+AF259),0)</x:f>
      </x:c>
      <x:c r="AH259" s="32" t="e">
        <x:f>IF(A259&lt;=Dashboard!$F$17,MAX(0,AD259-MAX(0,AG259-AF259)),0)</x:f>
      </x:c>
      <x:c r="AI259" s="32" t="e">
        <x:f>IF(A259=1,AF259,AI258+AF259)</x:f>
      </x:c>
      <x:c r="AJ259" s="33"/>
      <x:c r="AK259" s="33"/>
      <x:c r="AL259" s="33"/>
      <x:c r="AM259" s="33"/>
    </x:row>
    <x:row r="260">
      <x:c r="A260" s="33" t="n">
        <x:v>248</x:v>
      </x:c>
      <x:c r="B260" s="32" t="e">
        <x:f>IF(A260=1,Dashboard!$F$14,F259)</x:f>
      </x:c>
      <x:c r="C260" s="32" t="n">
        <x:f>0</x:f>
        <x:v>0</x:v>
      </x:c>
      <x:c r="D260" s="32" t="e">
        <x:f>IF(A260&lt;=Dashboard!$F$15,B260*Dashboard!$F$6,0)</x:f>
      </x:c>
      <x:c r="E260" s="32" t="e">
        <x:f>IF(A260&lt;=Dashboard!$F$15,MIN(Dashboard!$F$10,B260+D260),0)</x:f>
      </x:c>
      <x:c r="F260" s="32" t="e">
        <x:f>IF(A260&lt;=Dashboard!$F$15,MAX(0,B260-MAX(0,E260-D260)),0)</x:f>
      </x:c>
      <x:c r="G260" s="32" t="e">
        <x:f>IF(A260=1,D260,G259+D260)</x:f>
      </x:c>
      <x:c r="H260" s="32"/>
      <x:c r="I260" s="32" t="e">
        <x:f>IF(A260=1,Dashboard!$F$14,M259)</x:f>
      </x:c>
      <x:c r="J260" s="32" t="e">
        <x:f>IF(A260&lt;=Dashboard!$F$17,MIN(I260,$B$5),0)</x:f>
      </x:c>
      <x:c r="K260" s="32" t="e">
        <x:f>IF(A260&lt;=Dashboard!$F$17,MAX(0,I260-J260)*Dashboard!$F$6,0)</x:f>
      </x:c>
      <x:c r="L260" s="32" t="e">
        <x:f>IF(A260&lt;=Dashboard!$F$17,MIN(Dashboard!$F$10,MAX(0,I260-J260)+K260),0)</x:f>
      </x:c>
      <x:c r="M260" s="32" t="e">
        <x:f>IF(A260&lt;=Dashboard!$F$17,MAX(0,I260-J260-MAX(0,L260-K260)),0)</x:f>
      </x:c>
      <x:c r="N260" s="32" t="e">
        <x:f>IF(A260=1,K260,N259+K260)</x:f>
      </x:c>
      <x:c r="O260" s="32"/>
      <x:c r="P260" s="32" t="e">
        <x:f>IF(A260=1,Dashboard!$F$14,T259)</x:f>
      </x:c>
      <x:c r="Q260" s="32" t="e">
        <x:f>IF(A260&lt;=Dashboard!$F$17,MIN(P260,$B$6*52/12),0)</x:f>
      </x:c>
      <x:c r="R260" s="32" t="e">
        <x:f>IF(A260&lt;=Dashboard!$F$17,MAX(0,P260-Q260)*Dashboard!$F$6,0)</x:f>
      </x:c>
      <x:c r="S260" s="32" t="e">
        <x:f>IF(A260&lt;=Dashboard!$F$17,MIN(Dashboard!$F$10,MAX(0,P260-Q260)+R260),0)</x:f>
      </x:c>
      <x:c r="T260" s="32" t="e">
        <x:f>IF(A260&lt;=Dashboard!$F$17,MAX(0,P260-Q260-MAX(0,S260-R260)),0)</x:f>
      </x:c>
      <x:c r="U260" s="32" t="e">
        <x:f>IF(A260=1,R260,U259+R260)</x:f>
      </x:c>
      <x:c r="V260" s="32"/>
      <x:c r="W260" s="32" t="e">
        <x:f>IF(A260=1,Dashboard!$F$14,AA259)</x:f>
      </x:c>
      <x:c r="X260" s="32" t="e">
        <x:f>IF(AND(A260&lt;=Dashboard!$F$17,MOD(A260-1,12)=0),MIN(W260,$B$7),0)</x:f>
      </x:c>
      <x:c r="Y260" s="32" t="e">
        <x:f>IF(A260&lt;=Dashboard!$F$17,MAX(0,W260-X260)*Dashboard!$F$6,0)</x:f>
      </x:c>
      <x:c r="Z260" s="32" t="e">
        <x:f>IF(A260&lt;=Dashboard!$F$17,MIN(Dashboard!$F$10,MAX(0,W260-X260)+Y260),0)</x:f>
      </x:c>
      <x:c r="AA260" s="32" t="e">
        <x:f>IF(A260&lt;=Dashboard!$F$17,MAX(0,W260-X260-MAX(0,Z260-Y260)),0)</x:f>
      </x:c>
      <x:c r="AB260" s="32" t="e">
        <x:f>IF(A260=1,Y260,AB259+Y260)</x:f>
      </x:c>
      <x:c r="AC260" s="32"/>
      <x:c r="AD260" s="32" t="e">
        <x:f>IF(A260=1,MAX(0,Dashboard!$F$14-$B$8),AG259)</x:f>
      </x:c>
      <x:c r="AE260" s="32" t="n">
        <x:f>0</x:f>
        <x:v>0</x:v>
      </x:c>
      <x:c r="AF260" s="32" t="e">
        <x:f>IF(A260&lt;=Dashboard!$F$17,AD260*Dashboard!$F$6,0)</x:f>
      </x:c>
      <x:c r="AG260" s="32" t="e">
        <x:f>IF(A260&lt;=Dashboard!$F$17,MIN(Dashboard!$F$10,AD260+AF260),0)</x:f>
      </x:c>
      <x:c r="AH260" s="32" t="e">
        <x:f>IF(A260&lt;=Dashboard!$F$17,MAX(0,AD260-MAX(0,AG260-AF260)),0)</x:f>
      </x:c>
      <x:c r="AI260" s="32" t="e">
        <x:f>IF(A260=1,AF260,AI259+AF260)</x:f>
      </x:c>
      <x:c r="AJ260" s="33"/>
      <x:c r="AK260" s="33"/>
      <x:c r="AL260" s="33"/>
      <x:c r="AM260" s="33"/>
    </x:row>
    <x:row r="261">
      <x:c r="A261" s="33" t="n">
        <x:v>249</x:v>
      </x:c>
      <x:c r="B261" s="32" t="e">
        <x:f>IF(A261=1,Dashboard!$F$14,F260)</x:f>
      </x:c>
      <x:c r="C261" s="32" t="n">
        <x:f>0</x:f>
        <x:v>0</x:v>
      </x:c>
      <x:c r="D261" s="32" t="e">
        <x:f>IF(A261&lt;=Dashboard!$F$15,B261*Dashboard!$F$6,0)</x:f>
      </x:c>
      <x:c r="E261" s="32" t="e">
        <x:f>IF(A261&lt;=Dashboard!$F$15,MIN(Dashboard!$F$10,B261+D261),0)</x:f>
      </x:c>
      <x:c r="F261" s="32" t="e">
        <x:f>IF(A261&lt;=Dashboard!$F$15,MAX(0,B261-MAX(0,E261-D261)),0)</x:f>
      </x:c>
      <x:c r="G261" s="32" t="e">
        <x:f>IF(A261=1,D261,G260+D261)</x:f>
      </x:c>
      <x:c r="H261" s="32"/>
      <x:c r="I261" s="32" t="e">
        <x:f>IF(A261=1,Dashboard!$F$14,M260)</x:f>
      </x:c>
      <x:c r="J261" s="32" t="e">
        <x:f>IF(A261&lt;=Dashboard!$F$17,MIN(I261,$B$5),0)</x:f>
      </x:c>
      <x:c r="K261" s="32" t="e">
        <x:f>IF(A261&lt;=Dashboard!$F$17,MAX(0,I261-J261)*Dashboard!$F$6,0)</x:f>
      </x:c>
      <x:c r="L261" s="32" t="e">
        <x:f>IF(A261&lt;=Dashboard!$F$17,MIN(Dashboard!$F$10,MAX(0,I261-J261)+K261),0)</x:f>
      </x:c>
      <x:c r="M261" s="32" t="e">
        <x:f>IF(A261&lt;=Dashboard!$F$17,MAX(0,I261-J261-MAX(0,L261-K261)),0)</x:f>
      </x:c>
      <x:c r="N261" s="32" t="e">
        <x:f>IF(A261=1,K261,N260+K261)</x:f>
      </x:c>
      <x:c r="O261" s="32"/>
      <x:c r="P261" s="32" t="e">
        <x:f>IF(A261=1,Dashboard!$F$14,T260)</x:f>
      </x:c>
      <x:c r="Q261" s="32" t="e">
        <x:f>IF(A261&lt;=Dashboard!$F$17,MIN(P261,$B$6*52/12),0)</x:f>
      </x:c>
      <x:c r="R261" s="32" t="e">
        <x:f>IF(A261&lt;=Dashboard!$F$17,MAX(0,P261-Q261)*Dashboard!$F$6,0)</x:f>
      </x:c>
      <x:c r="S261" s="32" t="e">
        <x:f>IF(A261&lt;=Dashboard!$F$17,MIN(Dashboard!$F$10,MAX(0,P261-Q261)+R261),0)</x:f>
      </x:c>
      <x:c r="T261" s="32" t="e">
        <x:f>IF(A261&lt;=Dashboard!$F$17,MAX(0,P261-Q261-MAX(0,S261-R261)),0)</x:f>
      </x:c>
      <x:c r="U261" s="32" t="e">
        <x:f>IF(A261=1,R261,U260+R261)</x:f>
      </x:c>
      <x:c r="V261" s="32"/>
      <x:c r="W261" s="32" t="e">
        <x:f>IF(A261=1,Dashboard!$F$14,AA260)</x:f>
      </x:c>
      <x:c r="X261" s="32" t="e">
        <x:f>IF(AND(A261&lt;=Dashboard!$F$17,MOD(A261-1,12)=0),MIN(W261,$B$7),0)</x:f>
      </x:c>
      <x:c r="Y261" s="32" t="e">
        <x:f>IF(A261&lt;=Dashboard!$F$17,MAX(0,W261-X261)*Dashboard!$F$6,0)</x:f>
      </x:c>
      <x:c r="Z261" s="32" t="e">
        <x:f>IF(A261&lt;=Dashboard!$F$17,MIN(Dashboard!$F$10,MAX(0,W261-X261)+Y261),0)</x:f>
      </x:c>
      <x:c r="AA261" s="32" t="e">
        <x:f>IF(A261&lt;=Dashboard!$F$17,MAX(0,W261-X261-MAX(0,Z261-Y261)),0)</x:f>
      </x:c>
      <x:c r="AB261" s="32" t="e">
        <x:f>IF(A261=1,Y261,AB260+Y261)</x:f>
      </x:c>
      <x:c r="AC261" s="32"/>
      <x:c r="AD261" s="32" t="e">
        <x:f>IF(A261=1,MAX(0,Dashboard!$F$14-$B$8),AG260)</x:f>
      </x:c>
      <x:c r="AE261" s="32" t="n">
        <x:f>0</x:f>
        <x:v>0</x:v>
      </x:c>
      <x:c r="AF261" s="32" t="e">
        <x:f>IF(A261&lt;=Dashboard!$F$17,AD261*Dashboard!$F$6,0)</x:f>
      </x:c>
      <x:c r="AG261" s="32" t="e">
        <x:f>IF(A261&lt;=Dashboard!$F$17,MIN(Dashboard!$F$10,AD261+AF261),0)</x:f>
      </x:c>
      <x:c r="AH261" s="32" t="e">
        <x:f>IF(A261&lt;=Dashboard!$F$17,MAX(0,AD261-MAX(0,AG261-AF261)),0)</x:f>
      </x:c>
      <x:c r="AI261" s="32" t="e">
        <x:f>IF(A261=1,AF261,AI260+AF261)</x:f>
      </x:c>
      <x:c r="AJ261" s="33"/>
      <x:c r="AK261" s="33"/>
      <x:c r="AL261" s="33"/>
      <x:c r="AM261" s="33"/>
    </x:row>
    <x:row r="262">
      <x:c r="A262" s="33" t="n">
        <x:v>250</x:v>
      </x:c>
      <x:c r="B262" s="32" t="e">
        <x:f>IF(A262=1,Dashboard!$F$14,F261)</x:f>
      </x:c>
      <x:c r="C262" s="32" t="n">
        <x:f>0</x:f>
        <x:v>0</x:v>
      </x:c>
      <x:c r="D262" s="32" t="e">
        <x:f>IF(A262&lt;=Dashboard!$F$15,B262*Dashboard!$F$6,0)</x:f>
      </x:c>
      <x:c r="E262" s="32" t="e">
        <x:f>IF(A262&lt;=Dashboard!$F$15,MIN(Dashboard!$F$10,B262+D262),0)</x:f>
      </x:c>
      <x:c r="F262" s="32" t="e">
        <x:f>IF(A262&lt;=Dashboard!$F$15,MAX(0,B262-MAX(0,E262-D262)),0)</x:f>
      </x:c>
      <x:c r="G262" s="32" t="e">
        <x:f>IF(A262=1,D262,G261+D262)</x:f>
      </x:c>
      <x:c r="H262" s="32"/>
      <x:c r="I262" s="32" t="e">
        <x:f>IF(A262=1,Dashboard!$F$14,M261)</x:f>
      </x:c>
      <x:c r="J262" s="32" t="e">
        <x:f>IF(A262&lt;=Dashboard!$F$17,MIN(I262,$B$5),0)</x:f>
      </x:c>
      <x:c r="K262" s="32" t="e">
        <x:f>IF(A262&lt;=Dashboard!$F$17,MAX(0,I262-J262)*Dashboard!$F$6,0)</x:f>
      </x:c>
      <x:c r="L262" s="32" t="e">
        <x:f>IF(A262&lt;=Dashboard!$F$17,MIN(Dashboard!$F$10,MAX(0,I262-J262)+K262),0)</x:f>
      </x:c>
      <x:c r="M262" s="32" t="e">
        <x:f>IF(A262&lt;=Dashboard!$F$17,MAX(0,I262-J262-MAX(0,L262-K262)),0)</x:f>
      </x:c>
      <x:c r="N262" s="32" t="e">
        <x:f>IF(A262=1,K262,N261+K262)</x:f>
      </x:c>
      <x:c r="O262" s="32"/>
      <x:c r="P262" s="32" t="e">
        <x:f>IF(A262=1,Dashboard!$F$14,T261)</x:f>
      </x:c>
      <x:c r="Q262" s="32" t="e">
        <x:f>IF(A262&lt;=Dashboard!$F$17,MIN(P262,$B$6*52/12),0)</x:f>
      </x:c>
      <x:c r="R262" s="32" t="e">
        <x:f>IF(A262&lt;=Dashboard!$F$17,MAX(0,P262-Q262)*Dashboard!$F$6,0)</x:f>
      </x:c>
      <x:c r="S262" s="32" t="e">
        <x:f>IF(A262&lt;=Dashboard!$F$17,MIN(Dashboard!$F$10,MAX(0,P262-Q262)+R262),0)</x:f>
      </x:c>
      <x:c r="T262" s="32" t="e">
        <x:f>IF(A262&lt;=Dashboard!$F$17,MAX(0,P262-Q262-MAX(0,S262-R262)),0)</x:f>
      </x:c>
      <x:c r="U262" s="32" t="e">
        <x:f>IF(A262=1,R262,U261+R262)</x:f>
      </x:c>
      <x:c r="V262" s="32"/>
      <x:c r="W262" s="32" t="e">
        <x:f>IF(A262=1,Dashboard!$F$14,AA261)</x:f>
      </x:c>
      <x:c r="X262" s="32" t="e">
        <x:f>IF(AND(A262&lt;=Dashboard!$F$17,MOD(A262-1,12)=0),MIN(W262,$B$7),0)</x:f>
      </x:c>
      <x:c r="Y262" s="32" t="e">
        <x:f>IF(A262&lt;=Dashboard!$F$17,MAX(0,W262-X262)*Dashboard!$F$6,0)</x:f>
      </x:c>
      <x:c r="Z262" s="32" t="e">
        <x:f>IF(A262&lt;=Dashboard!$F$17,MIN(Dashboard!$F$10,MAX(0,W262-X262)+Y262),0)</x:f>
      </x:c>
      <x:c r="AA262" s="32" t="e">
        <x:f>IF(A262&lt;=Dashboard!$F$17,MAX(0,W262-X262-MAX(0,Z262-Y262)),0)</x:f>
      </x:c>
      <x:c r="AB262" s="32" t="e">
        <x:f>IF(A262=1,Y262,AB261+Y262)</x:f>
      </x:c>
      <x:c r="AC262" s="32"/>
      <x:c r="AD262" s="32" t="e">
        <x:f>IF(A262=1,MAX(0,Dashboard!$F$14-$B$8),AG261)</x:f>
      </x:c>
      <x:c r="AE262" s="32" t="n">
        <x:f>0</x:f>
        <x:v>0</x:v>
      </x:c>
      <x:c r="AF262" s="32" t="e">
        <x:f>IF(A262&lt;=Dashboard!$F$17,AD262*Dashboard!$F$6,0)</x:f>
      </x:c>
      <x:c r="AG262" s="32" t="e">
        <x:f>IF(A262&lt;=Dashboard!$F$17,MIN(Dashboard!$F$10,AD262+AF262),0)</x:f>
      </x:c>
      <x:c r="AH262" s="32" t="e">
        <x:f>IF(A262&lt;=Dashboard!$F$17,MAX(0,AD262-MAX(0,AG262-AF262)),0)</x:f>
      </x:c>
      <x:c r="AI262" s="32" t="e">
        <x:f>IF(A262=1,AF262,AI261+AF262)</x:f>
      </x:c>
      <x:c r="AJ262" s="33"/>
      <x:c r="AK262" s="33"/>
      <x:c r="AL262" s="33"/>
      <x:c r="AM262" s="33"/>
    </x:row>
    <x:row r="263">
      <x:c r="A263" s="33" t="n">
        <x:v>251</x:v>
      </x:c>
      <x:c r="B263" s="32" t="e">
        <x:f>IF(A263=1,Dashboard!$F$14,F262)</x:f>
      </x:c>
      <x:c r="C263" s="32" t="n">
        <x:f>0</x:f>
        <x:v>0</x:v>
      </x:c>
      <x:c r="D263" s="32" t="e">
        <x:f>IF(A263&lt;=Dashboard!$F$15,B263*Dashboard!$F$6,0)</x:f>
      </x:c>
      <x:c r="E263" s="32" t="e">
        <x:f>IF(A263&lt;=Dashboard!$F$15,MIN(Dashboard!$F$10,B263+D263),0)</x:f>
      </x:c>
      <x:c r="F263" s="32" t="e">
        <x:f>IF(A263&lt;=Dashboard!$F$15,MAX(0,B263-MAX(0,E263-D263)),0)</x:f>
      </x:c>
      <x:c r="G263" s="32" t="e">
        <x:f>IF(A263=1,D263,G262+D263)</x:f>
      </x:c>
      <x:c r="H263" s="32"/>
      <x:c r="I263" s="32" t="e">
        <x:f>IF(A263=1,Dashboard!$F$14,M262)</x:f>
      </x:c>
      <x:c r="J263" s="32" t="e">
        <x:f>IF(A263&lt;=Dashboard!$F$17,MIN(I263,$B$5),0)</x:f>
      </x:c>
      <x:c r="K263" s="32" t="e">
        <x:f>IF(A263&lt;=Dashboard!$F$17,MAX(0,I263-J263)*Dashboard!$F$6,0)</x:f>
      </x:c>
      <x:c r="L263" s="32" t="e">
        <x:f>IF(A263&lt;=Dashboard!$F$17,MIN(Dashboard!$F$10,MAX(0,I263-J263)+K263),0)</x:f>
      </x:c>
      <x:c r="M263" s="32" t="e">
        <x:f>IF(A263&lt;=Dashboard!$F$17,MAX(0,I263-J263-MAX(0,L263-K263)),0)</x:f>
      </x:c>
      <x:c r="N263" s="32" t="e">
        <x:f>IF(A263=1,K263,N262+K263)</x:f>
      </x:c>
      <x:c r="O263" s="32"/>
      <x:c r="P263" s="32" t="e">
        <x:f>IF(A263=1,Dashboard!$F$14,T262)</x:f>
      </x:c>
      <x:c r="Q263" s="32" t="e">
        <x:f>IF(A263&lt;=Dashboard!$F$17,MIN(P263,$B$6*52/12),0)</x:f>
      </x:c>
      <x:c r="R263" s="32" t="e">
        <x:f>IF(A263&lt;=Dashboard!$F$17,MAX(0,P263-Q263)*Dashboard!$F$6,0)</x:f>
      </x:c>
      <x:c r="S263" s="32" t="e">
        <x:f>IF(A263&lt;=Dashboard!$F$17,MIN(Dashboard!$F$10,MAX(0,P263-Q263)+R263),0)</x:f>
      </x:c>
      <x:c r="T263" s="32" t="e">
        <x:f>IF(A263&lt;=Dashboard!$F$17,MAX(0,P263-Q263-MAX(0,S263-R263)),0)</x:f>
      </x:c>
      <x:c r="U263" s="32" t="e">
        <x:f>IF(A263=1,R263,U262+R263)</x:f>
      </x:c>
      <x:c r="V263" s="32"/>
      <x:c r="W263" s="32" t="e">
        <x:f>IF(A263=1,Dashboard!$F$14,AA262)</x:f>
      </x:c>
      <x:c r="X263" s="32" t="e">
        <x:f>IF(AND(A263&lt;=Dashboard!$F$17,MOD(A263-1,12)=0),MIN(W263,$B$7),0)</x:f>
      </x:c>
      <x:c r="Y263" s="32" t="e">
        <x:f>IF(A263&lt;=Dashboard!$F$17,MAX(0,W263-X263)*Dashboard!$F$6,0)</x:f>
      </x:c>
      <x:c r="Z263" s="32" t="e">
        <x:f>IF(A263&lt;=Dashboard!$F$17,MIN(Dashboard!$F$10,MAX(0,W263-X263)+Y263),0)</x:f>
      </x:c>
      <x:c r="AA263" s="32" t="e">
        <x:f>IF(A263&lt;=Dashboard!$F$17,MAX(0,W263-X263-MAX(0,Z263-Y263)),0)</x:f>
      </x:c>
      <x:c r="AB263" s="32" t="e">
        <x:f>IF(A263=1,Y263,AB262+Y263)</x:f>
      </x:c>
      <x:c r="AC263" s="32"/>
      <x:c r="AD263" s="32" t="e">
        <x:f>IF(A263=1,MAX(0,Dashboard!$F$14-$B$8),AG262)</x:f>
      </x:c>
      <x:c r="AE263" s="32" t="n">
        <x:f>0</x:f>
        <x:v>0</x:v>
      </x:c>
      <x:c r="AF263" s="32" t="e">
        <x:f>IF(A263&lt;=Dashboard!$F$17,AD263*Dashboard!$F$6,0)</x:f>
      </x:c>
      <x:c r="AG263" s="32" t="e">
        <x:f>IF(A263&lt;=Dashboard!$F$17,MIN(Dashboard!$F$10,AD263+AF263),0)</x:f>
      </x:c>
      <x:c r="AH263" s="32" t="e">
        <x:f>IF(A263&lt;=Dashboard!$F$17,MAX(0,AD263-MAX(0,AG263-AF263)),0)</x:f>
      </x:c>
      <x:c r="AI263" s="32" t="e">
        <x:f>IF(A263=1,AF263,AI262+AF263)</x:f>
      </x:c>
      <x:c r="AJ263" s="33"/>
      <x:c r="AK263" s="33"/>
      <x:c r="AL263" s="33"/>
      <x:c r="AM263" s="33"/>
    </x:row>
    <x:row r="264">
      <x:c r="A264" s="33" t="n">
        <x:v>252</x:v>
      </x:c>
      <x:c r="B264" s="32" t="e">
        <x:f>IF(A264=1,Dashboard!$F$14,F263)</x:f>
      </x:c>
      <x:c r="C264" s="32" t="n">
        <x:f>0</x:f>
        <x:v>0</x:v>
      </x:c>
      <x:c r="D264" s="32" t="e">
        <x:f>IF(A264&lt;=Dashboard!$F$15,B264*Dashboard!$F$6,0)</x:f>
      </x:c>
      <x:c r="E264" s="32" t="e">
        <x:f>IF(A264&lt;=Dashboard!$F$15,MIN(Dashboard!$F$10,B264+D264),0)</x:f>
      </x:c>
      <x:c r="F264" s="32" t="e">
        <x:f>IF(A264&lt;=Dashboard!$F$15,MAX(0,B264-MAX(0,E264-D264)),0)</x:f>
      </x:c>
      <x:c r="G264" s="32" t="e">
        <x:f>IF(A264=1,D264,G263+D264)</x:f>
      </x:c>
      <x:c r="H264" s="32"/>
      <x:c r="I264" s="32" t="e">
        <x:f>IF(A264=1,Dashboard!$F$14,M263)</x:f>
      </x:c>
      <x:c r="J264" s="32" t="e">
        <x:f>IF(A264&lt;=Dashboard!$F$17,MIN(I264,$B$5),0)</x:f>
      </x:c>
      <x:c r="K264" s="32" t="e">
        <x:f>IF(A264&lt;=Dashboard!$F$17,MAX(0,I264-J264)*Dashboard!$F$6,0)</x:f>
      </x:c>
      <x:c r="L264" s="32" t="e">
        <x:f>IF(A264&lt;=Dashboard!$F$17,MIN(Dashboard!$F$10,MAX(0,I264-J264)+K264),0)</x:f>
      </x:c>
      <x:c r="M264" s="32" t="e">
        <x:f>IF(A264&lt;=Dashboard!$F$17,MAX(0,I264-J264-MAX(0,L264-K264)),0)</x:f>
      </x:c>
      <x:c r="N264" s="32" t="e">
        <x:f>IF(A264=1,K264,N263+K264)</x:f>
      </x:c>
      <x:c r="O264" s="32"/>
      <x:c r="P264" s="32" t="e">
        <x:f>IF(A264=1,Dashboard!$F$14,T263)</x:f>
      </x:c>
      <x:c r="Q264" s="32" t="e">
        <x:f>IF(A264&lt;=Dashboard!$F$17,MIN(P264,$B$6*52/12),0)</x:f>
      </x:c>
      <x:c r="R264" s="32" t="e">
        <x:f>IF(A264&lt;=Dashboard!$F$17,MAX(0,P264-Q264)*Dashboard!$F$6,0)</x:f>
      </x:c>
      <x:c r="S264" s="32" t="e">
        <x:f>IF(A264&lt;=Dashboard!$F$17,MIN(Dashboard!$F$10,MAX(0,P264-Q264)+R264),0)</x:f>
      </x:c>
      <x:c r="T264" s="32" t="e">
        <x:f>IF(A264&lt;=Dashboard!$F$17,MAX(0,P264-Q264-MAX(0,S264-R264)),0)</x:f>
      </x:c>
      <x:c r="U264" s="32" t="e">
        <x:f>IF(A264=1,R264,U263+R264)</x:f>
      </x:c>
      <x:c r="V264" s="32"/>
      <x:c r="W264" s="32" t="e">
        <x:f>IF(A264=1,Dashboard!$F$14,AA263)</x:f>
      </x:c>
      <x:c r="X264" s="32" t="e">
        <x:f>IF(AND(A264&lt;=Dashboard!$F$17,MOD(A264-1,12)=0),MIN(W264,$B$7),0)</x:f>
      </x:c>
      <x:c r="Y264" s="32" t="e">
        <x:f>IF(A264&lt;=Dashboard!$F$17,MAX(0,W264-X264)*Dashboard!$F$6,0)</x:f>
      </x:c>
      <x:c r="Z264" s="32" t="e">
        <x:f>IF(A264&lt;=Dashboard!$F$17,MIN(Dashboard!$F$10,MAX(0,W264-X264)+Y264),0)</x:f>
      </x:c>
      <x:c r="AA264" s="32" t="e">
        <x:f>IF(A264&lt;=Dashboard!$F$17,MAX(0,W264-X264-MAX(0,Z264-Y264)),0)</x:f>
      </x:c>
      <x:c r="AB264" s="32" t="e">
        <x:f>IF(A264=1,Y264,AB263+Y264)</x:f>
      </x:c>
      <x:c r="AC264" s="32"/>
      <x:c r="AD264" s="32" t="e">
        <x:f>IF(A264=1,MAX(0,Dashboard!$F$14-$B$8),AG263)</x:f>
      </x:c>
      <x:c r="AE264" s="32" t="n">
        <x:f>0</x:f>
        <x:v>0</x:v>
      </x:c>
      <x:c r="AF264" s="32" t="e">
        <x:f>IF(A264&lt;=Dashboard!$F$17,AD264*Dashboard!$F$6,0)</x:f>
      </x:c>
      <x:c r="AG264" s="32" t="e">
        <x:f>IF(A264&lt;=Dashboard!$F$17,MIN(Dashboard!$F$10,AD264+AF264),0)</x:f>
      </x:c>
      <x:c r="AH264" s="32" t="e">
        <x:f>IF(A264&lt;=Dashboard!$F$17,MAX(0,AD264-MAX(0,AG264-AF264)),0)</x:f>
      </x:c>
      <x:c r="AI264" s="32" t="e">
        <x:f>IF(A264=1,AF264,AI263+AF264)</x:f>
      </x:c>
      <x:c r="AJ264" s="33"/>
      <x:c r="AK264" s="33"/>
      <x:c r="AL264" s="33"/>
      <x:c r="AM264" s="33"/>
    </x:row>
    <x:row r="265">
      <x:c r="A265" s="33" t="n">
        <x:v>253</x:v>
      </x:c>
      <x:c r="B265" s="32" t="e">
        <x:f>IF(A265=1,Dashboard!$F$14,F264)</x:f>
      </x:c>
      <x:c r="C265" s="32" t="n">
        <x:f>0</x:f>
        <x:v>0</x:v>
      </x:c>
      <x:c r="D265" s="32" t="e">
        <x:f>IF(A265&lt;=Dashboard!$F$15,B265*Dashboard!$F$6,0)</x:f>
      </x:c>
      <x:c r="E265" s="32" t="e">
        <x:f>IF(A265&lt;=Dashboard!$F$15,MIN(Dashboard!$F$10,B265+D265),0)</x:f>
      </x:c>
      <x:c r="F265" s="32" t="e">
        <x:f>IF(A265&lt;=Dashboard!$F$15,MAX(0,B265-MAX(0,E265-D265)),0)</x:f>
      </x:c>
      <x:c r="G265" s="32" t="e">
        <x:f>IF(A265=1,D265,G264+D265)</x:f>
      </x:c>
      <x:c r="H265" s="32"/>
      <x:c r="I265" s="32" t="e">
        <x:f>IF(A265=1,Dashboard!$F$14,M264)</x:f>
      </x:c>
      <x:c r="J265" s="32" t="e">
        <x:f>IF(A265&lt;=Dashboard!$F$17,MIN(I265,$B$5),0)</x:f>
      </x:c>
      <x:c r="K265" s="32" t="e">
        <x:f>IF(A265&lt;=Dashboard!$F$17,MAX(0,I265-J265)*Dashboard!$F$6,0)</x:f>
      </x:c>
      <x:c r="L265" s="32" t="e">
        <x:f>IF(A265&lt;=Dashboard!$F$17,MIN(Dashboard!$F$10,MAX(0,I265-J265)+K265),0)</x:f>
      </x:c>
      <x:c r="M265" s="32" t="e">
        <x:f>IF(A265&lt;=Dashboard!$F$17,MAX(0,I265-J265-MAX(0,L265-K265)),0)</x:f>
      </x:c>
      <x:c r="N265" s="32" t="e">
        <x:f>IF(A265=1,K265,N264+K265)</x:f>
      </x:c>
      <x:c r="O265" s="32"/>
      <x:c r="P265" s="32" t="e">
        <x:f>IF(A265=1,Dashboard!$F$14,T264)</x:f>
      </x:c>
      <x:c r="Q265" s="32" t="e">
        <x:f>IF(A265&lt;=Dashboard!$F$17,MIN(P265,$B$6*52/12),0)</x:f>
      </x:c>
      <x:c r="R265" s="32" t="e">
        <x:f>IF(A265&lt;=Dashboard!$F$17,MAX(0,P265-Q265)*Dashboard!$F$6,0)</x:f>
      </x:c>
      <x:c r="S265" s="32" t="e">
        <x:f>IF(A265&lt;=Dashboard!$F$17,MIN(Dashboard!$F$10,MAX(0,P265-Q265)+R265),0)</x:f>
      </x:c>
      <x:c r="T265" s="32" t="e">
        <x:f>IF(A265&lt;=Dashboard!$F$17,MAX(0,P265-Q265-MAX(0,S265-R265)),0)</x:f>
      </x:c>
      <x:c r="U265" s="32" t="e">
        <x:f>IF(A265=1,R265,U264+R265)</x:f>
      </x:c>
      <x:c r="V265" s="32"/>
      <x:c r="W265" s="32" t="e">
        <x:f>IF(A265=1,Dashboard!$F$14,AA264)</x:f>
      </x:c>
      <x:c r="X265" s="32" t="e">
        <x:f>IF(AND(A265&lt;=Dashboard!$F$17,MOD(A265-1,12)=0),MIN(W265,$B$7),0)</x:f>
      </x:c>
      <x:c r="Y265" s="32" t="e">
        <x:f>IF(A265&lt;=Dashboard!$F$17,MAX(0,W265-X265)*Dashboard!$F$6,0)</x:f>
      </x:c>
      <x:c r="Z265" s="32" t="e">
        <x:f>IF(A265&lt;=Dashboard!$F$17,MIN(Dashboard!$F$10,MAX(0,W265-X265)+Y265),0)</x:f>
      </x:c>
      <x:c r="AA265" s="32" t="e">
        <x:f>IF(A265&lt;=Dashboard!$F$17,MAX(0,W265-X265-MAX(0,Z265-Y265)),0)</x:f>
      </x:c>
      <x:c r="AB265" s="32" t="e">
        <x:f>IF(A265=1,Y265,AB264+Y265)</x:f>
      </x:c>
      <x:c r="AC265" s="32"/>
      <x:c r="AD265" s="32" t="e">
        <x:f>IF(A265=1,MAX(0,Dashboard!$F$14-$B$8),AG264)</x:f>
      </x:c>
      <x:c r="AE265" s="32" t="n">
        <x:f>0</x:f>
        <x:v>0</x:v>
      </x:c>
      <x:c r="AF265" s="32" t="e">
        <x:f>IF(A265&lt;=Dashboard!$F$17,AD265*Dashboard!$F$6,0)</x:f>
      </x:c>
      <x:c r="AG265" s="32" t="e">
        <x:f>IF(A265&lt;=Dashboard!$F$17,MIN(Dashboard!$F$10,AD265+AF265),0)</x:f>
      </x:c>
      <x:c r="AH265" s="32" t="e">
        <x:f>IF(A265&lt;=Dashboard!$F$17,MAX(0,AD265-MAX(0,AG265-AF265)),0)</x:f>
      </x:c>
      <x:c r="AI265" s="32" t="e">
        <x:f>IF(A265=1,AF265,AI264+AF265)</x:f>
      </x:c>
      <x:c r="AJ265" s="33"/>
      <x:c r="AK265" s="33"/>
      <x:c r="AL265" s="33"/>
      <x:c r="AM265" s="33"/>
    </x:row>
    <x:row r="266">
      <x:c r="A266" s="33" t="n">
        <x:v>254</x:v>
      </x:c>
      <x:c r="B266" s="32" t="e">
        <x:f>IF(A266=1,Dashboard!$F$14,F265)</x:f>
      </x:c>
      <x:c r="C266" s="32" t="n">
        <x:f>0</x:f>
        <x:v>0</x:v>
      </x:c>
      <x:c r="D266" s="32" t="e">
        <x:f>IF(A266&lt;=Dashboard!$F$15,B266*Dashboard!$F$6,0)</x:f>
      </x:c>
      <x:c r="E266" s="32" t="e">
        <x:f>IF(A266&lt;=Dashboard!$F$15,MIN(Dashboard!$F$10,B266+D266),0)</x:f>
      </x:c>
      <x:c r="F266" s="32" t="e">
        <x:f>IF(A266&lt;=Dashboard!$F$15,MAX(0,B266-MAX(0,E266-D266)),0)</x:f>
      </x:c>
      <x:c r="G266" s="32" t="e">
        <x:f>IF(A266=1,D266,G265+D266)</x:f>
      </x:c>
      <x:c r="H266" s="32"/>
      <x:c r="I266" s="32" t="e">
        <x:f>IF(A266=1,Dashboard!$F$14,M265)</x:f>
      </x:c>
      <x:c r="J266" s="32" t="e">
        <x:f>IF(A266&lt;=Dashboard!$F$17,MIN(I266,$B$5),0)</x:f>
      </x:c>
      <x:c r="K266" s="32" t="e">
        <x:f>IF(A266&lt;=Dashboard!$F$17,MAX(0,I266-J266)*Dashboard!$F$6,0)</x:f>
      </x:c>
      <x:c r="L266" s="32" t="e">
        <x:f>IF(A266&lt;=Dashboard!$F$17,MIN(Dashboard!$F$10,MAX(0,I266-J266)+K266),0)</x:f>
      </x:c>
      <x:c r="M266" s="32" t="e">
        <x:f>IF(A266&lt;=Dashboard!$F$17,MAX(0,I266-J266-MAX(0,L266-K266)),0)</x:f>
      </x:c>
      <x:c r="N266" s="32" t="e">
        <x:f>IF(A266=1,K266,N265+K266)</x:f>
      </x:c>
      <x:c r="O266" s="32"/>
      <x:c r="P266" s="32" t="e">
        <x:f>IF(A266=1,Dashboard!$F$14,T265)</x:f>
      </x:c>
      <x:c r="Q266" s="32" t="e">
        <x:f>IF(A266&lt;=Dashboard!$F$17,MIN(P266,$B$6*52/12),0)</x:f>
      </x:c>
      <x:c r="R266" s="32" t="e">
        <x:f>IF(A266&lt;=Dashboard!$F$17,MAX(0,P266-Q266)*Dashboard!$F$6,0)</x:f>
      </x:c>
      <x:c r="S266" s="32" t="e">
        <x:f>IF(A266&lt;=Dashboard!$F$17,MIN(Dashboard!$F$10,MAX(0,P266-Q266)+R266),0)</x:f>
      </x:c>
      <x:c r="T266" s="32" t="e">
        <x:f>IF(A266&lt;=Dashboard!$F$17,MAX(0,P266-Q266-MAX(0,S266-R266)),0)</x:f>
      </x:c>
      <x:c r="U266" s="32" t="e">
        <x:f>IF(A266=1,R266,U265+R266)</x:f>
      </x:c>
      <x:c r="V266" s="32"/>
      <x:c r="W266" s="32" t="e">
        <x:f>IF(A266=1,Dashboard!$F$14,AA265)</x:f>
      </x:c>
      <x:c r="X266" s="32" t="e">
        <x:f>IF(AND(A266&lt;=Dashboard!$F$17,MOD(A266-1,12)=0),MIN(W266,$B$7),0)</x:f>
      </x:c>
      <x:c r="Y266" s="32" t="e">
        <x:f>IF(A266&lt;=Dashboard!$F$17,MAX(0,W266-X266)*Dashboard!$F$6,0)</x:f>
      </x:c>
      <x:c r="Z266" s="32" t="e">
        <x:f>IF(A266&lt;=Dashboard!$F$17,MIN(Dashboard!$F$10,MAX(0,W266-X266)+Y266),0)</x:f>
      </x:c>
      <x:c r="AA266" s="32" t="e">
        <x:f>IF(A266&lt;=Dashboard!$F$17,MAX(0,W266-X266-MAX(0,Z266-Y266)),0)</x:f>
      </x:c>
      <x:c r="AB266" s="32" t="e">
        <x:f>IF(A266=1,Y266,AB265+Y266)</x:f>
      </x:c>
      <x:c r="AC266" s="32"/>
      <x:c r="AD266" s="32" t="e">
        <x:f>IF(A266=1,MAX(0,Dashboard!$F$14-$B$8),AG265)</x:f>
      </x:c>
      <x:c r="AE266" s="32" t="n">
        <x:f>0</x:f>
        <x:v>0</x:v>
      </x:c>
      <x:c r="AF266" s="32" t="e">
        <x:f>IF(A266&lt;=Dashboard!$F$17,AD266*Dashboard!$F$6,0)</x:f>
      </x:c>
      <x:c r="AG266" s="32" t="e">
        <x:f>IF(A266&lt;=Dashboard!$F$17,MIN(Dashboard!$F$10,AD266+AF266),0)</x:f>
      </x:c>
      <x:c r="AH266" s="32" t="e">
        <x:f>IF(A266&lt;=Dashboard!$F$17,MAX(0,AD266-MAX(0,AG266-AF266)),0)</x:f>
      </x:c>
      <x:c r="AI266" s="32" t="e">
        <x:f>IF(A266=1,AF266,AI265+AF266)</x:f>
      </x:c>
      <x:c r="AJ266" s="33"/>
      <x:c r="AK266" s="33"/>
      <x:c r="AL266" s="33"/>
      <x:c r="AM266" s="33"/>
    </x:row>
    <x:row r="267">
      <x:c r="A267" s="33" t="n">
        <x:v>255</x:v>
      </x:c>
      <x:c r="B267" s="32" t="e">
        <x:f>IF(A267=1,Dashboard!$F$14,F266)</x:f>
      </x:c>
      <x:c r="C267" s="32" t="n">
        <x:f>0</x:f>
        <x:v>0</x:v>
      </x:c>
      <x:c r="D267" s="32" t="e">
        <x:f>IF(A267&lt;=Dashboard!$F$15,B267*Dashboard!$F$6,0)</x:f>
      </x:c>
      <x:c r="E267" s="32" t="e">
        <x:f>IF(A267&lt;=Dashboard!$F$15,MIN(Dashboard!$F$10,B267+D267),0)</x:f>
      </x:c>
      <x:c r="F267" s="32" t="e">
        <x:f>IF(A267&lt;=Dashboard!$F$15,MAX(0,B267-MAX(0,E267-D267)),0)</x:f>
      </x:c>
      <x:c r="G267" s="32" t="e">
        <x:f>IF(A267=1,D267,G266+D267)</x:f>
      </x:c>
      <x:c r="H267" s="32"/>
      <x:c r="I267" s="32" t="e">
        <x:f>IF(A267=1,Dashboard!$F$14,M266)</x:f>
      </x:c>
      <x:c r="J267" s="32" t="e">
        <x:f>IF(A267&lt;=Dashboard!$F$17,MIN(I267,$B$5),0)</x:f>
      </x:c>
      <x:c r="K267" s="32" t="e">
        <x:f>IF(A267&lt;=Dashboard!$F$17,MAX(0,I267-J267)*Dashboard!$F$6,0)</x:f>
      </x:c>
      <x:c r="L267" s="32" t="e">
        <x:f>IF(A267&lt;=Dashboard!$F$17,MIN(Dashboard!$F$10,MAX(0,I267-J267)+K267),0)</x:f>
      </x:c>
      <x:c r="M267" s="32" t="e">
        <x:f>IF(A267&lt;=Dashboard!$F$17,MAX(0,I267-J267-MAX(0,L267-K267)),0)</x:f>
      </x:c>
      <x:c r="N267" s="32" t="e">
        <x:f>IF(A267=1,K267,N266+K267)</x:f>
      </x:c>
      <x:c r="O267" s="32"/>
      <x:c r="P267" s="32" t="e">
        <x:f>IF(A267=1,Dashboard!$F$14,T266)</x:f>
      </x:c>
      <x:c r="Q267" s="32" t="e">
        <x:f>IF(A267&lt;=Dashboard!$F$17,MIN(P267,$B$6*52/12),0)</x:f>
      </x:c>
      <x:c r="R267" s="32" t="e">
        <x:f>IF(A267&lt;=Dashboard!$F$17,MAX(0,P267-Q267)*Dashboard!$F$6,0)</x:f>
      </x:c>
      <x:c r="S267" s="32" t="e">
        <x:f>IF(A267&lt;=Dashboard!$F$17,MIN(Dashboard!$F$10,MAX(0,P267-Q267)+R267),0)</x:f>
      </x:c>
      <x:c r="T267" s="32" t="e">
        <x:f>IF(A267&lt;=Dashboard!$F$17,MAX(0,P267-Q267-MAX(0,S267-R267)),0)</x:f>
      </x:c>
      <x:c r="U267" s="32" t="e">
        <x:f>IF(A267=1,R267,U266+R267)</x:f>
      </x:c>
      <x:c r="V267" s="32"/>
      <x:c r="W267" s="32" t="e">
        <x:f>IF(A267=1,Dashboard!$F$14,AA266)</x:f>
      </x:c>
      <x:c r="X267" s="32" t="e">
        <x:f>IF(AND(A267&lt;=Dashboard!$F$17,MOD(A267-1,12)=0),MIN(W267,$B$7),0)</x:f>
      </x:c>
      <x:c r="Y267" s="32" t="e">
        <x:f>IF(A267&lt;=Dashboard!$F$17,MAX(0,W267-X267)*Dashboard!$F$6,0)</x:f>
      </x:c>
      <x:c r="Z267" s="32" t="e">
        <x:f>IF(A267&lt;=Dashboard!$F$17,MIN(Dashboard!$F$10,MAX(0,W267-X267)+Y267),0)</x:f>
      </x:c>
      <x:c r="AA267" s="32" t="e">
        <x:f>IF(A267&lt;=Dashboard!$F$17,MAX(0,W267-X267-MAX(0,Z267-Y267)),0)</x:f>
      </x:c>
      <x:c r="AB267" s="32" t="e">
        <x:f>IF(A267=1,Y267,AB266+Y267)</x:f>
      </x:c>
      <x:c r="AC267" s="32"/>
      <x:c r="AD267" s="32" t="e">
        <x:f>IF(A267=1,MAX(0,Dashboard!$F$14-$B$8),AG266)</x:f>
      </x:c>
      <x:c r="AE267" s="32" t="n">
        <x:f>0</x:f>
        <x:v>0</x:v>
      </x:c>
      <x:c r="AF267" s="32" t="e">
        <x:f>IF(A267&lt;=Dashboard!$F$17,AD267*Dashboard!$F$6,0)</x:f>
      </x:c>
      <x:c r="AG267" s="32" t="e">
        <x:f>IF(A267&lt;=Dashboard!$F$17,MIN(Dashboard!$F$10,AD267+AF267),0)</x:f>
      </x:c>
      <x:c r="AH267" s="32" t="e">
        <x:f>IF(A267&lt;=Dashboard!$F$17,MAX(0,AD267-MAX(0,AG267-AF267)),0)</x:f>
      </x:c>
      <x:c r="AI267" s="32" t="e">
        <x:f>IF(A267=1,AF267,AI266+AF267)</x:f>
      </x:c>
      <x:c r="AJ267" s="33"/>
      <x:c r="AK267" s="33"/>
      <x:c r="AL267" s="33"/>
      <x:c r="AM267" s="33"/>
    </x:row>
    <x:row r="268">
      <x:c r="A268" s="33" t="n">
        <x:v>256</x:v>
      </x:c>
      <x:c r="B268" s="32" t="e">
        <x:f>IF(A268=1,Dashboard!$F$14,F267)</x:f>
      </x:c>
      <x:c r="C268" s="32" t="n">
        <x:f>0</x:f>
        <x:v>0</x:v>
      </x:c>
      <x:c r="D268" s="32" t="e">
        <x:f>IF(A268&lt;=Dashboard!$F$15,B268*Dashboard!$F$6,0)</x:f>
      </x:c>
      <x:c r="E268" s="32" t="e">
        <x:f>IF(A268&lt;=Dashboard!$F$15,MIN(Dashboard!$F$10,B268+D268),0)</x:f>
      </x:c>
      <x:c r="F268" s="32" t="e">
        <x:f>IF(A268&lt;=Dashboard!$F$15,MAX(0,B268-MAX(0,E268-D268)),0)</x:f>
      </x:c>
      <x:c r="G268" s="32" t="e">
        <x:f>IF(A268=1,D268,G267+D268)</x:f>
      </x:c>
      <x:c r="H268" s="32"/>
      <x:c r="I268" s="32" t="e">
        <x:f>IF(A268=1,Dashboard!$F$14,M267)</x:f>
      </x:c>
      <x:c r="J268" s="32" t="e">
        <x:f>IF(A268&lt;=Dashboard!$F$17,MIN(I268,$B$5),0)</x:f>
      </x:c>
      <x:c r="K268" s="32" t="e">
        <x:f>IF(A268&lt;=Dashboard!$F$17,MAX(0,I268-J268)*Dashboard!$F$6,0)</x:f>
      </x:c>
      <x:c r="L268" s="32" t="e">
        <x:f>IF(A268&lt;=Dashboard!$F$17,MIN(Dashboard!$F$10,MAX(0,I268-J268)+K268),0)</x:f>
      </x:c>
      <x:c r="M268" s="32" t="e">
        <x:f>IF(A268&lt;=Dashboard!$F$17,MAX(0,I268-J268-MAX(0,L268-K268)),0)</x:f>
      </x:c>
      <x:c r="N268" s="32" t="e">
        <x:f>IF(A268=1,K268,N267+K268)</x:f>
      </x:c>
      <x:c r="O268" s="32"/>
      <x:c r="P268" s="32" t="e">
        <x:f>IF(A268=1,Dashboard!$F$14,T267)</x:f>
      </x:c>
      <x:c r="Q268" s="32" t="e">
        <x:f>IF(A268&lt;=Dashboard!$F$17,MIN(P268,$B$6*52/12),0)</x:f>
      </x:c>
      <x:c r="R268" s="32" t="e">
        <x:f>IF(A268&lt;=Dashboard!$F$17,MAX(0,P268-Q268)*Dashboard!$F$6,0)</x:f>
      </x:c>
      <x:c r="S268" s="32" t="e">
        <x:f>IF(A268&lt;=Dashboard!$F$17,MIN(Dashboard!$F$10,MAX(0,P268-Q268)+R268),0)</x:f>
      </x:c>
      <x:c r="T268" s="32" t="e">
        <x:f>IF(A268&lt;=Dashboard!$F$17,MAX(0,P268-Q268-MAX(0,S268-R268)),0)</x:f>
      </x:c>
      <x:c r="U268" s="32" t="e">
        <x:f>IF(A268=1,R268,U267+R268)</x:f>
      </x:c>
      <x:c r="V268" s="32"/>
      <x:c r="W268" s="32" t="e">
        <x:f>IF(A268=1,Dashboard!$F$14,AA267)</x:f>
      </x:c>
      <x:c r="X268" s="32" t="e">
        <x:f>IF(AND(A268&lt;=Dashboard!$F$17,MOD(A268-1,12)=0),MIN(W268,$B$7),0)</x:f>
      </x:c>
      <x:c r="Y268" s="32" t="e">
        <x:f>IF(A268&lt;=Dashboard!$F$17,MAX(0,W268-X268)*Dashboard!$F$6,0)</x:f>
      </x:c>
      <x:c r="Z268" s="32" t="e">
        <x:f>IF(A268&lt;=Dashboard!$F$17,MIN(Dashboard!$F$10,MAX(0,W268-X268)+Y268),0)</x:f>
      </x:c>
      <x:c r="AA268" s="32" t="e">
        <x:f>IF(A268&lt;=Dashboard!$F$17,MAX(0,W268-X268-MAX(0,Z268-Y268)),0)</x:f>
      </x:c>
      <x:c r="AB268" s="32" t="e">
        <x:f>IF(A268=1,Y268,AB267+Y268)</x:f>
      </x:c>
      <x:c r="AC268" s="32"/>
      <x:c r="AD268" s="32" t="e">
        <x:f>IF(A268=1,MAX(0,Dashboard!$F$14-$B$8),AG267)</x:f>
      </x:c>
      <x:c r="AE268" s="32" t="n">
        <x:f>0</x:f>
        <x:v>0</x:v>
      </x:c>
      <x:c r="AF268" s="32" t="e">
        <x:f>IF(A268&lt;=Dashboard!$F$17,AD268*Dashboard!$F$6,0)</x:f>
      </x:c>
      <x:c r="AG268" s="32" t="e">
        <x:f>IF(A268&lt;=Dashboard!$F$17,MIN(Dashboard!$F$10,AD268+AF268),0)</x:f>
      </x:c>
      <x:c r="AH268" s="32" t="e">
        <x:f>IF(A268&lt;=Dashboard!$F$17,MAX(0,AD268-MAX(0,AG268-AF268)),0)</x:f>
      </x:c>
      <x:c r="AI268" s="32" t="e">
        <x:f>IF(A268=1,AF268,AI267+AF268)</x:f>
      </x:c>
      <x:c r="AJ268" s="33"/>
      <x:c r="AK268" s="33"/>
      <x:c r="AL268" s="33"/>
      <x:c r="AM268" s="33"/>
    </x:row>
    <x:row r="269">
      <x:c r="A269" s="33" t="n">
        <x:v>257</x:v>
      </x:c>
      <x:c r="B269" s="32" t="e">
        <x:f>IF(A269=1,Dashboard!$F$14,F268)</x:f>
      </x:c>
      <x:c r="C269" s="32" t="n">
        <x:f>0</x:f>
        <x:v>0</x:v>
      </x:c>
      <x:c r="D269" s="32" t="e">
        <x:f>IF(A269&lt;=Dashboard!$F$15,B269*Dashboard!$F$6,0)</x:f>
      </x:c>
      <x:c r="E269" s="32" t="e">
        <x:f>IF(A269&lt;=Dashboard!$F$15,MIN(Dashboard!$F$10,B269+D269),0)</x:f>
      </x:c>
      <x:c r="F269" s="32" t="e">
        <x:f>IF(A269&lt;=Dashboard!$F$15,MAX(0,B269-MAX(0,E269-D269)),0)</x:f>
      </x:c>
      <x:c r="G269" s="32" t="e">
        <x:f>IF(A269=1,D269,G268+D269)</x:f>
      </x:c>
      <x:c r="H269" s="32"/>
      <x:c r="I269" s="32" t="e">
        <x:f>IF(A269=1,Dashboard!$F$14,M268)</x:f>
      </x:c>
      <x:c r="J269" s="32" t="e">
        <x:f>IF(A269&lt;=Dashboard!$F$17,MIN(I269,$B$5),0)</x:f>
      </x:c>
      <x:c r="K269" s="32" t="e">
        <x:f>IF(A269&lt;=Dashboard!$F$17,MAX(0,I269-J269)*Dashboard!$F$6,0)</x:f>
      </x:c>
      <x:c r="L269" s="32" t="e">
        <x:f>IF(A269&lt;=Dashboard!$F$17,MIN(Dashboard!$F$10,MAX(0,I269-J269)+K269),0)</x:f>
      </x:c>
      <x:c r="M269" s="32" t="e">
        <x:f>IF(A269&lt;=Dashboard!$F$17,MAX(0,I269-J269-MAX(0,L269-K269)),0)</x:f>
      </x:c>
      <x:c r="N269" s="32" t="e">
        <x:f>IF(A269=1,K269,N268+K269)</x:f>
      </x:c>
      <x:c r="O269" s="32"/>
      <x:c r="P269" s="32" t="e">
        <x:f>IF(A269=1,Dashboard!$F$14,T268)</x:f>
      </x:c>
      <x:c r="Q269" s="32" t="e">
        <x:f>IF(A269&lt;=Dashboard!$F$17,MIN(P269,$B$6*52/12),0)</x:f>
      </x:c>
      <x:c r="R269" s="32" t="e">
        <x:f>IF(A269&lt;=Dashboard!$F$17,MAX(0,P269-Q269)*Dashboard!$F$6,0)</x:f>
      </x:c>
      <x:c r="S269" s="32" t="e">
        <x:f>IF(A269&lt;=Dashboard!$F$17,MIN(Dashboard!$F$10,MAX(0,P269-Q269)+R269),0)</x:f>
      </x:c>
      <x:c r="T269" s="32" t="e">
        <x:f>IF(A269&lt;=Dashboard!$F$17,MAX(0,P269-Q269-MAX(0,S269-R269)),0)</x:f>
      </x:c>
      <x:c r="U269" s="32" t="e">
        <x:f>IF(A269=1,R269,U268+R269)</x:f>
      </x:c>
      <x:c r="V269" s="32"/>
      <x:c r="W269" s="32" t="e">
        <x:f>IF(A269=1,Dashboard!$F$14,AA268)</x:f>
      </x:c>
      <x:c r="X269" s="32" t="e">
        <x:f>IF(AND(A269&lt;=Dashboard!$F$17,MOD(A269-1,12)=0),MIN(W269,$B$7),0)</x:f>
      </x:c>
      <x:c r="Y269" s="32" t="e">
        <x:f>IF(A269&lt;=Dashboard!$F$17,MAX(0,W269-X269)*Dashboard!$F$6,0)</x:f>
      </x:c>
      <x:c r="Z269" s="32" t="e">
        <x:f>IF(A269&lt;=Dashboard!$F$17,MIN(Dashboard!$F$10,MAX(0,W269-X269)+Y269),0)</x:f>
      </x:c>
      <x:c r="AA269" s="32" t="e">
        <x:f>IF(A269&lt;=Dashboard!$F$17,MAX(0,W269-X269-MAX(0,Z269-Y269)),0)</x:f>
      </x:c>
      <x:c r="AB269" s="32" t="e">
        <x:f>IF(A269=1,Y269,AB268+Y269)</x:f>
      </x:c>
      <x:c r="AC269" s="32"/>
      <x:c r="AD269" s="32" t="e">
        <x:f>IF(A269=1,MAX(0,Dashboard!$F$14-$B$8),AG268)</x:f>
      </x:c>
      <x:c r="AE269" s="32" t="n">
        <x:f>0</x:f>
        <x:v>0</x:v>
      </x:c>
      <x:c r="AF269" s="32" t="e">
        <x:f>IF(A269&lt;=Dashboard!$F$17,AD269*Dashboard!$F$6,0)</x:f>
      </x:c>
      <x:c r="AG269" s="32" t="e">
        <x:f>IF(A269&lt;=Dashboard!$F$17,MIN(Dashboard!$F$10,AD269+AF269),0)</x:f>
      </x:c>
      <x:c r="AH269" s="32" t="e">
        <x:f>IF(A269&lt;=Dashboard!$F$17,MAX(0,AD269-MAX(0,AG269-AF269)),0)</x:f>
      </x:c>
      <x:c r="AI269" s="32" t="e">
        <x:f>IF(A269=1,AF269,AI268+AF269)</x:f>
      </x:c>
      <x:c r="AJ269" s="33"/>
      <x:c r="AK269" s="33"/>
      <x:c r="AL269" s="33"/>
      <x:c r="AM269" s="33"/>
    </x:row>
    <x:row r="270">
      <x:c r="A270" s="33" t="n">
        <x:v>258</x:v>
      </x:c>
      <x:c r="B270" s="32" t="e">
        <x:f>IF(A270=1,Dashboard!$F$14,F269)</x:f>
      </x:c>
      <x:c r="C270" s="32" t="n">
        <x:f>0</x:f>
        <x:v>0</x:v>
      </x:c>
      <x:c r="D270" s="32" t="e">
        <x:f>IF(A270&lt;=Dashboard!$F$15,B270*Dashboard!$F$6,0)</x:f>
      </x:c>
      <x:c r="E270" s="32" t="e">
        <x:f>IF(A270&lt;=Dashboard!$F$15,MIN(Dashboard!$F$10,B270+D270),0)</x:f>
      </x:c>
      <x:c r="F270" s="32" t="e">
        <x:f>IF(A270&lt;=Dashboard!$F$15,MAX(0,B270-MAX(0,E270-D270)),0)</x:f>
      </x:c>
      <x:c r="G270" s="32" t="e">
        <x:f>IF(A270=1,D270,G269+D270)</x:f>
      </x:c>
      <x:c r="H270" s="32"/>
      <x:c r="I270" s="32" t="e">
        <x:f>IF(A270=1,Dashboard!$F$14,M269)</x:f>
      </x:c>
      <x:c r="J270" s="32" t="e">
        <x:f>IF(A270&lt;=Dashboard!$F$17,MIN(I270,$B$5),0)</x:f>
      </x:c>
      <x:c r="K270" s="32" t="e">
        <x:f>IF(A270&lt;=Dashboard!$F$17,MAX(0,I270-J270)*Dashboard!$F$6,0)</x:f>
      </x:c>
      <x:c r="L270" s="32" t="e">
        <x:f>IF(A270&lt;=Dashboard!$F$17,MIN(Dashboard!$F$10,MAX(0,I270-J270)+K270),0)</x:f>
      </x:c>
      <x:c r="M270" s="32" t="e">
        <x:f>IF(A270&lt;=Dashboard!$F$17,MAX(0,I270-J270-MAX(0,L270-K270)),0)</x:f>
      </x:c>
      <x:c r="N270" s="32" t="e">
        <x:f>IF(A270=1,K270,N269+K270)</x:f>
      </x:c>
      <x:c r="O270" s="32"/>
      <x:c r="P270" s="32" t="e">
        <x:f>IF(A270=1,Dashboard!$F$14,T269)</x:f>
      </x:c>
      <x:c r="Q270" s="32" t="e">
        <x:f>IF(A270&lt;=Dashboard!$F$17,MIN(P270,$B$6*52/12),0)</x:f>
      </x:c>
      <x:c r="R270" s="32" t="e">
        <x:f>IF(A270&lt;=Dashboard!$F$17,MAX(0,P270-Q270)*Dashboard!$F$6,0)</x:f>
      </x:c>
      <x:c r="S270" s="32" t="e">
        <x:f>IF(A270&lt;=Dashboard!$F$17,MIN(Dashboard!$F$10,MAX(0,P270-Q270)+R270),0)</x:f>
      </x:c>
      <x:c r="T270" s="32" t="e">
        <x:f>IF(A270&lt;=Dashboard!$F$17,MAX(0,P270-Q270-MAX(0,S270-R270)),0)</x:f>
      </x:c>
      <x:c r="U270" s="32" t="e">
        <x:f>IF(A270=1,R270,U269+R270)</x:f>
      </x:c>
      <x:c r="V270" s="32"/>
      <x:c r="W270" s="32" t="e">
        <x:f>IF(A270=1,Dashboard!$F$14,AA269)</x:f>
      </x:c>
      <x:c r="X270" s="32" t="e">
        <x:f>IF(AND(A270&lt;=Dashboard!$F$17,MOD(A270-1,12)=0),MIN(W270,$B$7),0)</x:f>
      </x:c>
      <x:c r="Y270" s="32" t="e">
        <x:f>IF(A270&lt;=Dashboard!$F$17,MAX(0,W270-X270)*Dashboard!$F$6,0)</x:f>
      </x:c>
      <x:c r="Z270" s="32" t="e">
        <x:f>IF(A270&lt;=Dashboard!$F$17,MIN(Dashboard!$F$10,MAX(0,W270-X270)+Y270),0)</x:f>
      </x:c>
      <x:c r="AA270" s="32" t="e">
        <x:f>IF(A270&lt;=Dashboard!$F$17,MAX(0,W270-X270-MAX(0,Z270-Y270)),0)</x:f>
      </x:c>
      <x:c r="AB270" s="32" t="e">
        <x:f>IF(A270=1,Y270,AB269+Y270)</x:f>
      </x:c>
      <x:c r="AC270" s="32"/>
      <x:c r="AD270" s="32" t="e">
        <x:f>IF(A270=1,MAX(0,Dashboard!$F$14-$B$8),AG269)</x:f>
      </x:c>
      <x:c r="AE270" s="32" t="n">
        <x:f>0</x:f>
        <x:v>0</x:v>
      </x:c>
      <x:c r="AF270" s="32" t="e">
        <x:f>IF(A270&lt;=Dashboard!$F$17,AD270*Dashboard!$F$6,0)</x:f>
      </x:c>
      <x:c r="AG270" s="32" t="e">
        <x:f>IF(A270&lt;=Dashboard!$F$17,MIN(Dashboard!$F$10,AD270+AF270),0)</x:f>
      </x:c>
      <x:c r="AH270" s="32" t="e">
        <x:f>IF(A270&lt;=Dashboard!$F$17,MAX(0,AD270-MAX(0,AG270-AF270)),0)</x:f>
      </x:c>
      <x:c r="AI270" s="32" t="e">
        <x:f>IF(A270=1,AF270,AI269+AF270)</x:f>
      </x:c>
      <x:c r="AJ270" s="33"/>
      <x:c r="AK270" s="33"/>
      <x:c r="AL270" s="33"/>
      <x:c r="AM270" s="33"/>
    </x:row>
    <x:row r="271">
      <x:c r="A271" s="33" t="n">
        <x:v>259</x:v>
      </x:c>
      <x:c r="B271" s="32" t="e">
        <x:f>IF(A271=1,Dashboard!$F$14,F270)</x:f>
      </x:c>
      <x:c r="C271" s="32" t="n">
        <x:f>0</x:f>
        <x:v>0</x:v>
      </x:c>
      <x:c r="D271" s="32" t="e">
        <x:f>IF(A271&lt;=Dashboard!$F$15,B271*Dashboard!$F$6,0)</x:f>
      </x:c>
      <x:c r="E271" s="32" t="e">
        <x:f>IF(A271&lt;=Dashboard!$F$15,MIN(Dashboard!$F$10,B271+D271),0)</x:f>
      </x:c>
      <x:c r="F271" s="32" t="e">
        <x:f>IF(A271&lt;=Dashboard!$F$15,MAX(0,B271-MAX(0,E271-D271)),0)</x:f>
      </x:c>
      <x:c r="G271" s="32" t="e">
        <x:f>IF(A271=1,D271,G270+D271)</x:f>
      </x:c>
      <x:c r="H271" s="32"/>
      <x:c r="I271" s="32" t="e">
        <x:f>IF(A271=1,Dashboard!$F$14,M270)</x:f>
      </x:c>
      <x:c r="J271" s="32" t="e">
        <x:f>IF(A271&lt;=Dashboard!$F$17,MIN(I271,$B$5),0)</x:f>
      </x:c>
      <x:c r="K271" s="32" t="e">
        <x:f>IF(A271&lt;=Dashboard!$F$17,MAX(0,I271-J271)*Dashboard!$F$6,0)</x:f>
      </x:c>
      <x:c r="L271" s="32" t="e">
        <x:f>IF(A271&lt;=Dashboard!$F$17,MIN(Dashboard!$F$10,MAX(0,I271-J271)+K271),0)</x:f>
      </x:c>
      <x:c r="M271" s="32" t="e">
        <x:f>IF(A271&lt;=Dashboard!$F$17,MAX(0,I271-J271-MAX(0,L271-K271)),0)</x:f>
      </x:c>
      <x:c r="N271" s="32" t="e">
        <x:f>IF(A271=1,K271,N270+K271)</x:f>
      </x:c>
      <x:c r="O271" s="32"/>
      <x:c r="P271" s="32" t="e">
        <x:f>IF(A271=1,Dashboard!$F$14,T270)</x:f>
      </x:c>
      <x:c r="Q271" s="32" t="e">
        <x:f>IF(A271&lt;=Dashboard!$F$17,MIN(P271,$B$6*52/12),0)</x:f>
      </x:c>
      <x:c r="R271" s="32" t="e">
        <x:f>IF(A271&lt;=Dashboard!$F$17,MAX(0,P271-Q271)*Dashboard!$F$6,0)</x:f>
      </x:c>
      <x:c r="S271" s="32" t="e">
        <x:f>IF(A271&lt;=Dashboard!$F$17,MIN(Dashboard!$F$10,MAX(0,P271-Q271)+R271),0)</x:f>
      </x:c>
      <x:c r="T271" s="32" t="e">
        <x:f>IF(A271&lt;=Dashboard!$F$17,MAX(0,P271-Q271-MAX(0,S271-R271)),0)</x:f>
      </x:c>
      <x:c r="U271" s="32" t="e">
        <x:f>IF(A271=1,R271,U270+R271)</x:f>
      </x:c>
      <x:c r="V271" s="32"/>
      <x:c r="W271" s="32" t="e">
        <x:f>IF(A271=1,Dashboard!$F$14,AA270)</x:f>
      </x:c>
      <x:c r="X271" s="32" t="e">
        <x:f>IF(AND(A271&lt;=Dashboard!$F$17,MOD(A271-1,12)=0),MIN(W271,$B$7),0)</x:f>
      </x:c>
      <x:c r="Y271" s="32" t="e">
        <x:f>IF(A271&lt;=Dashboard!$F$17,MAX(0,W271-X271)*Dashboard!$F$6,0)</x:f>
      </x:c>
      <x:c r="Z271" s="32" t="e">
        <x:f>IF(A271&lt;=Dashboard!$F$17,MIN(Dashboard!$F$10,MAX(0,W271-X271)+Y271),0)</x:f>
      </x:c>
      <x:c r="AA271" s="32" t="e">
        <x:f>IF(A271&lt;=Dashboard!$F$17,MAX(0,W271-X271-MAX(0,Z271-Y271)),0)</x:f>
      </x:c>
      <x:c r="AB271" s="32" t="e">
        <x:f>IF(A271=1,Y271,AB270+Y271)</x:f>
      </x:c>
      <x:c r="AC271" s="32"/>
      <x:c r="AD271" s="32" t="e">
        <x:f>IF(A271=1,MAX(0,Dashboard!$F$14-$B$8),AG270)</x:f>
      </x:c>
      <x:c r="AE271" s="32" t="n">
        <x:f>0</x:f>
        <x:v>0</x:v>
      </x:c>
      <x:c r="AF271" s="32" t="e">
        <x:f>IF(A271&lt;=Dashboard!$F$17,AD271*Dashboard!$F$6,0)</x:f>
      </x:c>
      <x:c r="AG271" s="32" t="e">
        <x:f>IF(A271&lt;=Dashboard!$F$17,MIN(Dashboard!$F$10,AD271+AF271),0)</x:f>
      </x:c>
      <x:c r="AH271" s="32" t="e">
        <x:f>IF(A271&lt;=Dashboard!$F$17,MAX(0,AD271-MAX(0,AG271-AF271)),0)</x:f>
      </x:c>
      <x:c r="AI271" s="32" t="e">
        <x:f>IF(A271=1,AF271,AI270+AF271)</x:f>
      </x:c>
      <x:c r="AJ271" s="33"/>
      <x:c r="AK271" s="33"/>
      <x:c r="AL271" s="33"/>
      <x:c r="AM271" s="33"/>
    </x:row>
    <x:row r="272">
      <x:c r="A272" s="33" t="n">
        <x:v>260</x:v>
      </x:c>
      <x:c r="B272" s="32" t="e">
        <x:f>IF(A272=1,Dashboard!$F$14,F271)</x:f>
      </x:c>
      <x:c r="C272" s="32" t="n">
        <x:f>0</x:f>
        <x:v>0</x:v>
      </x:c>
      <x:c r="D272" s="32" t="e">
        <x:f>IF(A272&lt;=Dashboard!$F$15,B272*Dashboard!$F$6,0)</x:f>
      </x:c>
      <x:c r="E272" s="32" t="e">
        <x:f>IF(A272&lt;=Dashboard!$F$15,MIN(Dashboard!$F$10,B272+D272),0)</x:f>
      </x:c>
      <x:c r="F272" s="32" t="e">
        <x:f>IF(A272&lt;=Dashboard!$F$15,MAX(0,B272-MAX(0,E272-D272)),0)</x:f>
      </x:c>
      <x:c r="G272" s="32" t="e">
        <x:f>IF(A272=1,D272,G271+D272)</x:f>
      </x:c>
      <x:c r="H272" s="32"/>
      <x:c r="I272" s="32" t="e">
        <x:f>IF(A272=1,Dashboard!$F$14,M271)</x:f>
      </x:c>
      <x:c r="J272" s="32" t="e">
        <x:f>IF(A272&lt;=Dashboard!$F$17,MIN(I272,$B$5),0)</x:f>
      </x:c>
      <x:c r="K272" s="32" t="e">
        <x:f>IF(A272&lt;=Dashboard!$F$17,MAX(0,I272-J272)*Dashboard!$F$6,0)</x:f>
      </x:c>
      <x:c r="L272" s="32" t="e">
        <x:f>IF(A272&lt;=Dashboard!$F$17,MIN(Dashboard!$F$10,MAX(0,I272-J272)+K272),0)</x:f>
      </x:c>
      <x:c r="M272" s="32" t="e">
        <x:f>IF(A272&lt;=Dashboard!$F$17,MAX(0,I272-J272-MAX(0,L272-K272)),0)</x:f>
      </x:c>
      <x:c r="N272" s="32" t="e">
        <x:f>IF(A272=1,K272,N271+K272)</x:f>
      </x:c>
      <x:c r="O272" s="32"/>
      <x:c r="P272" s="32" t="e">
        <x:f>IF(A272=1,Dashboard!$F$14,T271)</x:f>
      </x:c>
      <x:c r="Q272" s="32" t="e">
        <x:f>IF(A272&lt;=Dashboard!$F$17,MIN(P272,$B$6*52/12),0)</x:f>
      </x:c>
      <x:c r="R272" s="32" t="e">
        <x:f>IF(A272&lt;=Dashboard!$F$17,MAX(0,P272-Q272)*Dashboard!$F$6,0)</x:f>
      </x:c>
      <x:c r="S272" s="32" t="e">
        <x:f>IF(A272&lt;=Dashboard!$F$17,MIN(Dashboard!$F$10,MAX(0,P272-Q272)+R272),0)</x:f>
      </x:c>
      <x:c r="T272" s="32" t="e">
        <x:f>IF(A272&lt;=Dashboard!$F$17,MAX(0,P272-Q272-MAX(0,S272-R272)),0)</x:f>
      </x:c>
      <x:c r="U272" s="32" t="e">
        <x:f>IF(A272=1,R272,U271+R272)</x:f>
      </x:c>
      <x:c r="V272" s="32"/>
      <x:c r="W272" s="32" t="e">
        <x:f>IF(A272=1,Dashboard!$F$14,AA271)</x:f>
      </x:c>
      <x:c r="X272" s="32" t="e">
        <x:f>IF(AND(A272&lt;=Dashboard!$F$17,MOD(A272-1,12)=0),MIN(W272,$B$7),0)</x:f>
      </x:c>
      <x:c r="Y272" s="32" t="e">
        <x:f>IF(A272&lt;=Dashboard!$F$17,MAX(0,W272-X272)*Dashboard!$F$6,0)</x:f>
      </x:c>
      <x:c r="Z272" s="32" t="e">
        <x:f>IF(A272&lt;=Dashboard!$F$17,MIN(Dashboard!$F$10,MAX(0,W272-X272)+Y272),0)</x:f>
      </x:c>
      <x:c r="AA272" s="32" t="e">
        <x:f>IF(A272&lt;=Dashboard!$F$17,MAX(0,W272-X272-MAX(0,Z272-Y272)),0)</x:f>
      </x:c>
      <x:c r="AB272" s="32" t="e">
        <x:f>IF(A272=1,Y272,AB271+Y272)</x:f>
      </x:c>
      <x:c r="AC272" s="32"/>
      <x:c r="AD272" s="32" t="e">
        <x:f>IF(A272=1,MAX(0,Dashboard!$F$14-$B$8),AG271)</x:f>
      </x:c>
      <x:c r="AE272" s="32" t="n">
        <x:f>0</x:f>
        <x:v>0</x:v>
      </x:c>
      <x:c r="AF272" s="32" t="e">
        <x:f>IF(A272&lt;=Dashboard!$F$17,AD272*Dashboard!$F$6,0)</x:f>
      </x:c>
      <x:c r="AG272" s="32" t="e">
        <x:f>IF(A272&lt;=Dashboard!$F$17,MIN(Dashboard!$F$10,AD272+AF272),0)</x:f>
      </x:c>
      <x:c r="AH272" s="32" t="e">
        <x:f>IF(A272&lt;=Dashboard!$F$17,MAX(0,AD272-MAX(0,AG272-AF272)),0)</x:f>
      </x:c>
      <x:c r="AI272" s="32" t="e">
        <x:f>IF(A272=1,AF272,AI271+AF272)</x:f>
      </x:c>
      <x:c r="AJ272" s="33"/>
      <x:c r="AK272" s="33"/>
      <x:c r="AL272" s="33"/>
      <x:c r="AM272" s="33"/>
    </x:row>
    <x:row r="273">
      <x:c r="A273" s="33" t="n">
        <x:v>261</x:v>
      </x:c>
      <x:c r="B273" s="32" t="e">
        <x:f>IF(A273=1,Dashboard!$F$14,F272)</x:f>
      </x:c>
      <x:c r="C273" s="32" t="n">
        <x:f>0</x:f>
        <x:v>0</x:v>
      </x:c>
      <x:c r="D273" s="32" t="e">
        <x:f>IF(A273&lt;=Dashboard!$F$15,B273*Dashboard!$F$6,0)</x:f>
      </x:c>
      <x:c r="E273" s="32" t="e">
        <x:f>IF(A273&lt;=Dashboard!$F$15,MIN(Dashboard!$F$10,B273+D273),0)</x:f>
      </x:c>
      <x:c r="F273" s="32" t="e">
        <x:f>IF(A273&lt;=Dashboard!$F$15,MAX(0,B273-MAX(0,E273-D273)),0)</x:f>
      </x:c>
      <x:c r="G273" s="32" t="e">
        <x:f>IF(A273=1,D273,G272+D273)</x:f>
      </x:c>
      <x:c r="H273" s="32"/>
      <x:c r="I273" s="32" t="e">
        <x:f>IF(A273=1,Dashboard!$F$14,M272)</x:f>
      </x:c>
      <x:c r="J273" s="32" t="e">
        <x:f>IF(A273&lt;=Dashboard!$F$17,MIN(I273,$B$5),0)</x:f>
      </x:c>
      <x:c r="K273" s="32" t="e">
        <x:f>IF(A273&lt;=Dashboard!$F$17,MAX(0,I273-J273)*Dashboard!$F$6,0)</x:f>
      </x:c>
      <x:c r="L273" s="32" t="e">
        <x:f>IF(A273&lt;=Dashboard!$F$17,MIN(Dashboard!$F$10,MAX(0,I273-J273)+K273),0)</x:f>
      </x:c>
      <x:c r="M273" s="32" t="e">
        <x:f>IF(A273&lt;=Dashboard!$F$17,MAX(0,I273-J273-MAX(0,L273-K273)),0)</x:f>
      </x:c>
      <x:c r="N273" s="32" t="e">
        <x:f>IF(A273=1,K273,N272+K273)</x:f>
      </x:c>
      <x:c r="O273" s="32"/>
      <x:c r="P273" s="32" t="e">
        <x:f>IF(A273=1,Dashboard!$F$14,T272)</x:f>
      </x:c>
      <x:c r="Q273" s="32" t="e">
        <x:f>IF(A273&lt;=Dashboard!$F$17,MIN(P273,$B$6*52/12),0)</x:f>
      </x:c>
      <x:c r="R273" s="32" t="e">
        <x:f>IF(A273&lt;=Dashboard!$F$17,MAX(0,P273-Q273)*Dashboard!$F$6,0)</x:f>
      </x:c>
      <x:c r="S273" s="32" t="e">
        <x:f>IF(A273&lt;=Dashboard!$F$17,MIN(Dashboard!$F$10,MAX(0,P273-Q273)+R273),0)</x:f>
      </x:c>
      <x:c r="T273" s="32" t="e">
        <x:f>IF(A273&lt;=Dashboard!$F$17,MAX(0,P273-Q273-MAX(0,S273-R273)),0)</x:f>
      </x:c>
      <x:c r="U273" s="32" t="e">
        <x:f>IF(A273=1,R273,U272+R273)</x:f>
      </x:c>
      <x:c r="V273" s="32"/>
      <x:c r="W273" s="32" t="e">
        <x:f>IF(A273=1,Dashboard!$F$14,AA272)</x:f>
      </x:c>
      <x:c r="X273" s="32" t="e">
        <x:f>IF(AND(A273&lt;=Dashboard!$F$17,MOD(A273-1,12)=0),MIN(W273,$B$7),0)</x:f>
      </x:c>
      <x:c r="Y273" s="32" t="e">
        <x:f>IF(A273&lt;=Dashboard!$F$17,MAX(0,W273-X273)*Dashboard!$F$6,0)</x:f>
      </x:c>
      <x:c r="Z273" s="32" t="e">
        <x:f>IF(A273&lt;=Dashboard!$F$17,MIN(Dashboard!$F$10,MAX(0,W273-X273)+Y273),0)</x:f>
      </x:c>
      <x:c r="AA273" s="32" t="e">
        <x:f>IF(A273&lt;=Dashboard!$F$17,MAX(0,W273-X273-MAX(0,Z273-Y273)),0)</x:f>
      </x:c>
      <x:c r="AB273" s="32" t="e">
        <x:f>IF(A273=1,Y273,AB272+Y273)</x:f>
      </x:c>
      <x:c r="AC273" s="32"/>
      <x:c r="AD273" s="32" t="e">
        <x:f>IF(A273=1,MAX(0,Dashboard!$F$14-$B$8),AG272)</x:f>
      </x:c>
      <x:c r="AE273" s="32" t="n">
        <x:f>0</x:f>
        <x:v>0</x:v>
      </x:c>
      <x:c r="AF273" s="32" t="e">
        <x:f>IF(A273&lt;=Dashboard!$F$17,AD273*Dashboard!$F$6,0)</x:f>
      </x:c>
      <x:c r="AG273" s="32" t="e">
        <x:f>IF(A273&lt;=Dashboard!$F$17,MIN(Dashboard!$F$10,AD273+AF273),0)</x:f>
      </x:c>
      <x:c r="AH273" s="32" t="e">
        <x:f>IF(A273&lt;=Dashboard!$F$17,MAX(0,AD273-MAX(0,AG273-AF273)),0)</x:f>
      </x:c>
      <x:c r="AI273" s="32" t="e">
        <x:f>IF(A273=1,AF273,AI272+AF273)</x:f>
      </x:c>
      <x:c r="AJ273" s="33"/>
      <x:c r="AK273" s="33"/>
      <x:c r="AL273" s="33"/>
      <x:c r="AM273" s="33"/>
    </x:row>
    <x:row r="274">
      <x:c r="A274" s="33" t="n">
        <x:v>262</x:v>
      </x:c>
      <x:c r="B274" s="32" t="e">
        <x:f>IF(A274=1,Dashboard!$F$14,F273)</x:f>
      </x:c>
      <x:c r="C274" s="32" t="n">
        <x:f>0</x:f>
        <x:v>0</x:v>
      </x:c>
      <x:c r="D274" s="32" t="e">
        <x:f>IF(A274&lt;=Dashboard!$F$15,B274*Dashboard!$F$6,0)</x:f>
      </x:c>
      <x:c r="E274" s="32" t="e">
        <x:f>IF(A274&lt;=Dashboard!$F$15,MIN(Dashboard!$F$10,B274+D274),0)</x:f>
      </x:c>
      <x:c r="F274" s="32" t="e">
        <x:f>IF(A274&lt;=Dashboard!$F$15,MAX(0,B274-MAX(0,E274-D274)),0)</x:f>
      </x:c>
      <x:c r="G274" s="32" t="e">
        <x:f>IF(A274=1,D274,G273+D274)</x:f>
      </x:c>
      <x:c r="H274" s="32"/>
      <x:c r="I274" s="32" t="e">
        <x:f>IF(A274=1,Dashboard!$F$14,M273)</x:f>
      </x:c>
      <x:c r="J274" s="32" t="e">
        <x:f>IF(A274&lt;=Dashboard!$F$17,MIN(I274,$B$5),0)</x:f>
      </x:c>
      <x:c r="K274" s="32" t="e">
        <x:f>IF(A274&lt;=Dashboard!$F$17,MAX(0,I274-J274)*Dashboard!$F$6,0)</x:f>
      </x:c>
      <x:c r="L274" s="32" t="e">
        <x:f>IF(A274&lt;=Dashboard!$F$17,MIN(Dashboard!$F$10,MAX(0,I274-J274)+K274),0)</x:f>
      </x:c>
      <x:c r="M274" s="32" t="e">
        <x:f>IF(A274&lt;=Dashboard!$F$17,MAX(0,I274-J274-MAX(0,L274-K274)),0)</x:f>
      </x:c>
      <x:c r="N274" s="32" t="e">
        <x:f>IF(A274=1,K274,N273+K274)</x:f>
      </x:c>
      <x:c r="O274" s="32"/>
      <x:c r="P274" s="32" t="e">
        <x:f>IF(A274=1,Dashboard!$F$14,T273)</x:f>
      </x:c>
      <x:c r="Q274" s="32" t="e">
        <x:f>IF(A274&lt;=Dashboard!$F$17,MIN(P274,$B$6*52/12),0)</x:f>
      </x:c>
      <x:c r="R274" s="32" t="e">
        <x:f>IF(A274&lt;=Dashboard!$F$17,MAX(0,P274-Q274)*Dashboard!$F$6,0)</x:f>
      </x:c>
      <x:c r="S274" s="32" t="e">
        <x:f>IF(A274&lt;=Dashboard!$F$17,MIN(Dashboard!$F$10,MAX(0,P274-Q274)+R274),0)</x:f>
      </x:c>
      <x:c r="T274" s="32" t="e">
        <x:f>IF(A274&lt;=Dashboard!$F$17,MAX(0,P274-Q274-MAX(0,S274-R274)),0)</x:f>
      </x:c>
      <x:c r="U274" s="32" t="e">
        <x:f>IF(A274=1,R274,U273+R274)</x:f>
      </x:c>
      <x:c r="V274" s="32"/>
      <x:c r="W274" s="32" t="e">
        <x:f>IF(A274=1,Dashboard!$F$14,AA273)</x:f>
      </x:c>
      <x:c r="X274" s="32" t="e">
        <x:f>IF(AND(A274&lt;=Dashboard!$F$17,MOD(A274-1,12)=0),MIN(W274,$B$7),0)</x:f>
      </x:c>
      <x:c r="Y274" s="32" t="e">
        <x:f>IF(A274&lt;=Dashboard!$F$17,MAX(0,W274-X274)*Dashboard!$F$6,0)</x:f>
      </x:c>
      <x:c r="Z274" s="32" t="e">
        <x:f>IF(A274&lt;=Dashboard!$F$17,MIN(Dashboard!$F$10,MAX(0,W274-X274)+Y274),0)</x:f>
      </x:c>
      <x:c r="AA274" s="32" t="e">
        <x:f>IF(A274&lt;=Dashboard!$F$17,MAX(0,W274-X274-MAX(0,Z274-Y274)),0)</x:f>
      </x:c>
      <x:c r="AB274" s="32" t="e">
        <x:f>IF(A274=1,Y274,AB273+Y274)</x:f>
      </x:c>
      <x:c r="AC274" s="32"/>
      <x:c r="AD274" s="32" t="e">
        <x:f>IF(A274=1,MAX(0,Dashboard!$F$14-$B$8),AG273)</x:f>
      </x:c>
      <x:c r="AE274" s="32" t="n">
        <x:f>0</x:f>
        <x:v>0</x:v>
      </x:c>
      <x:c r="AF274" s="32" t="e">
        <x:f>IF(A274&lt;=Dashboard!$F$17,AD274*Dashboard!$F$6,0)</x:f>
      </x:c>
      <x:c r="AG274" s="32" t="e">
        <x:f>IF(A274&lt;=Dashboard!$F$17,MIN(Dashboard!$F$10,AD274+AF274),0)</x:f>
      </x:c>
      <x:c r="AH274" s="32" t="e">
        <x:f>IF(A274&lt;=Dashboard!$F$17,MAX(0,AD274-MAX(0,AG274-AF274)),0)</x:f>
      </x:c>
      <x:c r="AI274" s="32" t="e">
        <x:f>IF(A274=1,AF274,AI273+AF274)</x:f>
      </x:c>
      <x:c r="AJ274" s="33"/>
      <x:c r="AK274" s="33"/>
      <x:c r="AL274" s="33"/>
      <x:c r="AM274" s="33"/>
    </x:row>
    <x:row r="275">
      <x:c r="A275" s="33" t="n">
        <x:v>263</x:v>
      </x:c>
      <x:c r="B275" s="32" t="e">
        <x:f>IF(A275=1,Dashboard!$F$14,F274)</x:f>
      </x:c>
      <x:c r="C275" s="32" t="n">
        <x:f>0</x:f>
        <x:v>0</x:v>
      </x:c>
      <x:c r="D275" s="32" t="e">
        <x:f>IF(A275&lt;=Dashboard!$F$15,B275*Dashboard!$F$6,0)</x:f>
      </x:c>
      <x:c r="E275" s="32" t="e">
        <x:f>IF(A275&lt;=Dashboard!$F$15,MIN(Dashboard!$F$10,B275+D275),0)</x:f>
      </x:c>
      <x:c r="F275" s="32" t="e">
        <x:f>IF(A275&lt;=Dashboard!$F$15,MAX(0,B275-MAX(0,E275-D275)),0)</x:f>
      </x:c>
      <x:c r="G275" s="32" t="e">
        <x:f>IF(A275=1,D275,G274+D275)</x:f>
      </x:c>
      <x:c r="H275" s="32"/>
      <x:c r="I275" s="32" t="e">
        <x:f>IF(A275=1,Dashboard!$F$14,M274)</x:f>
      </x:c>
      <x:c r="J275" s="32" t="e">
        <x:f>IF(A275&lt;=Dashboard!$F$17,MIN(I275,$B$5),0)</x:f>
      </x:c>
      <x:c r="K275" s="32" t="e">
        <x:f>IF(A275&lt;=Dashboard!$F$17,MAX(0,I275-J275)*Dashboard!$F$6,0)</x:f>
      </x:c>
      <x:c r="L275" s="32" t="e">
        <x:f>IF(A275&lt;=Dashboard!$F$17,MIN(Dashboard!$F$10,MAX(0,I275-J275)+K275),0)</x:f>
      </x:c>
      <x:c r="M275" s="32" t="e">
        <x:f>IF(A275&lt;=Dashboard!$F$17,MAX(0,I275-J275-MAX(0,L275-K275)),0)</x:f>
      </x:c>
      <x:c r="N275" s="32" t="e">
        <x:f>IF(A275=1,K275,N274+K275)</x:f>
      </x:c>
      <x:c r="O275" s="32"/>
      <x:c r="P275" s="32" t="e">
        <x:f>IF(A275=1,Dashboard!$F$14,T274)</x:f>
      </x:c>
      <x:c r="Q275" s="32" t="e">
        <x:f>IF(A275&lt;=Dashboard!$F$17,MIN(P275,$B$6*52/12),0)</x:f>
      </x:c>
      <x:c r="R275" s="32" t="e">
        <x:f>IF(A275&lt;=Dashboard!$F$17,MAX(0,P275-Q275)*Dashboard!$F$6,0)</x:f>
      </x:c>
      <x:c r="S275" s="32" t="e">
        <x:f>IF(A275&lt;=Dashboard!$F$17,MIN(Dashboard!$F$10,MAX(0,P275-Q275)+R275),0)</x:f>
      </x:c>
      <x:c r="T275" s="32" t="e">
        <x:f>IF(A275&lt;=Dashboard!$F$17,MAX(0,P275-Q275-MAX(0,S275-R275)),0)</x:f>
      </x:c>
      <x:c r="U275" s="32" t="e">
        <x:f>IF(A275=1,R275,U274+R275)</x:f>
      </x:c>
      <x:c r="V275" s="32"/>
      <x:c r="W275" s="32" t="e">
        <x:f>IF(A275=1,Dashboard!$F$14,AA274)</x:f>
      </x:c>
      <x:c r="X275" s="32" t="e">
        <x:f>IF(AND(A275&lt;=Dashboard!$F$17,MOD(A275-1,12)=0),MIN(W275,$B$7),0)</x:f>
      </x:c>
      <x:c r="Y275" s="32" t="e">
        <x:f>IF(A275&lt;=Dashboard!$F$17,MAX(0,W275-X275)*Dashboard!$F$6,0)</x:f>
      </x:c>
      <x:c r="Z275" s="32" t="e">
        <x:f>IF(A275&lt;=Dashboard!$F$17,MIN(Dashboard!$F$10,MAX(0,W275-X275)+Y275),0)</x:f>
      </x:c>
      <x:c r="AA275" s="32" t="e">
        <x:f>IF(A275&lt;=Dashboard!$F$17,MAX(0,W275-X275-MAX(0,Z275-Y275)),0)</x:f>
      </x:c>
      <x:c r="AB275" s="32" t="e">
        <x:f>IF(A275=1,Y275,AB274+Y275)</x:f>
      </x:c>
      <x:c r="AC275" s="32"/>
      <x:c r="AD275" s="32" t="e">
        <x:f>IF(A275=1,MAX(0,Dashboard!$F$14-$B$8),AG274)</x:f>
      </x:c>
      <x:c r="AE275" s="32" t="n">
        <x:f>0</x:f>
        <x:v>0</x:v>
      </x:c>
      <x:c r="AF275" s="32" t="e">
        <x:f>IF(A275&lt;=Dashboard!$F$17,AD275*Dashboard!$F$6,0)</x:f>
      </x:c>
      <x:c r="AG275" s="32" t="e">
        <x:f>IF(A275&lt;=Dashboard!$F$17,MIN(Dashboard!$F$10,AD275+AF275),0)</x:f>
      </x:c>
      <x:c r="AH275" s="32" t="e">
        <x:f>IF(A275&lt;=Dashboard!$F$17,MAX(0,AD275-MAX(0,AG275-AF275)),0)</x:f>
      </x:c>
      <x:c r="AI275" s="32" t="e">
        <x:f>IF(A275=1,AF275,AI274+AF275)</x:f>
      </x:c>
      <x:c r="AJ275" s="33"/>
      <x:c r="AK275" s="33"/>
      <x:c r="AL275" s="33"/>
      <x:c r="AM275" s="33"/>
    </x:row>
    <x:row r="276">
      <x:c r="A276" s="33" t="n">
        <x:v>264</x:v>
      </x:c>
      <x:c r="B276" s="32" t="e">
        <x:f>IF(A276=1,Dashboard!$F$14,F275)</x:f>
      </x:c>
      <x:c r="C276" s="32" t="n">
        <x:f>0</x:f>
        <x:v>0</x:v>
      </x:c>
      <x:c r="D276" s="32" t="e">
        <x:f>IF(A276&lt;=Dashboard!$F$15,B276*Dashboard!$F$6,0)</x:f>
      </x:c>
      <x:c r="E276" s="32" t="e">
        <x:f>IF(A276&lt;=Dashboard!$F$15,MIN(Dashboard!$F$10,B276+D276),0)</x:f>
      </x:c>
      <x:c r="F276" s="32" t="e">
        <x:f>IF(A276&lt;=Dashboard!$F$15,MAX(0,B276-MAX(0,E276-D276)),0)</x:f>
      </x:c>
      <x:c r="G276" s="32" t="e">
        <x:f>IF(A276=1,D276,G275+D276)</x:f>
      </x:c>
      <x:c r="H276" s="32"/>
      <x:c r="I276" s="32" t="e">
        <x:f>IF(A276=1,Dashboard!$F$14,M275)</x:f>
      </x:c>
      <x:c r="J276" s="32" t="e">
        <x:f>IF(A276&lt;=Dashboard!$F$17,MIN(I276,$B$5),0)</x:f>
      </x:c>
      <x:c r="K276" s="32" t="e">
        <x:f>IF(A276&lt;=Dashboard!$F$17,MAX(0,I276-J276)*Dashboard!$F$6,0)</x:f>
      </x:c>
      <x:c r="L276" s="32" t="e">
        <x:f>IF(A276&lt;=Dashboard!$F$17,MIN(Dashboard!$F$10,MAX(0,I276-J276)+K276),0)</x:f>
      </x:c>
      <x:c r="M276" s="32" t="e">
        <x:f>IF(A276&lt;=Dashboard!$F$17,MAX(0,I276-J276-MAX(0,L276-K276)),0)</x:f>
      </x:c>
      <x:c r="N276" s="32" t="e">
        <x:f>IF(A276=1,K276,N275+K276)</x:f>
      </x:c>
      <x:c r="O276" s="32"/>
      <x:c r="P276" s="32" t="e">
        <x:f>IF(A276=1,Dashboard!$F$14,T275)</x:f>
      </x:c>
      <x:c r="Q276" s="32" t="e">
        <x:f>IF(A276&lt;=Dashboard!$F$17,MIN(P276,$B$6*52/12),0)</x:f>
      </x:c>
      <x:c r="R276" s="32" t="e">
        <x:f>IF(A276&lt;=Dashboard!$F$17,MAX(0,P276-Q276)*Dashboard!$F$6,0)</x:f>
      </x:c>
      <x:c r="S276" s="32" t="e">
        <x:f>IF(A276&lt;=Dashboard!$F$17,MIN(Dashboard!$F$10,MAX(0,P276-Q276)+R276),0)</x:f>
      </x:c>
      <x:c r="T276" s="32" t="e">
        <x:f>IF(A276&lt;=Dashboard!$F$17,MAX(0,P276-Q276-MAX(0,S276-R276)),0)</x:f>
      </x:c>
      <x:c r="U276" s="32" t="e">
        <x:f>IF(A276=1,R276,U275+R276)</x:f>
      </x:c>
      <x:c r="V276" s="32"/>
      <x:c r="W276" s="32" t="e">
        <x:f>IF(A276=1,Dashboard!$F$14,AA275)</x:f>
      </x:c>
      <x:c r="X276" s="32" t="e">
        <x:f>IF(AND(A276&lt;=Dashboard!$F$17,MOD(A276-1,12)=0),MIN(W276,$B$7),0)</x:f>
      </x:c>
      <x:c r="Y276" s="32" t="e">
        <x:f>IF(A276&lt;=Dashboard!$F$17,MAX(0,W276-X276)*Dashboard!$F$6,0)</x:f>
      </x:c>
      <x:c r="Z276" s="32" t="e">
        <x:f>IF(A276&lt;=Dashboard!$F$17,MIN(Dashboard!$F$10,MAX(0,W276-X276)+Y276),0)</x:f>
      </x:c>
      <x:c r="AA276" s="32" t="e">
        <x:f>IF(A276&lt;=Dashboard!$F$17,MAX(0,W276-X276-MAX(0,Z276-Y276)),0)</x:f>
      </x:c>
      <x:c r="AB276" s="32" t="e">
        <x:f>IF(A276=1,Y276,AB275+Y276)</x:f>
      </x:c>
      <x:c r="AC276" s="32"/>
      <x:c r="AD276" s="32" t="e">
        <x:f>IF(A276=1,MAX(0,Dashboard!$F$14-$B$8),AG275)</x:f>
      </x:c>
      <x:c r="AE276" s="32" t="n">
        <x:f>0</x:f>
        <x:v>0</x:v>
      </x:c>
      <x:c r="AF276" s="32" t="e">
        <x:f>IF(A276&lt;=Dashboard!$F$17,AD276*Dashboard!$F$6,0)</x:f>
      </x:c>
      <x:c r="AG276" s="32" t="e">
        <x:f>IF(A276&lt;=Dashboard!$F$17,MIN(Dashboard!$F$10,AD276+AF276),0)</x:f>
      </x:c>
      <x:c r="AH276" s="32" t="e">
        <x:f>IF(A276&lt;=Dashboard!$F$17,MAX(0,AD276-MAX(0,AG276-AF276)),0)</x:f>
      </x:c>
      <x:c r="AI276" s="32" t="e">
        <x:f>IF(A276=1,AF276,AI275+AF276)</x:f>
      </x:c>
      <x:c r="AJ276" s="33"/>
      <x:c r="AK276" s="33"/>
      <x:c r="AL276" s="33"/>
      <x:c r="AM276" s="33"/>
    </x:row>
    <x:row r="277">
      <x:c r="A277" s="33" t="n">
        <x:v>265</x:v>
      </x:c>
      <x:c r="B277" s="32" t="e">
        <x:f>IF(A277=1,Dashboard!$F$14,F276)</x:f>
      </x:c>
      <x:c r="C277" s="32" t="n">
        <x:f>0</x:f>
        <x:v>0</x:v>
      </x:c>
      <x:c r="D277" s="32" t="e">
        <x:f>IF(A277&lt;=Dashboard!$F$15,B277*Dashboard!$F$6,0)</x:f>
      </x:c>
      <x:c r="E277" s="32" t="e">
        <x:f>IF(A277&lt;=Dashboard!$F$15,MIN(Dashboard!$F$10,B277+D277),0)</x:f>
      </x:c>
      <x:c r="F277" s="32" t="e">
        <x:f>IF(A277&lt;=Dashboard!$F$15,MAX(0,B277-MAX(0,E277-D277)),0)</x:f>
      </x:c>
      <x:c r="G277" s="32" t="e">
        <x:f>IF(A277=1,D277,G276+D277)</x:f>
      </x:c>
      <x:c r="H277" s="32"/>
      <x:c r="I277" s="32" t="e">
        <x:f>IF(A277=1,Dashboard!$F$14,M276)</x:f>
      </x:c>
      <x:c r="J277" s="32" t="e">
        <x:f>IF(A277&lt;=Dashboard!$F$17,MIN(I277,$B$5),0)</x:f>
      </x:c>
      <x:c r="K277" s="32" t="e">
        <x:f>IF(A277&lt;=Dashboard!$F$17,MAX(0,I277-J277)*Dashboard!$F$6,0)</x:f>
      </x:c>
      <x:c r="L277" s="32" t="e">
        <x:f>IF(A277&lt;=Dashboard!$F$17,MIN(Dashboard!$F$10,MAX(0,I277-J277)+K277),0)</x:f>
      </x:c>
      <x:c r="M277" s="32" t="e">
        <x:f>IF(A277&lt;=Dashboard!$F$17,MAX(0,I277-J277-MAX(0,L277-K277)),0)</x:f>
      </x:c>
      <x:c r="N277" s="32" t="e">
        <x:f>IF(A277=1,K277,N276+K277)</x:f>
      </x:c>
      <x:c r="O277" s="32"/>
      <x:c r="P277" s="32" t="e">
        <x:f>IF(A277=1,Dashboard!$F$14,T276)</x:f>
      </x:c>
      <x:c r="Q277" s="32" t="e">
        <x:f>IF(A277&lt;=Dashboard!$F$17,MIN(P277,$B$6*52/12),0)</x:f>
      </x:c>
      <x:c r="R277" s="32" t="e">
        <x:f>IF(A277&lt;=Dashboard!$F$17,MAX(0,P277-Q277)*Dashboard!$F$6,0)</x:f>
      </x:c>
      <x:c r="S277" s="32" t="e">
        <x:f>IF(A277&lt;=Dashboard!$F$17,MIN(Dashboard!$F$10,MAX(0,P277-Q277)+R277),0)</x:f>
      </x:c>
      <x:c r="T277" s="32" t="e">
        <x:f>IF(A277&lt;=Dashboard!$F$17,MAX(0,P277-Q277-MAX(0,S277-R277)),0)</x:f>
      </x:c>
      <x:c r="U277" s="32" t="e">
        <x:f>IF(A277=1,R277,U276+R277)</x:f>
      </x:c>
      <x:c r="V277" s="32"/>
      <x:c r="W277" s="32" t="e">
        <x:f>IF(A277=1,Dashboard!$F$14,AA276)</x:f>
      </x:c>
      <x:c r="X277" s="32" t="e">
        <x:f>IF(AND(A277&lt;=Dashboard!$F$17,MOD(A277-1,12)=0),MIN(W277,$B$7),0)</x:f>
      </x:c>
      <x:c r="Y277" s="32" t="e">
        <x:f>IF(A277&lt;=Dashboard!$F$17,MAX(0,W277-X277)*Dashboard!$F$6,0)</x:f>
      </x:c>
      <x:c r="Z277" s="32" t="e">
        <x:f>IF(A277&lt;=Dashboard!$F$17,MIN(Dashboard!$F$10,MAX(0,W277-X277)+Y277),0)</x:f>
      </x:c>
      <x:c r="AA277" s="32" t="e">
        <x:f>IF(A277&lt;=Dashboard!$F$17,MAX(0,W277-X277-MAX(0,Z277-Y277)),0)</x:f>
      </x:c>
      <x:c r="AB277" s="32" t="e">
        <x:f>IF(A277=1,Y277,AB276+Y277)</x:f>
      </x:c>
      <x:c r="AC277" s="32"/>
      <x:c r="AD277" s="32" t="e">
        <x:f>IF(A277=1,MAX(0,Dashboard!$F$14-$B$8),AG276)</x:f>
      </x:c>
      <x:c r="AE277" s="32" t="n">
        <x:f>0</x:f>
        <x:v>0</x:v>
      </x:c>
      <x:c r="AF277" s="32" t="e">
        <x:f>IF(A277&lt;=Dashboard!$F$17,AD277*Dashboard!$F$6,0)</x:f>
      </x:c>
      <x:c r="AG277" s="32" t="e">
        <x:f>IF(A277&lt;=Dashboard!$F$17,MIN(Dashboard!$F$10,AD277+AF277),0)</x:f>
      </x:c>
      <x:c r="AH277" s="32" t="e">
        <x:f>IF(A277&lt;=Dashboard!$F$17,MAX(0,AD277-MAX(0,AG277-AF277)),0)</x:f>
      </x:c>
      <x:c r="AI277" s="32" t="e">
        <x:f>IF(A277=1,AF277,AI276+AF277)</x:f>
      </x:c>
      <x:c r="AJ277" s="33"/>
      <x:c r="AK277" s="33"/>
      <x:c r="AL277" s="33"/>
      <x:c r="AM277" s="33"/>
    </x:row>
    <x:row r="278">
      <x:c r="A278" s="33" t="n">
        <x:v>266</x:v>
      </x:c>
      <x:c r="B278" s="32" t="e">
        <x:f>IF(A278=1,Dashboard!$F$14,F277)</x:f>
      </x:c>
      <x:c r="C278" s="32" t="n">
        <x:f>0</x:f>
        <x:v>0</x:v>
      </x:c>
      <x:c r="D278" s="32" t="e">
        <x:f>IF(A278&lt;=Dashboard!$F$15,B278*Dashboard!$F$6,0)</x:f>
      </x:c>
      <x:c r="E278" s="32" t="e">
        <x:f>IF(A278&lt;=Dashboard!$F$15,MIN(Dashboard!$F$10,B278+D278),0)</x:f>
      </x:c>
      <x:c r="F278" s="32" t="e">
        <x:f>IF(A278&lt;=Dashboard!$F$15,MAX(0,B278-MAX(0,E278-D278)),0)</x:f>
      </x:c>
      <x:c r="G278" s="32" t="e">
        <x:f>IF(A278=1,D278,G277+D278)</x:f>
      </x:c>
      <x:c r="H278" s="32"/>
      <x:c r="I278" s="32" t="e">
        <x:f>IF(A278=1,Dashboard!$F$14,M277)</x:f>
      </x:c>
      <x:c r="J278" s="32" t="e">
        <x:f>IF(A278&lt;=Dashboard!$F$17,MIN(I278,$B$5),0)</x:f>
      </x:c>
      <x:c r="K278" s="32" t="e">
        <x:f>IF(A278&lt;=Dashboard!$F$17,MAX(0,I278-J278)*Dashboard!$F$6,0)</x:f>
      </x:c>
      <x:c r="L278" s="32" t="e">
        <x:f>IF(A278&lt;=Dashboard!$F$17,MIN(Dashboard!$F$10,MAX(0,I278-J278)+K278),0)</x:f>
      </x:c>
      <x:c r="M278" s="32" t="e">
        <x:f>IF(A278&lt;=Dashboard!$F$17,MAX(0,I278-J278-MAX(0,L278-K278)),0)</x:f>
      </x:c>
      <x:c r="N278" s="32" t="e">
        <x:f>IF(A278=1,K278,N277+K278)</x:f>
      </x:c>
      <x:c r="O278" s="32"/>
      <x:c r="P278" s="32" t="e">
        <x:f>IF(A278=1,Dashboard!$F$14,T277)</x:f>
      </x:c>
      <x:c r="Q278" s="32" t="e">
        <x:f>IF(A278&lt;=Dashboard!$F$17,MIN(P278,$B$6*52/12),0)</x:f>
      </x:c>
      <x:c r="R278" s="32" t="e">
        <x:f>IF(A278&lt;=Dashboard!$F$17,MAX(0,P278-Q278)*Dashboard!$F$6,0)</x:f>
      </x:c>
      <x:c r="S278" s="32" t="e">
        <x:f>IF(A278&lt;=Dashboard!$F$17,MIN(Dashboard!$F$10,MAX(0,P278-Q278)+R278),0)</x:f>
      </x:c>
      <x:c r="T278" s="32" t="e">
        <x:f>IF(A278&lt;=Dashboard!$F$17,MAX(0,P278-Q278-MAX(0,S278-R278)),0)</x:f>
      </x:c>
      <x:c r="U278" s="32" t="e">
        <x:f>IF(A278=1,R278,U277+R278)</x:f>
      </x:c>
      <x:c r="V278" s="32"/>
      <x:c r="W278" s="32" t="e">
        <x:f>IF(A278=1,Dashboard!$F$14,AA277)</x:f>
      </x:c>
      <x:c r="X278" s="32" t="e">
        <x:f>IF(AND(A278&lt;=Dashboard!$F$17,MOD(A278-1,12)=0),MIN(W278,$B$7),0)</x:f>
      </x:c>
      <x:c r="Y278" s="32" t="e">
        <x:f>IF(A278&lt;=Dashboard!$F$17,MAX(0,W278-X278)*Dashboard!$F$6,0)</x:f>
      </x:c>
      <x:c r="Z278" s="32" t="e">
        <x:f>IF(A278&lt;=Dashboard!$F$17,MIN(Dashboard!$F$10,MAX(0,W278-X278)+Y278),0)</x:f>
      </x:c>
      <x:c r="AA278" s="32" t="e">
        <x:f>IF(A278&lt;=Dashboard!$F$17,MAX(0,W278-X278-MAX(0,Z278-Y278)),0)</x:f>
      </x:c>
      <x:c r="AB278" s="32" t="e">
        <x:f>IF(A278=1,Y278,AB277+Y278)</x:f>
      </x:c>
      <x:c r="AC278" s="32"/>
      <x:c r="AD278" s="32" t="e">
        <x:f>IF(A278=1,MAX(0,Dashboard!$F$14-$B$8),AG277)</x:f>
      </x:c>
      <x:c r="AE278" s="32" t="n">
        <x:f>0</x:f>
        <x:v>0</x:v>
      </x:c>
      <x:c r="AF278" s="32" t="e">
        <x:f>IF(A278&lt;=Dashboard!$F$17,AD278*Dashboard!$F$6,0)</x:f>
      </x:c>
      <x:c r="AG278" s="32" t="e">
        <x:f>IF(A278&lt;=Dashboard!$F$17,MIN(Dashboard!$F$10,AD278+AF278),0)</x:f>
      </x:c>
      <x:c r="AH278" s="32" t="e">
        <x:f>IF(A278&lt;=Dashboard!$F$17,MAX(0,AD278-MAX(0,AG278-AF278)),0)</x:f>
      </x:c>
      <x:c r="AI278" s="32" t="e">
        <x:f>IF(A278=1,AF278,AI277+AF278)</x:f>
      </x:c>
      <x:c r="AJ278" s="33"/>
      <x:c r="AK278" s="33"/>
      <x:c r="AL278" s="33"/>
      <x:c r="AM278" s="33"/>
    </x:row>
    <x:row r="279">
      <x:c r="A279" s="33" t="n">
        <x:v>267</x:v>
      </x:c>
      <x:c r="B279" s="32" t="e">
        <x:f>IF(A279=1,Dashboard!$F$14,F278)</x:f>
      </x:c>
      <x:c r="C279" s="32" t="n">
        <x:f>0</x:f>
        <x:v>0</x:v>
      </x:c>
      <x:c r="D279" s="32" t="e">
        <x:f>IF(A279&lt;=Dashboard!$F$15,B279*Dashboard!$F$6,0)</x:f>
      </x:c>
      <x:c r="E279" s="32" t="e">
        <x:f>IF(A279&lt;=Dashboard!$F$15,MIN(Dashboard!$F$10,B279+D279),0)</x:f>
      </x:c>
      <x:c r="F279" s="32" t="e">
        <x:f>IF(A279&lt;=Dashboard!$F$15,MAX(0,B279-MAX(0,E279-D279)),0)</x:f>
      </x:c>
      <x:c r="G279" s="32" t="e">
        <x:f>IF(A279=1,D279,G278+D279)</x:f>
      </x:c>
      <x:c r="H279" s="32"/>
      <x:c r="I279" s="32" t="e">
        <x:f>IF(A279=1,Dashboard!$F$14,M278)</x:f>
      </x:c>
      <x:c r="J279" s="32" t="e">
        <x:f>IF(A279&lt;=Dashboard!$F$17,MIN(I279,$B$5),0)</x:f>
      </x:c>
      <x:c r="K279" s="32" t="e">
        <x:f>IF(A279&lt;=Dashboard!$F$17,MAX(0,I279-J279)*Dashboard!$F$6,0)</x:f>
      </x:c>
      <x:c r="L279" s="32" t="e">
        <x:f>IF(A279&lt;=Dashboard!$F$17,MIN(Dashboard!$F$10,MAX(0,I279-J279)+K279),0)</x:f>
      </x:c>
      <x:c r="M279" s="32" t="e">
        <x:f>IF(A279&lt;=Dashboard!$F$17,MAX(0,I279-J279-MAX(0,L279-K279)),0)</x:f>
      </x:c>
      <x:c r="N279" s="32" t="e">
        <x:f>IF(A279=1,K279,N278+K279)</x:f>
      </x:c>
      <x:c r="O279" s="32"/>
      <x:c r="P279" s="32" t="e">
        <x:f>IF(A279=1,Dashboard!$F$14,T278)</x:f>
      </x:c>
      <x:c r="Q279" s="32" t="e">
        <x:f>IF(A279&lt;=Dashboard!$F$17,MIN(P279,$B$6*52/12),0)</x:f>
      </x:c>
      <x:c r="R279" s="32" t="e">
        <x:f>IF(A279&lt;=Dashboard!$F$17,MAX(0,P279-Q279)*Dashboard!$F$6,0)</x:f>
      </x:c>
      <x:c r="S279" s="32" t="e">
        <x:f>IF(A279&lt;=Dashboard!$F$17,MIN(Dashboard!$F$10,MAX(0,P279-Q279)+R279),0)</x:f>
      </x:c>
      <x:c r="T279" s="32" t="e">
        <x:f>IF(A279&lt;=Dashboard!$F$17,MAX(0,P279-Q279-MAX(0,S279-R279)),0)</x:f>
      </x:c>
      <x:c r="U279" s="32" t="e">
        <x:f>IF(A279=1,R279,U278+R279)</x:f>
      </x:c>
      <x:c r="V279" s="32"/>
      <x:c r="W279" s="32" t="e">
        <x:f>IF(A279=1,Dashboard!$F$14,AA278)</x:f>
      </x:c>
      <x:c r="X279" s="32" t="e">
        <x:f>IF(AND(A279&lt;=Dashboard!$F$17,MOD(A279-1,12)=0),MIN(W279,$B$7),0)</x:f>
      </x:c>
      <x:c r="Y279" s="32" t="e">
        <x:f>IF(A279&lt;=Dashboard!$F$17,MAX(0,W279-X279)*Dashboard!$F$6,0)</x:f>
      </x:c>
      <x:c r="Z279" s="32" t="e">
        <x:f>IF(A279&lt;=Dashboard!$F$17,MIN(Dashboard!$F$10,MAX(0,W279-X279)+Y279),0)</x:f>
      </x:c>
      <x:c r="AA279" s="32" t="e">
        <x:f>IF(A279&lt;=Dashboard!$F$17,MAX(0,W279-X279-MAX(0,Z279-Y279)),0)</x:f>
      </x:c>
      <x:c r="AB279" s="32" t="e">
        <x:f>IF(A279=1,Y279,AB278+Y279)</x:f>
      </x:c>
      <x:c r="AC279" s="32"/>
      <x:c r="AD279" s="32" t="e">
        <x:f>IF(A279=1,MAX(0,Dashboard!$F$14-$B$8),AG278)</x:f>
      </x:c>
      <x:c r="AE279" s="32" t="n">
        <x:f>0</x:f>
        <x:v>0</x:v>
      </x:c>
      <x:c r="AF279" s="32" t="e">
        <x:f>IF(A279&lt;=Dashboard!$F$17,AD279*Dashboard!$F$6,0)</x:f>
      </x:c>
      <x:c r="AG279" s="32" t="e">
        <x:f>IF(A279&lt;=Dashboard!$F$17,MIN(Dashboard!$F$10,AD279+AF279),0)</x:f>
      </x:c>
      <x:c r="AH279" s="32" t="e">
        <x:f>IF(A279&lt;=Dashboard!$F$17,MAX(0,AD279-MAX(0,AG279-AF279)),0)</x:f>
      </x:c>
      <x:c r="AI279" s="32" t="e">
        <x:f>IF(A279=1,AF279,AI278+AF279)</x:f>
      </x:c>
      <x:c r="AJ279" s="33"/>
      <x:c r="AK279" s="33"/>
      <x:c r="AL279" s="33"/>
      <x:c r="AM279" s="33"/>
    </x:row>
    <x:row r="280">
      <x:c r="A280" s="33" t="n">
        <x:v>268</x:v>
      </x:c>
      <x:c r="B280" s="32" t="e">
        <x:f>IF(A280=1,Dashboard!$F$14,F279)</x:f>
      </x:c>
      <x:c r="C280" s="32" t="n">
        <x:f>0</x:f>
        <x:v>0</x:v>
      </x:c>
      <x:c r="D280" s="32" t="e">
        <x:f>IF(A280&lt;=Dashboard!$F$15,B280*Dashboard!$F$6,0)</x:f>
      </x:c>
      <x:c r="E280" s="32" t="e">
        <x:f>IF(A280&lt;=Dashboard!$F$15,MIN(Dashboard!$F$10,B280+D280),0)</x:f>
      </x:c>
      <x:c r="F280" s="32" t="e">
        <x:f>IF(A280&lt;=Dashboard!$F$15,MAX(0,B280-MAX(0,E280-D280)),0)</x:f>
      </x:c>
      <x:c r="G280" s="32" t="e">
        <x:f>IF(A280=1,D280,G279+D280)</x:f>
      </x:c>
      <x:c r="H280" s="32"/>
      <x:c r="I280" s="32" t="e">
        <x:f>IF(A280=1,Dashboard!$F$14,M279)</x:f>
      </x:c>
      <x:c r="J280" s="32" t="e">
        <x:f>IF(A280&lt;=Dashboard!$F$17,MIN(I280,$B$5),0)</x:f>
      </x:c>
      <x:c r="K280" s="32" t="e">
        <x:f>IF(A280&lt;=Dashboard!$F$17,MAX(0,I280-J280)*Dashboard!$F$6,0)</x:f>
      </x:c>
      <x:c r="L280" s="32" t="e">
        <x:f>IF(A280&lt;=Dashboard!$F$17,MIN(Dashboard!$F$10,MAX(0,I280-J280)+K280),0)</x:f>
      </x:c>
      <x:c r="M280" s="32" t="e">
        <x:f>IF(A280&lt;=Dashboard!$F$17,MAX(0,I280-J280-MAX(0,L280-K280)),0)</x:f>
      </x:c>
      <x:c r="N280" s="32" t="e">
        <x:f>IF(A280=1,K280,N279+K280)</x:f>
      </x:c>
      <x:c r="O280" s="32"/>
      <x:c r="P280" s="32" t="e">
        <x:f>IF(A280=1,Dashboard!$F$14,T279)</x:f>
      </x:c>
      <x:c r="Q280" s="32" t="e">
        <x:f>IF(A280&lt;=Dashboard!$F$17,MIN(P280,$B$6*52/12),0)</x:f>
      </x:c>
      <x:c r="R280" s="32" t="e">
        <x:f>IF(A280&lt;=Dashboard!$F$17,MAX(0,P280-Q280)*Dashboard!$F$6,0)</x:f>
      </x:c>
      <x:c r="S280" s="32" t="e">
        <x:f>IF(A280&lt;=Dashboard!$F$17,MIN(Dashboard!$F$10,MAX(0,P280-Q280)+R280),0)</x:f>
      </x:c>
      <x:c r="T280" s="32" t="e">
        <x:f>IF(A280&lt;=Dashboard!$F$17,MAX(0,P280-Q280-MAX(0,S280-R280)),0)</x:f>
      </x:c>
      <x:c r="U280" s="32" t="e">
        <x:f>IF(A280=1,R280,U279+R280)</x:f>
      </x:c>
      <x:c r="V280" s="32"/>
      <x:c r="W280" s="32" t="e">
        <x:f>IF(A280=1,Dashboard!$F$14,AA279)</x:f>
      </x:c>
      <x:c r="X280" s="32" t="e">
        <x:f>IF(AND(A280&lt;=Dashboard!$F$17,MOD(A280-1,12)=0),MIN(W280,$B$7),0)</x:f>
      </x:c>
      <x:c r="Y280" s="32" t="e">
        <x:f>IF(A280&lt;=Dashboard!$F$17,MAX(0,W280-X280)*Dashboard!$F$6,0)</x:f>
      </x:c>
      <x:c r="Z280" s="32" t="e">
        <x:f>IF(A280&lt;=Dashboard!$F$17,MIN(Dashboard!$F$10,MAX(0,W280-X280)+Y280),0)</x:f>
      </x:c>
      <x:c r="AA280" s="32" t="e">
        <x:f>IF(A280&lt;=Dashboard!$F$17,MAX(0,W280-X280-MAX(0,Z280-Y280)),0)</x:f>
      </x:c>
      <x:c r="AB280" s="32" t="e">
        <x:f>IF(A280=1,Y280,AB279+Y280)</x:f>
      </x:c>
      <x:c r="AC280" s="32"/>
      <x:c r="AD280" s="32" t="e">
        <x:f>IF(A280=1,MAX(0,Dashboard!$F$14-$B$8),AG279)</x:f>
      </x:c>
      <x:c r="AE280" s="32" t="n">
        <x:f>0</x:f>
        <x:v>0</x:v>
      </x:c>
      <x:c r="AF280" s="32" t="e">
        <x:f>IF(A280&lt;=Dashboard!$F$17,AD280*Dashboard!$F$6,0)</x:f>
      </x:c>
      <x:c r="AG280" s="32" t="e">
        <x:f>IF(A280&lt;=Dashboard!$F$17,MIN(Dashboard!$F$10,AD280+AF280),0)</x:f>
      </x:c>
      <x:c r="AH280" s="32" t="e">
        <x:f>IF(A280&lt;=Dashboard!$F$17,MAX(0,AD280-MAX(0,AG280-AF280)),0)</x:f>
      </x:c>
      <x:c r="AI280" s="32" t="e">
        <x:f>IF(A280=1,AF280,AI279+AF280)</x:f>
      </x:c>
      <x:c r="AJ280" s="33"/>
      <x:c r="AK280" s="33"/>
      <x:c r="AL280" s="33"/>
      <x:c r="AM280" s="33"/>
    </x:row>
    <x:row r="281">
      <x:c r="A281" s="33" t="n">
        <x:v>269</x:v>
      </x:c>
      <x:c r="B281" s="32" t="e">
        <x:f>IF(A281=1,Dashboard!$F$14,F280)</x:f>
      </x:c>
      <x:c r="C281" s="32" t="n">
        <x:f>0</x:f>
        <x:v>0</x:v>
      </x:c>
      <x:c r="D281" s="32" t="e">
        <x:f>IF(A281&lt;=Dashboard!$F$15,B281*Dashboard!$F$6,0)</x:f>
      </x:c>
      <x:c r="E281" s="32" t="e">
        <x:f>IF(A281&lt;=Dashboard!$F$15,MIN(Dashboard!$F$10,B281+D281),0)</x:f>
      </x:c>
      <x:c r="F281" s="32" t="e">
        <x:f>IF(A281&lt;=Dashboard!$F$15,MAX(0,B281-MAX(0,E281-D281)),0)</x:f>
      </x:c>
      <x:c r="G281" s="32" t="e">
        <x:f>IF(A281=1,D281,G280+D281)</x:f>
      </x:c>
      <x:c r="H281" s="32"/>
      <x:c r="I281" s="32" t="e">
        <x:f>IF(A281=1,Dashboard!$F$14,M280)</x:f>
      </x:c>
      <x:c r="J281" s="32" t="e">
        <x:f>IF(A281&lt;=Dashboard!$F$17,MIN(I281,$B$5),0)</x:f>
      </x:c>
      <x:c r="K281" s="32" t="e">
        <x:f>IF(A281&lt;=Dashboard!$F$17,MAX(0,I281-J281)*Dashboard!$F$6,0)</x:f>
      </x:c>
      <x:c r="L281" s="32" t="e">
        <x:f>IF(A281&lt;=Dashboard!$F$17,MIN(Dashboard!$F$10,MAX(0,I281-J281)+K281),0)</x:f>
      </x:c>
      <x:c r="M281" s="32" t="e">
        <x:f>IF(A281&lt;=Dashboard!$F$17,MAX(0,I281-J281-MAX(0,L281-K281)),0)</x:f>
      </x:c>
      <x:c r="N281" s="32" t="e">
        <x:f>IF(A281=1,K281,N280+K281)</x:f>
      </x:c>
      <x:c r="O281" s="32"/>
      <x:c r="P281" s="32" t="e">
        <x:f>IF(A281=1,Dashboard!$F$14,T280)</x:f>
      </x:c>
      <x:c r="Q281" s="32" t="e">
        <x:f>IF(A281&lt;=Dashboard!$F$17,MIN(P281,$B$6*52/12),0)</x:f>
      </x:c>
      <x:c r="R281" s="32" t="e">
        <x:f>IF(A281&lt;=Dashboard!$F$17,MAX(0,P281-Q281)*Dashboard!$F$6,0)</x:f>
      </x:c>
      <x:c r="S281" s="32" t="e">
        <x:f>IF(A281&lt;=Dashboard!$F$17,MIN(Dashboard!$F$10,MAX(0,P281-Q281)+R281),0)</x:f>
      </x:c>
      <x:c r="T281" s="32" t="e">
        <x:f>IF(A281&lt;=Dashboard!$F$17,MAX(0,P281-Q281-MAX(0,S281-R281)),0)</x:f>
      </x:c>
      <x:c r="U281" s="32" t="e">
        <x:f>IF(A281=1,R281,U280+R281)</x:f>
      </x:c>
      <x:c r="V281" s="32"/>
      <x:c r="W281" s="32" t="e">
        <x:f>IF(A281=1,Dashboard!$F$14,AA280)</x:f>
      </x:c>
      <x:c r="X281" s="32" t="e">
        <x:f>IF(AND(A281&lt;=Dashboard!$F$17,MOD(A281-1,12)=0),MIN(W281,$B$7),0)</x:f>
      </x:c>
      <x:c r="Y281" s="32" t="e">
        <x:f>IF(A281&lt;=Dashboard!$F$17,MAX(0,W281-X281)*Dashboard!$F$6,0)</x:f>
      </x:c>
      <x:c r="Z281" s="32" t="e">
        <x:f>IF(A281&lt;=Dashboard!$F$17,MIN(Dashboard!$F$10,MAX(0,W281-X281)+Y281),0)</x:f>
      </x:c>
      <x:c r="AA281" s="32" t="e">
        <x:f>IF(A281&lt;=Dashboard!$F$17,MAX(0,W281-X281-MAX(0,Z281-Y281)),0)</x:f>
      </x:c>
      <x:c r="AB281" s="32" t="e">
        <x:f>IF(A281=1,Y281,AB280+Y281)</x:f>
      </x:c>
      <x:c r="AC281" s="32"/>
      <x:c r="AD281" s="32" t="e">
        <x:f>IF(A281=1,MAX(0,Dashboard!$F$14-$B$8),AG280)</x:f>
      </x:c>
      <x:c r="AE281" s="32" t="n">
        <x:f>0</x:f>
        <x:v>0</x:v>
      </x:c>
      <x:c r="AF281" s="32" t="e">
        <x:f>IF(A281&lt;=Dashboard!$F$17,AD281*Dashboard!$F$6,0)</x:f>
      </x:c>
      <x:c r="AG281" s="32" t="e">
        <x:f>IF(A281&lt;=Dashboard!$F$17,MIN(Dashboard!$F$10,AD281+AF281),0)</x:f>
      </x:c>
      <x:c r="AH281" s="32" t="e">
        <x:f>IF(A281&lt;=Dashboard!$F$17,MAX(0,AD281-MAX(0,AG281-AF281)),0)</x:f>
      </x:c>
      <x:c r="AI281" s="32" t="e">
        <x:f>IF(A281=1,AF281,AI280+AF281)</x:f>
      </x:c>
      <x:c r="AJ281" s="33"/>
      <x:c r="AK281" s="33"/>
      <x:c r="AL281" s="33"/>
      <x:c r="AM281" s="33"/>
    </x:row>
    <x:row r="282">
      <x:c r="A282" s="33" t="n">
        <x:v>270</x:v>
      </x:c>
      <x:c r="B282" s="32" t="e">
        <x:f>IF(A282=1,Dashboard!$F$14,F281)</x:f>
      </x:c>
      <x:c r="C282" s="32" t="n">
        <x:f>0</x:f>
        <x:v>0</x:v>
      </x:c>
      <x:c r="D282" s="32" t="e">
        <x:f>IF(A282&lt;=Dashboard!$F$15,B282*Dashboard!$F$6,0)</x:f>
      </x:c>
      <x:c r="E282" s="32" t="e">
        <x:f>IF(A282&lt;=Dashboard!$F$15,MIN(Dashboard!$F$10,B282+D282),0)</x:f>
      </x:c>
      <x:c r="F282" s="32" t="e">
        <x:f>IF(A282&lt;=Dashboard!$F$15,MAX(0,B282-MAX(0,E282-D282)),0)</x:f>
      </x:c>
      <x:c r="G282" s="32" t="e">
        <x:f>IF(A282=1,D282,G281+D282)</x:f>
      </x:c>
      <x:c r="H282" s="32"/>
      <x:c r="I282" s="32" t="e">
        <x:f>IF(A282=1,Dashboard!$F$14,M281)</x:f>
      </x:c>
      <x:c r="J282" s="32" t="e">
        <x:f>IF(A282&lt;=Dashboard!$F$17,MIN(I282,$B$5),0)</x:f>
      </x:c>
      <x:c r="K282" s="32" t="e">
        <x:f>IF(A282&lt;=Dashboard!$F$17,MAX(0,I282-J282)*Dashboard!$F$6,0)</x:f>
      </x:c>
      <x:c r="L282" s="32" t="e">
        <x:f>IF(A282&lt;=Dashboard!$F$17,MIN(Dashboard!$F$10,MAX(0,I282-J282)+K282),0)</x:f>
      </x:c>
      <x:c r="M282" s="32" t="e">
        <x:f>IF(A282&lt;=Dashboard!$F$17,MAX(0,I282-J282-MAX(0,L282-K282)),0)</x:f>
      </x:c>
      <x:c r="N282" s="32" t="e">
        <x:f>IF(A282=1,K282,N281+K282)</x:f>
      </x:c>
      <x:c r="O282" s="32"/>
      <x:c r="P282" s="32" t="e">
        <x:f>IF(A282=1,Dashboard!$F$14,T281)</x:f>
      </x:c>
      <x:c r="Q282" s="32" t="e">
        <x:f>IF(A282&lt;=Dashboard!$F$17,MIN(P282,$B$6*52/12),0)</x:f>
      </x:c>
      <x:c r="R282" s="32" t="e">
        <x:f>IF(A282&lt;=Dashboard!$F$17,MAX(0,P282-Q282)*Dashboard!$F$6,0)</x:f>
      </x:c>
      <x:c r="S282" s="32" t="e">
        <x:f>IF(A282&lt;=Dashboard!$F$17,MIN(Dashboard!$F$10,MAX(0,P282-Q282)+R282),0)</x:f>
      </x:c>
      <x:c r="T282" s="32" t="e">
        <x:f>IF(A282&lt;=Dashboard!$F$17,MAX(0,P282-Q282-MAX(0,S282-R282)),0)</x:f>
      </x:c>
      <x:c r="U282" s="32" t="e">
        <x:f>IF(A282=1,R282,U281+R282)</x:f>
      </x:c>
      <x:c r="V282" s="32"/>
      <x:c r="W282" s="32" t="e">
        <x:f>IF(A282=1,Dashboard!$F$14,AA281)</x:f>
      </x:c>
      <x:c r="X282" s="32" t="e">
        <x:f>IF(AND(A282&lt;=Dashboard!$F$17,MOD(A282-1,12)=0),MIN(W282,$B$7),0)</x:f>
      </x:c>
      <x:c r="Y282" s="32" t="e">
        <x:f>IF(A282&lt;=Dashboard!$F$17,MAX(0,W282-X282)*Dashboard!$F$6,0)</x:f>
      </x:c>
      <x:c r="Z282" s="32" t="e">
        <x:f>IF(A282&lt;=Dashboard!$F$17,MIN(Dashboard!$F$10,MAX(0,W282-X282)+Y282),0)</x:f>
      </x:c>
      <x:c r="AA282" s="32" t="e">
        <x:f>IF(A282&lt;=Dashboard!$F$17,MAX(0,W282-X282-MAX(0,Z282-Y282)),0)</x:f>
      </x:c>
      <x:c r="AB282" s="32" t="e">
        <x:f>IF(A282=1,Y282,AB281+Y282)</x:f>
      </x:c>
      <x:c r="AC282" s="32"/>
      <x:c r="AD282" s="32" t="e">
        <x:f>IF(A282=1,MAX(0,Dashboard!$F$14-$B$8),AG281)</x:f>
      </x:c>
      <x:c r="AE282" s="32" t="n">
        <x:f>0</x:f>
        <x:v>0</x:v>
      </x:c>
      <x:c r="AF282" s="32" t="e">
        <x:f>IF(A282&lt;=Dashboard!$F$17,AD282*Dashboard!$F$6,0)</x:f>
      </x:c>
      <x:c r="AG282" s="32" t="e">
        <x:f>IF(A282&lt;=Dashboard!$F$17,MIN(Dashboard!$F$10,AD282+AF282),0)</x:f>
      </x:c>
      <x:c r="AH282" s="32" t="e">
        <x:f>IF(A282&lt;=Dashboard!$F$17,MAX(0,AD282-MAX(0,AG282-AF282)),0)</x:f>
      </x:c>
      <x:c r="AI282" s="32" t="e">
        <x:f>IF(A282=1,AF282,AI281+AF282)</x:f>
      </x:c>
      <x:c r="AJ282" s="33"/>
      <x:c r="AK282" s="33"/>
      <x:c r="AL282" s="33"/>
      <x:c r="AM282" s="33"/>
    </x:row>
    <x:row r="283">
      <x:c r="A283" s="33" t="n">
        <x:v>271</x:v>
      </x:c>
      <x:c r="B283" s="32" t="e">
        <x:f>IF(A283=1,Dashboard!$F$14,F282)</x:f>
      </x:c>
      <x:c r="C283" s="32" t="n">
        <x:f>0</x:f>
        <x:v>0</x:v>
      </x:c>
      <x:c r="D283" s="32" t="e">
        <x:f>IF(A283&lt;=Dashboard!$F$15,B283*Dashboard!$F$6,0)</x:f>
      </x:c>
      <x:c r="E283" s="32" t="e">
        <x:f>IF(A283&lt;=Dashboard!$F$15,MIN(Dashboard!$F$10,B283+D283),0)</x:f>
      </x:c>
      <x:c r="F283" s="32" t="e">
        <x:f>IF(A283&lt;=Dashboard!$F$15,MAX(0,B283-MAX(0,E283-D283)),0)</x:f>
      </x:c>
      <x:c r="G283" s="32" t="e">
        <x:f>IF(A283=1,D283,G282+D283)</x:f>
      </x:c>
      <x:c r="H283" s="32"/>
      <x:c r="I283" s="32" t="e">
        <x:f>IF(A283=1,Dashboard!$F$14,M282)</x:f>
      </x:c>
      <x:c r="J283" s="32" t="e">
        <x:f>IF(A283&lt;=Dashboard!$F$17,MIN(I283,$B$5),0)</x:f>
      </x:c>
      <x:c r="K283" s="32" t="e">
        <x:f>IF(A283&lt;=Dashboard!$F$17,MAX(0,I283-J283)*Dashboard!$F$6,0)</x:f>
      </x:c>
      <x:c r="L283" s="32" t="e">
        <x:f>IF(A283&lt;=Dashboard!$F$17,MIN(Dashboard!$F$10,MAX(0,I283-J283)+K283),0)</x:f>
      </x:c>
      <x:c r="M283" s="32" t="e">
        <x:f>IF(A283&lt;=Dashboard!$F$17,MAX(0,I283-J283-MAX(0,L283-K283)),0)</x:f>
      </x:c>
      <x:c r="N283" s="32" t="e">
        <x:f>IF(A283=1,K283,N282+K283)</x:f>
      </x:c>
      <x:c r="O283" s="32"/>
      <x:c r="P283" s="32" t="e">
        <x:f>IF(A283=1,Dashboard!$F$14,T282)</x:f>
      </x:c>
      <x:c r="Q283" s="32" t="e">
        <x:f>IF(A283&lt;=Dashboard!$F$17,MIN(P283,$B$6*52/12),0)</x:f>
      </x:c>
      <x:c r="R283" s="32" t="e">
        <x:f>IF(A283&lt;=Dashboard!$F$17,MAX(0,P283-Q283)*Dashboard!$F$6,0)</x:f>
      </x:c>
      <x:c r="S283" s="32" t="e">
        <x:f>IF(A283&lt;=Dashboard!$F$17,MIN(Dashboard!$F$10,MAX(0,P283-Q283)+R283),0)</x:f>
      </x:c>
      <x:c r="T283" s="32" t="e">
        <x:f>IF(A283&lt;=Dashboard!$F$17,MAX(0,P283-Q283-MAX(0,S283-R283)),0)</x:f>
      </x:c>
      <x:c r="U283" s="32" t="e">
        <x:f>IF(A283=1,R283,U282+R283)</x:f>
      </x:c>
      <x:c r="V283" s="32"/>
      <x:c r="W283" s="32" t="e">
        <x:f>IF(A283=1,Dashboard!$F$14,AA282)</x:f>
      </x:c>
      <x:c r="X283" s="32" t="e">
        <x:f>IF(AND(A283&lt;=Dashboard!$F$17,MOD(A283-1,12)=0),MIN(W283,$B$7),0)</x:f>
      </x:c>
      <x:c r="Y283" s="32" t="e">
        <x:f>IF(A283&lt;=Dashboard!$F$17,MAX(0,W283-X283)*Dashboard!$F$6,0)</x:f>
      </x:c>
      <x:c r="Z283" s="32" t="e">
        <x:f>IF(A283&lt;=Dashboard!$F$17,MIN(Dashboard!$F$10,MAX(0,W283-X283)+Y283),0)</x:f>
      </x:c>
      <x:c r="AA283" s="32" t="e">
        <x:f>IF(A283&lt;=Dashboard!$F$17,MAX(0,W283-X283-MAX(0,Z283-Y283)),0)</x:f>
      </x:c>
      <x:c r="AB283" s="32" t="e">
        <x:f>IF(A283=1,Y283,AB282+Y283)</x:f>
      </x:c>
      <x:c r="AC283" s="32"/>
      <x:c r="AD283" s="32" t="e">
        <x:f>IF(A283=1,MAX(0,Dashboard!$F$14-$B$8),AG282)</x:f>
      </x:c>
      <x:c r="AE283" s="32" t="n">
        <x:f>0</x:f>
        <x:v>0</x:v>
      </x:c>
      <x:c r="AF283" s="32" t="e">
        <x:f>IF(A283&lt;=Dashboard!$F$17,AD283*Dashboard!$F$6,0)</x:f>
      </x:c>
      <x:c r="AG283" s="32" t="e">
        <x:f>IF(A283&lt;=Dashboard!$F$17,MIN(Dashboard!$F$10,AD283+AF283),0)</x:f>
      </x:c>
      <x:c r="AH283" s="32" t="e">
        <x:f>IF(A283&lt;=Dashboard!$F$17,MAX(0,AD283-MAX(0,AG283-AF283)),0)</x:f>
      </x:c>
      <x:c r="AI283" s="32" t="e">
        <x:f>IF(A283=1,AF283,AI282+AF283)</x:f>
      </x:c>
      <x:c r="AJ283" s="33"/>
      <x:c r="AK283" s="33"/>
      <x:c r="AL283" s="33"/>
      <x:c r="AM283" s="33"/>
    </x:row>
    <x:row r="284">
      <x:c r="A284" s="33" t="n">
        <x:v>272</x:v>
      </x:c>
      <x:c r="B284" s="32" t="e">
        <x:f>IF(A284=1,Dashboard!$F$14,F283)</x:f>
      </x:c>
      <x:c r="C284" s="32" t="n">
        <x:f>0</x:f>
        <x:v>0</x:v>
      </x:c>
      <x:c r="D284" s="32" t="e">
        <x:f>IF(A284&lt;=Dashboard!$F$15,B284*Dashboard!$F$6,0)</x:f>
      </x:c>
      <x:c r="E284" s="32" t="e">
        <x:f>IF(A284&lt;=Dashboard!$F$15,MIN(Dashboard!$F$10,B284+D284),0)</x:f>
      </x:c>
      <x:c r="F284" s="32" t="e">
        <x:f>IF(A284&lt;=Dashboard!$F$15,MAX(0,B284-MAX(0,E284-D284)),0)</x:f>
      </x:c>
      <x:c r="G284" s="32" t="e">
        <x:f>IF(A284=1,D284,G283+D284)</x:f>
      </x:c>
      <x:c r="H284" s="32"/>
      <x:c r="I284" s="32" t="e">
        <x:f>IF(A284=1,Dashboard!$F$14,M283)</x:f>
      </x:c>
      <x:c r="J284" s="32" t="e">
        <x:f>IF(A284&lt;=Dashboard!$F$17,MIN(I284,$B$5),0)</x:f>
      </x:c>
      <x:c r="K284" s="32" t="e">
        <x:f>IF(A284&lt;=Dashboard!$F$17,MAX(0,I284-J284)*Dashboard!$F$6,0)</x:f>
      </x:c>
      <x:c r="L284" s="32" t="e">
        <x:f>IF(A284&lt;=Dashboard!$F$17,MIN(Dashboard!$F$10,MAX(0,I284-J284)+K284),0)</x:f>
      </x:c>
      <x:c r="M284" s="32" t="e">
        <x:f>IF(A284&lt;=Dashboard!$F$17,MAX(0,I284-J284-MAX(0,L284-K284)),0)</x:f>
      </x:c>
      <x:c r="N284" s="32" t="e">
        <x:f>IF(A284=1,K284,N283+K284)</x:f>
      </x:c>
      <x:c r="O284" s="32"/>
      <x:c r="P284" s="32" t="e">
        <x:f>IF(A284=1,Dashboard!$F$14,T283)</x:f>
      </x:c>
      <x:c r="Q284" s="32" t="e">
        <x:f>IF(A284&lt;=Dashboard!$F$17,MIN(P284,$B$6*52/12),0)</x:f>
      </x:c>
      <x:c r="R284" s="32" t="e">
        <x:f>IF(A284&lt;=Dashboard!$F$17,MAX(0,P284-Q284)*Dashboard!$F$6,0)</x:f>
      </x:c>
      <x:c r="S284" s="32" t="e">
        <x:f>IF(A284&lt;=Dashboard!$F$17,MIN(Dashboard!$F$10,MAX(0,P284-Q284)+R284),0)</x:f>
      </x:c>
      <x:c r="T284" s="32" t="e">
        <x:f>IF(A284&lt;=Dashboard!$F$17,MAX(0,P284-Q284-MAX(0,S284-R284)),0)</x:f>
      </x:c>
      <x:c r="U284" s="32" t="e">
        <x:f>IF(A284=1,R284,U283+R284)</x:f>
      </x:c>
      <x:c r="V284" s="32"/>
      <x:c r="W284" s="32" t="e">
        <x:f>IF(A284=1,Dashboard!$F$14,AA283)</x:f>
      </x:c>
      <x:c r="X284" s="32" t="e">
        <x:f>IF(AND(A284&lt;=Dashboard!$F$17,MOD(A284-1,12)=0),MIN(W284,$B$7),0)</x:f>
      </x:c>
      <x:c r="Y284" s="32" t="e">
        <x:f>IF(A284&lt;=Dashboard!$F$17,MAX(0,W284-X284)*Dashboard!$F$6,0)</x:f>
      </x:c>
      <x:c r="Z284" s="32" t="e">
        <x:f>IF(A284&lt;=Dashboard!$F$17,MIN(Dashboard!$F$10,MAX(0,W284-X284)+Y284),0)</x:f>
      </x:c>
      <x:c r="AA284" s="32" t="e">
        <x:f>IF(A284&lt;=Dashboard!$F$17,MAX(0,W284-X284-MAX(0,Z284-Y284)),0)</x:f>
      </x:c>
      <x:c r="AB284" s="32" t="e">
        <x:f>IF(A284=1,Y284,AB283+Y284)</x:f>
      </x:c>
      <x:c r="AC284" s="32"/>
      <x:c r="AD284" s="32" t="e">
        <x:f>IF(A284=1,MAX(0,Dashboard!$F$14-$B$8),AG283)</x:f>
      </x:c>
      <x:c r="AE284" s="32" t="n">
        <x:f>0</x:f>
        <x:v>0</x:v>
      </x:c>
      <x:c r="AF284" s="32" t="e">
        <x:f>IF(A284&lt;=Dashboard!$F$17,AD284*Dashboard!$F$6,0)</x:f>
      </x:c>
      <x:c r="AG284" s="32" t="e">
        <x:f>IF(A284&lt;=Dashboard!$F$17,MIN(Dashboard!$F$10,AD284+AF284),0)</x:f>
      </x:c>
      <x:c r="AH284" s="32" t="e">
        <x:f>IF(A284&lt;=Dashboard!$F$17,MAX(0,AD284-MAX(0,AG284-AF284)),0)</x:f>
      </x:c>
      <x:c r="AI284" s="32" t="e">
        <x:f>IF(A284=1,AF284,AI283+AF284)</x:f>
      </x:c>
      <x:c r="AJ284" s="33"/>
      <x:c r="AK284" s="33"/>
      <x:c r="AL284" s="33"/>
      <x:c r="AM284" s="33"/>
    </x:row>
    <x:row r="285">
      <x:c r="A285" s="33" t="n">
        <x:v>273</x:v>
      </x:c>
      <x:c r="B285" s="32" t="e">
        <x:f>IF(A285=1,Dashboard!$F$14,F284)</x:f>
      </x:c>
      <x:c r="C285" s="32" t="n">
        <x:f>0</x:f>
        <x:v>0</x:v>
      </x:c>
      <x:c r="D285" s="32" t="e">
        <x:f>IF(A285&lt;=Dashboard!$F$15,B285*Dashboard!$F$6,0)</x:f>
      </x:c>
      <x:c r="E285" s="32" t="e">
        <x:f>IF(A285&lt;=Dashboard!$F$15,MIN(Dashboard!$F$10,B285+D285),0)</x:f>
      </x:c>
      <x:c r="F285" s="32" t="e">
        <x:f>IF(A285&lt;=Dashboard!$F$15,MAX(0,B285-MAX(0,E285-D285)),0)</x:f>
      </x:c>
      <x:c r="G285" s="32" t="e">
        <x:f>IF(A285=1,D285,G284+D285)</x:f>
      </x:c>
      <x:c r="H285" s="32"/>
      <x:c r="I285" s="32" t="e">
        <x:f>IF(A285=1,Dashboard!$F$14,M284)</x:f>
      </x:c>
      <x:c r="J285" s="32" t="e">
        <x:f>IF(A285&lt;=Dashboard!$F$17,MIN(I285,$B$5),0)</x:f>
      </x:c>
      <x:c r="K285" s="32" t="e">
        <x:f>IF(A285&lt;=Dashboard!$F$17,MAX(0,I285-J285)*Dashboard!$F$6,0)</x:f>
      </x:c>
      <x:c r="L285" s="32" t="e">
        <x:f>IF(A285&lt;=Dashboard!$F$17,MIN(Dashboard!$F$10,MAX(0,I285-J285)+K285),0)</x:f>
      </x:c>
      <x:c r="M285" s="32" t="e">
        <x:f>IF(A285&lt;=Dashboard!$F$17,MAX(0,I285-J285-MAX(0,L285-K285)),0)</x:f>
      </x:c>
      <x:c r="N285" s="32" t="e">
        <x:f>IF(A285=1,K285,N284+K285)</x:f>
      </x:c>
      <x:c r="O285" s="32"/>
      <x:c r="P285" s="32" t="e">
        <x:f>IF(A285=1,Dashboard!$F$14,T284)</x:f>
      </x:c>
      <x:c r="Q285" s="32" t="e">
        <x:f>IF(A285&lt;=Dashboard!$F$17,MIN(P285,$B$6*52/12),0)</x:f>
      </x:c>
      <x:c r="R285" s="32" t="e">
        <x:f>IF(A285&lt;=Dashboard!$F$17,MAX(0,P285-Q285)*Dashboard!$F$6,0)</x:f>
      </x:c>
      <x:c r="S285" s="32" t="e">
        <x:f>IF(A285&lt;=Dashboard!$F$17,MIN(Dashboard!$F$10,MAX(0,P285-Q285)+R285),0)</x:f>
      </x:c>
      <x:c r="T285" s="32" t="e">
        <x:f>IF(A285&lt;=Dashboard!$F$17,MAX(0,P285-Q285-MAX(0,S285-R285)),0)</x:f>
      </x:c>
      <x:c r="U285" s="32" t="e">
        <x:f>IF(A285=1,R285,U284+R285)</x:f>
      </x:c>
      <x:c r="V285" s="32"/>
      <x:c r="W285" s="32" t="e">
        <x:f>IF(A285=1,Dashboard!$F$14,AA284)</x:f>
      </x:c>
      <x:c r="X285" s="32" t="e">
        <x:f>IF(AND(A285&lt;=Dashboard!$F$17,MOD(A285-1,12)=0),MIN(W285,$B$7),0)</x:f>
      </x:c>
      <x:c r="Y285" s="32" t="e">
        <x:f>IF(A285&lt;=Dashboard!$F$17,MAX(0,W285-X285)*Dashboard!$F$6,0)</x:f>
      </x:c>
      <x:c r="Z285" s="32" t="e">
        <x:f>IF(A285&lt;=Dashboard!$F$17,MIN(Dashboard!$F$10,MAX(0,W285-X285)+Y285),0)</x:f>
      </x:c>
      <x:c r="AA285" s="32" t="e">
        <x:f>IF(A285&lt;=Dashboard!$F$17,MAX(0,W285-X285-MAX(0,Z285-Y285)),0)</x:f>
      </x:c>
      <x:c r="AB285" s="32" t="e">
        <x:f>IF(A285=1,Y285,AB284+Y285)</x:f>
      </x:c>
      <x:c r="AC285" s="32"/>
      <x:c r="AD285" s="32" t="e">
        <x:f>IF(A285=1,MAX(0,Dashboard!$F$14-$B$8),AG284)</x:f>
      </x:c>
      <x:c r="AE285" s="32" t="n">
        <x:f>0</x:f>
        <x:v>0</x:v>
      </x:c>
      <x:c r="AF285" s="32" t="e">
        <x:f>IF(A285&lt;=Dashboard!$F$17,AD285*Dashboard!$F$6,0)</x:f>
      </x:c>
      <x:c r="AG285" s="32" t="e">
        <x:f>IF(A285&lt;=Dashboard!$F$17,MIN(Dashboard!$F$10,AD285+AF285),0)</x:f>
      </x:c>
      <x:c r="AH285" s="32" t="e">
        <x:f>IF(A285&lt;=Dashboard!$F$17,MAX(0,AD285-MAX(0,AG285-AF285)),0)</x:f>
      </x:c>
      <x:c r="AI285" s="32" t="e">
        <x:f>IF(A285=1,AF285,AI284+AF285)</x:f>
      </x:c>
      <x:c r="AJ285" s="33"/>
      <x:c r="AK285" s="33"/>
      <x:c r="AL285" s="33"/>
      <x:c r="AM285" s="33"/>
    </x:row>
    <x:row r="286">
      <x:c r="A286" s="33" t="n">
        <x:v>274</x:v>
      </x:c>
      <x:c r="B286" s="32" t="e">
        <x:f>IF(A286=1,Dashboard!$F$14,F285)</x:f>
      </x:c>
      <x:c r="C286" s="32" t="n">
        <x:f>0</x:f>
        <x:v>0</x:v>
      </x:c>
      <x:c r="D286" s="32" t="e">
        <x:f>IF(A286&lt;=Dashboard!$F$15,B286*Dashboard!$F$6,0)</x:f>
      </x:c>
      <x:c r="E286" s="32" t="e">
        <x:f>IF(A286&lt;=Dashboard!$F$15,MIN(Dashboard!$F$10,B286+D286),0)</x:f>
      </x:c>
      <x:c r="F286" s="32" t="e">
        <x:f>IF(A286&lt;=Dashboard!$F$15,MAX(0,B286-MAX(0,E286-D286)),0)</x:f>
      </x:c>
      <x:c r="G286" s="32" t="e">
        <x:f>IF(A286=1,D286,G285+D286)</x:f>
      </x:c>
      <x:c r="H286" s="32"/>
      <x:c r="I286" s="32" t="e">
        <x:f>IF(A286=1,Dashboard!$F$14,M285)</x:f>
      </x:c>
      <x:c r="J286" s="32" t="e">
        <x:f>IF(A286&lt;=Dashboard!$F$17,MIN(I286,$B$5),0)</x:f>
      </x:c>
      <x:c r="K286" s="32" t="e">
        <x:f>IF(A286&lt;=Dashboard!$F$17,MAX(0,I286-J286)*Dashboard!$F$6,0)</x:f>
      </x:c>
      <x:c r="L286" s="32" t="e">
        <x:f>IF(A286&lt;=Dashboard!$F$17,MIN(Dashboard!$F$10,MAX(0,I286-J286)+K286),0)</x:f>
      </x:c>
      <x:c r="M286" s="32" t="e">
        <x:f>IF(A286&lt;=Dashboard!$F$17,MAX(0,I286-J286-MAX(0,L286-K286)),0)</x:f>
      </x:c>
      <x:c r="N286" s="32" t="e">
        <x:f>IF(A286=1,K286,N285+K286)</x:f>
      </x:c>
      <x:c r="O286" s="32"/>
      <x:c r="P286" s="32" t="e">
        <x:f>IF(A286=1,Dashboard!$F$14,T285)</x:f>
      </x:c>
      <x:c r="Q286" s="32" t="e">
        <x:f>IF(A286&lt;=Dashboard!$F$17,MIN(P286,$B$6*52/12),0)</x:f>
      </x:c>
      <x:c r="R286" s="32" t="e">
        <x:f>IF(A286&lt;=Dashboard!$F$17,MAX(0,P286-Q286)*Dashboard!$F$6,0)</x:f>
      </x:c>
      <x:c r="S286" s="32" t="e">
        <x:f>IF(A286&lt;=Dashboard!$F$17,MIN(Dashboard!$F$10,MAX(0,P286-Q286)+R286),0)</x:f>
      </x:c>
      <x:c r="T286" s="32" t="e">
        <x:f>IF(A286&lt;=Dashboard!$F$17,MAX(0,P286-Q286-MAX(0,S286-R286)),0)</x:f>
      </x:c>
      <x:c r="U286" s="32" t="e">
        <x:f>IF(A286=1,R286,U285+R286)</x:f>
      </x:c>
      <x:c r="V286" s="32"/>
      <x:c r="W286" s="32" t="e">
        <x:f>IF(A286=1,Dashboard!$F$14,AA285)</x:f>
      </x:c>
      <x:c r="X286" s="32" t="e">
        <x:f>IF(AND(A286&lt;=Dashboard!$F$17,MOD(A286-1,12)=0),MIN(W286,$B$7),0)</x:f>
      </x:c>
      <x:c r="Y286" s="32" t="e">
        <x:f>IF(A286&lt;=Dashboard!$F$17,MAX(0,W286-X286)*Dashboard!$F$6,0)</x:f>
      </x:c>
      <x:c r="Z286" s="32" t="e">
        <x:f>IF(A286&lt;=Dashboard!$F$17,MIN(Dashboard!$F$10,MAX(0,W286-X286)+Y286),0)</x:f>
      </x:c>
      <x:c r="AA286" s="32" t="e">
        <x:f>IF(A286&lt;=Dashboard!$F$17,MAX(0,W286-X286-MAX(0,Z286-Y286)),0)</x:f>
      </x:c>
      <x:c r="AB286" s="32" t="e">
        <x:f>IF(A286=1,Y286,AB285+Y286)</x:f>
      </x:c>
      <x:c r="AC286" s="32"/>
      <x:c r="AD286" s="32" t="e">
        <x:f>IF(A286=1,MAX(0,Dashboard!$F$14-$B$8),AG285)</x:f>
      </x:c>
      <x:c r="AE286" s="32" t="n">
        <x:f>0</x:f>
        <x:v>0</x:v>
      </x:c>
      <x:c r="AF286" s="32" t="e">
        <x:f>IF(A286&lt;=Dashboard!$F$17,AD286*Dashboard!$F$6,0)</x:f>
      </x:c>
      <x:c r="AG286" s="32" t="e">
        <x:f>IF(A286&lt;=Dashboard!$F$17,MIN(Dashboard!$F$10,AD286+AF286),0)</x:f>
      </x:c>
      <x:c r="AH286" s="32" t="e">
        <x:f>IF(A286&lt;=Dashboard!$F$17,MAX(0,AD286-MAX(0,AG286-AF286)),0)</x:f>
      </x:c>
      <x:c r="AI286" s="32" t="e">
        <x:f>IF(A286=1,AF286,AI285+AF286)</x:f>
      </x:c>
      <x:c r="AJ286" s="33"/>
      <x:c r="AK286" s="33"/>
      <x:c r="AL286" s="33"/>
      <x:c r="AM286" s="33"/>
    </x:row>
    <x:row r="287">
      <x:c r="A287" s="33" t="n">
        <x:v>275</x:v>
      </x:c>
      <x:c r="B287" s="32" t="e">
        <x:f>IF(A287=1,Dashboard!$F$14,F286)</x:f>
      </x:c>
      <x:c r="C287" s="32" t="n">
        <x:f>0</x:f>
        <x:v>0</x:v>
      </x:c>
      <x:c r="D287" s="32" t="e">
        <x:f>IF(A287&lt;=Dashboard!$F$15,B287*Dashboard!$F$6,0)</x:f>
      </x:c>
      <x:c r="E287" s="32" t="e">
        <x:f>IF(A287&lt;=Dashboard!$F$15,MIN(Dashboard!$F$10,B287+D287),0)</x:f>
      </x:c>
      <x:c r="F287" s="32" t="e">
        <x:f>IF(A287&lt;=Dashboard!$F$15,MAX(0,B287-MAX(0,E287-D287)),0)</x:f>
      </x:c>
      <x:c r="G287" s="32" t="e">
        <x:f>IF(A287=1,D287,G286+D287)</x:f>
      </x:c>
      <x:c r="H287" s="32"/>
      <x:c r="I287" s="32" t="e">
        <x:f>IF(A287=1,Dashboard!$F$14,M286)</x:f>
      </x:c>
      <x:c r="J287" s="32" t="e">
        <x:f>IF(A287&lt;=Dashboard!$F$17,MIN(I287,$B$5),0)</x:f>
      </x:c>
      <x:c r="K287" s="32" t="e">
        <x:f>IF(A287&lt;=Dashboard!$F$17,MAX(0,I287-J287)*Dashboard!$F$6,0)</x:f>
      </x:c>
      <x:c r="L287" s="32" t="e">
        <x:f>IF(A287&lt;=Dashboard!$F$17,MIN(Dashboard!$F$10,MAX(0,I287-J287)+K287),0)</x:f>
      </x:c>
      <x:c r="M287" s="32" t="e">
        <x:f>IF(A287&lt;=Dashboard!$F$17,MAX(0,I287-J287-MAX(0,L287-K287)),0)</x:f>
      </x:c>
      <x:c r="N287" s="32" t="e">
        <x:f>IF(A287=1,K287,N286+K287)</x:f>
      </x:c>
      <x:c r="O287" s="32"/>
      <x:c r="P287" s="32" t="e">
        <x:f>IF(A287=1,Dashboard!$F$14,T286)</x:f>
      </x:c>
      <x:c r="Q287" s="32" t="e">
        <x:f>IF(A287&lt;=Dashboard!$F$17,MIN(P287,$B$6*52/12),0)</x:f>
      </x:c>
      <x:c r="R287" s="32" t="e">
        <x:f>IF(A287&lt;=Dashboard!$F$17,MAX(0,P287-Q287)*Dashboard!$F$6,0)</x:f>
      </x:c>
      <x:c r="S287" s="32" t="e">
        <x:f>IF(A287&lt;=Dashboard!$F$17,MIN(Dashboard!$F$10,MAX(0,P287-Q287)+R287),0)</x:f>
      </x:c>
      <x:c r="T287" s="32" t="e">
        <x:f>IF(A287&lt;=Dashboard!$F$17,MAX(0,P287-Q287-MAX(0,S287-R287)),0)</x:f>
      </x:c>
      <x:c r="U287" s="32" t="e">
        <x:f>IF(A287=1,R287,U286+R287)</x:f>
      </x:c>
      <x:c r="V287" s="32"/>
      <x:c r="W287" s="32" t="e">
        <x:f>IF(A287=1,Dashboard!$F$14,AA286)</x:f>
      </x:c>
      <x:c r="X287" s="32" t="e">
        <x:f>IF(AND(A287&lt;=Dashboard!$F$17,MOD(A287-1,12)=0),MIN(W287,$B$7),0)</x:f>
      </x:c>
      <x:c r="Y287" s="32" t="e">
        <x:f>IF(A287&lt;=Dashboard!$F$17,MAX(0,W287-X287)*Dashboard!$F$6,0)</x:f>
      </x:c>
      <x:c r="Z287" s="32" t="e">
        <x:f>IF(A287&lt;=Dashboard!$F$17,MIN(Dashboard!$F$10,MAX(0,W287-X287)+Y287),0)</x:f>
      </x:c>
      <x:c r="AA287" s="32" t="e">
        <x:f>IF(A287&lt;=Dashboard!$F$17,MAX(0,W287-X287-MAX(0,Z287-Y287)),0)</x:f>
      </x:c>
      <x:c r="AB287" s="32" t="e">
        <x:f>IF(A287=1,Y287,AB286+Y287)</x:f>
      </x:c>
      <x:c r="AC287" s="32"/>
      <x:c r="AD287" s="32" t="e">
        <x:f>IF(A287=1,MAX(0,Dashboard!$F$14-$B$8),AG286)</x:f>
      </x:c>
      <x:c r="AE287" s="32" t="n">
        <x:f>0</x:f>
        <x:v>0</x:v>
      </x:c>
      <x:c r="AF287" s="32" t="e">
        <x:f>IF(A287&lt;=Dashboard!$F$17,AD287*Dashboard!$F$6,0)</x:f>
      </x:c>
      <x:c r="AG287" s="32" t="e">
        <x:f>IF(A287&lt;=Dashboard!$F$17,MIN(Dashboard!$F$10,AD287+AF287),0)</x:f>
      </x:c>
      <x:c r="AH287" s="32" t="e">
        <x:f>IF(A287&lt;=Dashboard!$F$17,MAX(0,AD287-MAX(0,AG287-AF287)),0)</x:f>
      </x:c>
      <x:c r="AI287" s="32" t="e">
        <x:f>IF(A287=1,AF287,AI286+AF287)</x:f>
      </x:c>
      <x:c r="AJ287" s="33"/>
      <x:c r="AK287" s="33"/>
      <x:c r="AL287" s="33"/>
      <x:c r="AM287" s="33"/>
    </x:row>
    <x:row r="288">
      <x:c r="A288" s="33" t="n">
        <x:v>276</x:v>
      </x:c>
      <x:c r="B288" s="32" t="e">
        <x:f>IF(A288=1,Dashboard!$F$14,F287)</x:f>
      </x:c>
      <x:c r="C288" s="32" t="n">
        <x:f>0</x:f>
        <x:v>0</x:v>
      </x:c>
      <x:c r="D288" s="32" t="e">
        <x:f>IF(A288&lt;=Dashboard!$F$15,B288*Dashboard!$F$6,0)</x:f>
      </x:c>
      <x:c r="E288" s="32" t="e">
        <x:f>IF(A288&lt;=Dashboard!$F$15,MIN(Dashboard!$F$10,B288+D288),0)</x:f>
      </x:c>
      <x:c r="F288" s="32" t="e">
        <x:f>IF(A288&lt;=Dashboard!$F$15,MAX(0,B288-MAX(0,E288-D288)),0)</x:f>
      </x:c>
      <x:c r="G288" s="32" t="e">
        <x:f>IF(A288=1,D288,G287+D288)</x:f>
      </x:c>
      <x:c r="H288" s="32"/>
      <x:c r="I288" s="32" t="e">
        <x:f>IF(A288=1,Dashboard!$F$14,M287)</x:f>
      </x:c>
      <x:c r="J288" s="32" t="e">
        <x:f>IF(A288&lt;=Dashboard!$F$17,MIN(I288,$B$5),0)</x:f>
      </x:c>
      <x:c r="K288" s="32" t="e">
        <x:f>IF(A288&lt;=Dashboard!$F$17,MAX(0,I288-J288)*Dashboard!$F$6,0)</x:f>
      </x:c>
      <x:c r="L288" s="32" t="e">
        <x:f>IF(A288&lt;=Dashboard!$F$17,MIN(Dashboard!$F$10,MAX(0,I288-J288)+K288),0)</x:f>
      </x:c>
      <x:c r="M288" s="32" t="e">
        <x:f>IF(A288&lt;=Dashboard!$F$17,MAX(0,I288-J288-MAX(0,L288-K288)),0)</x:f>
      </x:c>
      <x:c r="N288" s="32" t="e">
        <x:f>IF(A288=1,K288,N287+K288)</x:f>
      </x:c>
      <x:c r="O288" s="32"/>
      <x:c r="P288" s="32" t="e">
        <x:f>IF(A288=1,Dashboard!$F$14,T287)</x:f>
      </x:c>
      <x:c r="Q288" s="32" t="e">
        <x:f>IF(A288&lt;=Dashboard!$F$17,MIN(P288,$B$6*52/12),0)</x:f>
      </x:c>
      <x:c r="R288" s="32" t="e">
        <x:f>IF(A288&lt;=Dashboard!$F$17,MAX(0,P288-Q288)*Dashboard!$F$6,0)</x:f>
      </x:c>
      <x:c r="S288" s="32" t="e">
        <x:f>IF(A288&lt;=Dashboard!$F$17,MIN(Dashboard!$F$10,MAX(0,P288-Q288)+R288),0)</x:f>
      </x:c>
      <x:c r="T288" s="32" t="e">
        <x:f>IF(A288&lt;=Dashboard!$F$17,MAX(0,P288-Q288-MAX(0,S288-R288)),0)</x:f>
      </x:c>
      <x:c r="U288" s="32" t="e">
        <x:f>IF(A288=1,R288,U287+R288)</x:f>
      </x:c>
      <x:c r="V288" s="32"/>
      <x:c r="W288" s="32" t="e">
        <x:f>IF(A288=1,Dashboard!$F$14,AA287)</x:f>
      </x:c>
      <x:c r="X288" s="32" t="e">
        <x:f>IF(AND(A288&lt;=Dashboard!$F$17,MOD(A288-1,12)=0),MIN(W288,$B$7),0)</x:f>
      </x:c>
      <x:c r="Y288" s="32" t="e">
        <x:f>IF(A288&lt;=Dashboard!$F$17,MAX(0,W288-X288)*Dashboard!$F$6,0)</x:f>
      </x:c>
      <x:c r="Z288" s="32" t="e">
        <x:f>IF(A288&lt;=Dashboard!$F$17,MIN(Dashboard!$F$10,MAX(0,W288-X288)+Y288),0)</x:f>
      </x:c>
      <x:c r="AA288" s="32" t="e">
        <x:f>IF(A288&lt;=Dashboard!$F$17,MAX(0,W288-X288-MAX(0,Z288-Y288)),0)</x:f>
      </x:c>
      <x:c r="AB288" s="32" t="e">
        <x:f>IF(A288=1,Y288,AB287+Y288)</x:f>
      </x:c>
      <x:c r="AC288" s="32"/>
      <x:c r="AD288" s="32" t="e">
        <x:f>IF(A288=1,MAX(0,Dashboard!$F$14-$B$8),AG287)</x:f>
      </x:c>
      <x:c r="AE288" s="32" t="n">
        <x:f>0</x:f>
        <x:v>0</x:v>
      </x:c>
      <x:c r="AF288" s="32" t="e">
        <x:f>IF(A288&lt;=Dashboard!$F$17,AD288*Dashboard!$F$6,0)</x:f>
      </x:c>
      <x:c r="AG288" s="32" t="e">
        <x:f>IF(A288&lt;=Dashboard!$F$17,MIN(Dashboard!$F$10,AD288+AF288),0)</x:f>
      </x:c>
      <x:c r="AH288" s="32" t="e">
        <x:f>IF(A288&lt;=Dashboard!$F$17,MAX(0,AD288-MAX(0,AG288-AF288)),0)</x:f>
      </x:c>
      <x:c r="AI288" s="32" t="e">
        <x:f>IF(A288=1,AF288,AI287+AF288)</x:f>
      </x:c>
      <x:c r="AJ288" s="33"/>
      <x:c r="AK288" s="33"/>
      <x:c r="AL288" s="33"/>
      <x:c r="AM288" s="33"/>
    </x:row>
    <x:row r="289">
      <x:c r="A289" s="33" t="n">
        <x:v>277</x:v>
      </x:c>
      <x:c r="B289" s="32" t="e">
        <x:f>IF(A289=1,Dashboard!$F$14,F288)</x:f>
      </x:c>
      <x:c r="C289" s="32" t="n">
        <x:f>0</x:f>
        <x:v>0</x:v>
      </x:c>
      <x:c r="D289" s="32" t="e">
        <x:f>IF(A289&lt;=Dashboard!$F$15,B289*Dashboard!$F$6,0)</x:f>
      </x:c>
      <x:c r="E289" s="32" t="e">
        <x:f>IF(A289&lt;=Dashboard!$F$15,MIN(Dashboard!$F$10,B289+D289),0)</x:f>
      </x:c>
      <x:c r="F289" s="32" t="e">
        <x:f>IF(A289&lt;=Dashboard!$F$15,MAX(0,B289-MAX(0,E289-D289)),0)</x:f>
      </x:c>
      <x:c r="G289" s="32" t="e">
        <x:f>IF(A289=1,D289,G288+D289)</x:f>
      </x:c>
      <x:c r="H289" s="32"/>
      <x:c r="I289" s="32" t="e">
        <x:f>IF(A289=1,Dashboard!$F$14,M288)</x:f>
      </x:c>
      <x:c r="J289" s="32" t="e">
        <x:f>IF(A289&lt;=Dashboard!$F$17,MIN(I289,$B$5),0)</x:f>
      </x:c>
      <x:c r="K289" s="32" t="e">
        <x:f>IF(A289&lt;=Dashboard!$F$17,MAX(0,I289-J289)*Dashboard!$F$6,0)</x:f>
      </x:c>
      <x:c r="L289" s="32" t="e">
        <x:f>IF(A289&lt;=Dashboard!$F$17,MIN(Dashboard!$F$10,MAX(0,I289-J289)+K289),0)</x:f>
      </x:c>
      <x:c r="M289" s="32" t="e">
        <x:f>IF(A289&lt;=Dashboard!$F$17,MAX(0,I289-J289-MAX(0,L289-K289)),0)</x:f>
      </x:c>
      <x:c r="N289" s="32" t="e">
        <x:f>IF(A289=1,K289,N288+K289)</x:f>
      </x:c>
      <x:c r="O289" s="32"/>
      <x:c r="P289" s="32" t="e">
        <x:f>IF(A289=1,Dashboard!$F$14,T288)</x:f>
      </x:c>
      <x:c r="Q289" s="32" t="e">
        <x:f>IF(A289&lt;=Dashboard!$F$17,MIN(P289,$B$6*52/12),0)</x:f>
      </x:c>
      <x:c r="R289" s="32" t="e">
        <x:f>IF(A289&lt;=Dashboard!$F$17,MAX(0,P289-Q289)*Dashboard!$F$6,0)</x:f>
      </x:c>
      <x:c r="S289" s="32" t="e">
        <x:f>IF(A289&lt;=Dashboard!$F$17,MIN(Dashboard!$F$10,MAX(0,P289-Q289)+R289),0)</x:f>
      </x:c>
      <x:c r="T289" s="32" t="e">
        <x:f>IF(A289&lt;=Dashboard!$F$17,MAX(0,P289-Q289-MAX(0,S289-R289)),0)</x:f>
      </x:c>
      <x:c r="U289" s="32" t="e">
        <x:f>IF(A289=1,R289,U288+R289)</x:f>
      </x:c>
      <x:c r="V289" s="32"/>
      <x:c r="W289" s="32" t="e">
        <x:f>IF(A289=1,Dashboard!$F$14,AA288)</x:f>
      </x:c>
      <x:c r="X289" s="32" t="e">
        <x:f>IF(AND(A289&lt;=Dashboard!$F$17,MOD(A289-1,12)=0),MIN(W289,$B$7),0)</x:f>
      </x:c>
      <x:c r="Y289" s="32" t="e">
        <x:f>IF(A289&lt;=Dashboard!$F$17,MAX(0,W289-X289)*Dashboard!$F$6,0)</x:f>
      </x:c>
      <x:c r="Z289" s="32" t="e">
        <x:f>IF(A289&lt;=Dashboard!$F$17,MIN(Dashboard!$F$10,MAX(0,W289-X289)+Y289),0)</x:f>
      </x:c>
      <x:c r="AA289" s="32" t="e">
        <x:f>IF(A289&lt;=Dashboard!$F$17,MAX(0,W289-X289-MAX(0,Z289-Y289)),0)</x:f>
      </x:c>
      <x:c r="AB289" s="32" t="e">
        <x:f>IF(A289=1,Y289,AB288+Y289)</x:f>
      </x:c>
      <x:c r="AC289" s="32"/>
      <x:c r="AD289" s="32" t="e">
        <x:f>IF(A289=1,MAX(0,Dashboard!$F$14-$B$8),AG288)</x:f>
      </x:c>
      <x:c r="AE289" s="32" t="n">
        <x:f>0</x:f>
        <x:v>0</x:v>
      </x:c>
      <x:c r="AF289" s="32" t="e">
        <x:f>IF(A289&lt;=Dashboard!$F$17,AD289*Dashboard!$F$6,0)</x:f>
      </x:c>
      <x:c r="AG289" s="32" t="e">
        <x:f>IF(A289&lt;=Dashboard!$F$17,MIN(Dashboard!$F$10,AD289+AF289),0)</x:f>
      </x:c>
      <x:c r="AH289" s="32" t="e">
        <x:f>IF(A289&lt;=Dashboard!$F$17,MAX(0,AD289-MAX(0,AG289-AF289)),0)</x:f>
      </x:c>
      <x:c r="AI289" s="32" t="e">
        <x:f>IF(A289=1,AF289,AI288+AF289)</x:f>
      </x:c>
      <x:c r="AJ289" s="33"/>
      <x:c r="AK289" s="33"/>
      <x:c r="AL289" s="33"/>
      <x:c r="AM289" s="33"/>
    </x:row>
    <x:row r="290">
      <x:c r="A290" s="33" t="n">
        <x:v>278</x:v>
      </x:c>
      <x:c r="B290" s="32" t="e">
        <x:f>IF(A290=1,Dashboard!$F$14,F289)</x:f>
      </x:c>
      <x:c r="C290" s="32" t="n">
        <x:f>0</x:f>
        <x:v>0</x:v>
      </x:c>
      <x:c r="D290" s="32" t="e">
        <x:f>IF(A290&lt;=Dashboard!$F$15,B290*Dashboard!$F$6,0)</x:f>
      </x:c>
      <x:c r="E290" s="32" t="e">
        <x:f>IF(A290&lt;=Dashboard!$F$15,MIN(Dashboard!$F$10,B290+D290),0)</x:f>
      </x:c>
      <x:c r="F290" s="32" t="e">
        <x:f>IF(A290&lt;=Dashboard!$F$15,MAX(0,B290-MAX(0,E290-D290)),0)</x:f>
      </x:c>
      <x:c r="G290" s="32" t="e">
        <x:f>IF(A290=1,D290,G289+D290)</x:f>
      </x:c>
      <x:c r="H290" s="32"/>
      <x:c r="I290" s="32" t="e">
        <x:f>IF(A290=1,Dashboard!$F$14,M289)</x:f>
      </x:c>
      <x:c r="J290" s="32" t="e">
        <x:f>IF(A290&lt;=Dashboard!$F$17,MIN(I290,$B$5),0)</x:f>
      </x:c>
      <x:c r="K290" s="32" t="e">
        <x:f>IF(A290&lt;=Dashboard!$F$17,MAX(0,I290-J290)*Dashboard!$F$6,0)</x:f>
      </x:c>
      <x:c r="L290" s="32" t="e">
        <x:f>IF(A290&lt;=Dashboard!$F$17,MIN(Dashboard!$F$10,MAX(0,I290-J290)+K290),0)</x:f>
      </x:c>
      <x:c r="M290" s="32" t="e">
        <x:f>IF(A290&lt;=Dashboard!$F$17,MAX(0,I290-J290-MAX(0,L290-K290)),0)</x:f>
      </x:c>
      <x:c r="N290" s="32" t="e">
        <x:f>IF(A290=1,K290,N289+K290)</x:f>
      </x:c>
      <x:c r="O290" s="32"/>
      <x:c r="P290" s="32" t="e">
        <x:f>IF(A290=1,Dashboard!$F$14,T289)</x:f>
      </x:c>
      <x:c r="Q290" s="32" t="e">
        <x:f>IF(A290&lt;=Dashboard!$F$17,MIN(P290,$B$6*52/12),0)</x:f>
      </x:c>
      <x:c r="R290" s="32" t="e">
        <x:f>IF(A290&lt;=Dashboard!$F$17,MAX(0,P290-Q290)*Dashboard!$F$6,0)</x:f>
      </x:c>
      <x:c r="S290" s="32" t="e">
        <x:f>IF(A290&lt;=Dashboard!$F$17,MIN(Dashboard!$F$10,MAX(0,P290-Q290)+R290),0)</x:f>
      </x:c>
      <x:c r="T290" s="32" t="e">
        <x:f>IF(A290&lt;=Dashboard!$F$17,MAX(0,P290-Q290-MAX(0,S290-R290)),0)</x:f>
      </x:c>
      <x:c r="U290" s="32" t="e">
        <x:f>IF(A290=1,R290,U289+R290)</x:f>
      </x:c>
      <x:c r="V290" s="32"/>
      <x:c r="W290" s="32" t="e">
        <x:f>IF(A290=1,Dashboard!$F$14,AA289)</x:f>
      </x:c>
      <x:c r="X290" s="32" t="e">
        <x:f>IF(AND(A290&lt;=Dashboard!$F$17,MOD(A290-1,12)=0),MIN(W290,$B$7),0)</x:f>
      </x:c>
      <x:c r="Y290" s="32" t="e">
        <x:f>IF(A290&lt;=Dashboard!$F$17,MAX(0,W290-X290)*Dashboard!$F$6,0)</x:f>
      </x:c>
      <x:c r="Z290" s="32" t="e">
        <x:f>IF(A290&lt;=Dashboard!$F$17,MIN(Dashboard!$F$10,MAX(0,W290-X290)+Y290),0)</x:f>
      </x:c>
      <x:c r="AA290" s="32" t="e">
        <x:f>IF(A290&lt;=Dashboard!$F$17,MAX(0,W290-X290-MAX(0,Z290-Y290)),0)</x:f>
      </x:c>
      <x:c r="AB290" s="32" t="e">
        <x:f>IF(A290=1,Y290,AB289+Y290)</x:f>
      </x:c>
      <x:c r="AC290" s="32"/>
      <x:c r="AD290" s="32" t="e">
        <x:f>IF(A290=1,MAX(0,Dashboard!$F$14-$B$8),AG289)</x:f>
      </x:c>
      <x:c r="AE290" s="32" t="n">
        <x:f>0</x:f>
        <x:v>0</x:v>
      </x:c>
      <x:c r="AF290" s="32" t="e">
        <x:f>IF(A290&lt;=Dashboard!$F$17,AD290*Dashboard!$F$6,0)</x:f>
      </x:c>
      <x:c r="AG290" s="32" t="e">
        <x:f>IF(A290&lt;=Dashboard!$F$17,MIN(Dashboard!$F$10,AD290+AF290),0)</x:f>
      </x:c>
      <x:c r="AH290" s="32" t="e">
        <x:f>IF(A290&lt;=Dashboard!$F$17,MAX(0,AD290-MAX(0,AG290-AF290)),0)</x:f>
      </x:c>
      <x:c r="AI290" s="32" t="e">
        <x:f>IF(A290=1,AF290,AI289+AF290)</x:f>
      </x:c>
      <x:c r="AJ290" s="33"/>
      <x:c r="AK290" s="33"/>
      <x:c r="AL290" s="33"/>
      <x:c r="AM290" s="33"/>
    </x:row>
    <x:row r="291">
      <x:c r="A291" s="33" t="n">
        <x:v>279</x:v>
      </x:c>
      <x:c r="B291" s="32" t="e">
        <x:f>IF(A291=1,Dashboard!$F$14,F290)</x:f>
      </x:c>
      <x:c r="C291" s="32" t="n">
        <x:f>0</x:f>
        <x:v>0</x:v>
      </x:c>
      <x:c r="D291" s="32" t="e">
        <x:f>IF(A291&lt;=Dashboard!$F$15,B291*Dashboard!$F$6,0)</x:f>
      </x:c>
      <x:c r="E291" s="32" t="e">
        <x:f>IF(A291&lt;=Dashboard!$F$15,MIN(Dashboard!$F$10,B291+D291),0)</x:f>
      </x:c>
      <x:c r="F291" s="32" t="e">
        <x:f>IF(A291&lt;=Dashboard!$F$15,MAX(0,B291-MAX(0,E291-D291)),0)</x:f>
      </x:c>
      <x:c r="G291" s="32" t="e">
        <x:f>IF(A291=1,D291,G290+D291)</x:f>
      </x:c>
      <x:c r="H291" s="32"/>
      <x:c r="I291" s="32" t="e">
        <x:f>IF(A291=1,Dashboard!$F$14,M290)</x:f>
      </x:c>
      <x:c r="J291" s="32" t="e">
        <x:f>IF(A291&lt;=Dashboard!$F$17,MIN(I291,$B$5),0)</x:f>
      </x:c>
      <x:c r="K291" s="32" t="e">
        <x:f>IF(A291&lt;=Dashboard!$F$17,MAX(0,I291-J291)*Dashboard!$F$6,0)</x:f>
      </x:c>
      <x:c r="L291" s="32" t="e">
        <x:f>IF(A291&lt;=Dashboard!$F$17,MIN(Dashboard!$F$10,MAX(0,I291-J291)+K291),0)</x:f>
      </x:c>
      <x:c r="M291" s="32" t="e">
        <x:f>IF(A291&lt;=Dashboard!$F$17,MAX(0,I291-J291-MAX(0,L291-K291)),0)</x:f>
      </x:c>
      <x:c r="N291" s="32" t="e">
        <x:f>IF(A291=1,K291,N290+K291)</x:f>
      </x:c>
      <x:c r="O291" s="32"/>
      <x:c r="P291" s="32" t="e">
        <x:f>IF(A291=1,Dashboard!$F$14,T290)</x:f>
      </x:c>
      <x:c r="Q291" s="32" t="e">
        <x:f>IF(A291&lt;=Dashboard!$F$17,MIN(P291,$B$6*52/12),0)</x:f>
      </x:c>
      <x:c r="R291" s="32" t="e">
        <x:f>IF(A291&lt;=Dashboard!$F$17,MAX(0,P291-Q291)*Dashboard!$F$6,0)</x:f>
      </x:c>
      <x:c r="S291" s="32" t="e">
        <x:f>IF(A291&lt;=Dashboard!$F$17,MIN(Dashboard!$F$10,MAX(0,P291-Q291)+R291),0)</x:f>
      </x:c>
      <x:c r="T291" s="32" t="e">
        <x:f>IF(A291&lt;=Dashboard!$F$17,MAX(0,P291-Q291-MAX(0,S291-R291)),0)</x:f>
      </x:c>
      <x:c r="U291" s="32" t="e">
        <x:f>IF(A291=1,R291,U290+R291)</x:f>
      </x:c>
      <x:c r="V291" s="32"/>
      <x:c r="W291" s="32" t="e">
        <x:f>IF(A291=1,Dashboard!$F$14,AA290)</x:f>
      </x:c>
      <x:c r="X291" s="32" t="e">
        <x:f>IF(AND(A291&lt;=Dashboard!$F$17,MOD(A291-1,12)=0),MIN(W291,$B$7),0)</x:f>
      </x:c>
      <x:c r="Y291" s="32" t="e">
        <x:f>IF(A291&lt;=Dashboard!$F$17,MAX(0,W291-X291)*Dashboard!$F$6,0)</x:f>
      </x:c>
      <x:c r="Z291" s="32" t="e">
        <x:f>IF(A291&lt;=Dashboard!$F$17,MIN(Dashboard!$F$10,MAX(0,W291-X291)+Y291),0)</x:f>
      </x:c>
      <x:c r="AA291" s="32" t="e">
        <x:f>IF(A291&lt;=Dashboard!$F$17,MAX(0,W291-X291-MAX(0,Z291-Y291)),0)</x:f>
      </x:c>
      <x:c r="AB291" s="32" t="e">
        <x:f>IF(A291=1,Y291,AB290+Y291)</x:f>
      </x:c>
      <x:c r="AC291" s="32"/>
      <x:c r="AD291" s="32" t="e">
        <x:f>IF(A291=1,MAX(0,Dashboard!$F$14-$B$8),AG290)</x:f>
      </x:c>
      <x:c r="AE291" s="32" t="n">
        <x:f>0</x:f>
        <x:v>0</x:v>
      </x:c>
      <x:c r="AF291" s="32" t="e">
        <x:f>IF(A291&lt;=Dashboard!$F$17,AD291*Dashboard!$F$6,0)</x:f>
      </x:c>
      <x:c r="AG291" s="32" t="e">
        <x:f>IF(A291&lt;=Dashboard!$F$17,MIN(Dashboard!$F$10,AD291+AF291),0)</x:f>
      </x:c>
      <x:c r="AH291" s="32" t="e">
        <x:f>IF(A291&lt;=Dashboard!$F$17,MAX(0,AD291-MAX(0,AG291-AF291)),0)</x:f>
      </x:c>
      <x:c r="AI291" s="32" t="e">
        <x:f>IF(A291=1,AF291,AI290+AF291)</x:f>
      </x:c>
      <x:c r="AJ291" s="33"/>
      <x:c r="AK291" s="33"/>
      <x:c r="AL291" s="33"/>
      <x:c r="AM291" s="33"/>
    </x:row>
    <x:row r="292">
      <x:c r="A292" s="33" t="n">
        <x:v>280</x:v>
      </x:c>
      <x:c r="B292" s="32" t="e">
        <x:f>IF(A292=1,Dashboard!$F$14,F291)</x:f>
      </x:c>
      <x:c r="C292" s="32" t="n">
        <x:f>0</x:f>
        <x:v>0</x:v>
      </x:c>
      <x:c r="D292" s="32" t="e">
        <x:f>IF(A292&lt;=Dashboard!$F$15,B292*Dashboard!$F$6,0)</x:f>
      </x:c>
      <x:c r="E292" s="32" t="e">
        <x:f>IF(A292&lt;=Dashboard!$F$15,MIN(Dashboard!$F$10,B292+D292),0)</x:f>
      </x:c>
      <x:c r="F292" s="32" t="e">
        <x:f>IF(A292&lt;=Dashboard!$F$15,MAX(0,B292-MAX(0,E292-D292)),0)</x:f>
      </x:c>
      <x:c r="G292" s="32" t="e">
        <x:f>IF(A292=1,D292,G291+D292)</x:f>
      </x:c>
      <x:c r="H292" s="32"/>
      <x:c r="I292" s="32" t="e">
        <x:f>IF(A292=1,Dashboard!$F$14,M291)</x:f>
      </x:c>
      <x:c r="J292" s="32" t="e">
        <x:f>IF(A292&lt;=Dashboard!$F$17,MIN(I292,$B$5),0)</x:f>
      </x:c>
      <x:c r="K292" s="32" t="e">
        <x:f>IF(A292&lt;=Dashboard!$F$17,MAX(0,I292-J292)*Dashboard!$F$6,0)</x:f>
      </x:c>
      <x:c r="L292" s="32" t="e">
        <x:f>IF(A292&lt;=Dashboard!$F$17,MIN(Dashboard!$F$10,MAX(0,I292-J292)+K292),0)</x:f>
      </x:c>
      <x:c r="M292" s="32" t="e">
        <x:f>IF(A292&lt;=Dashboard!$F$17,MAX(0,I292-J292-MAX(0,L292-K292)),0)</x:f>
      </x:c>
      <x:c r="N292" s="32" t="e">
        <x:f>IF(A292=1,K292,N291+K292)</x:f>
      </x:c>
      <x:c r="O292" s="32"/>
      <x:c r="P292" s="32" t="e">
        <x:f>IF(A292=1,Dashboard!$F$14,T291)</x:f>
      </x:c>
      <x:c r="Q292" s="32" t="e">
        <x:f>IF(A292&lt;=Dashboard!$F$17,MIN(P292,$B$6*52/12),0)</x:f>
      </x:c>
      <x:c r="R292" s="32" t="e">
        <x:f>IF(A292&lt;=Dashboard!$F$17,MAX(0,P292-Q292)*Dashboard!$F$6,0)</x:f>
      </x:c>
      <x:c r="S292" s="32" t="e">
        <x:f>IF(A292&lt;=Dashboard!$F$17,MIN(Dashboard!$F$10,MAX(0,P292-Q292)+R292),0)</x:f>
      </x:c>
      <x:c r="T292" s="32" t="e">
        <x:f>IF(A292&lt;=Dashboard!$F$17,MAX(0,P292-Q292-MAX(0,S292-R292)),0)</x:f>
      </x:c>
      <x:c r="U292" s="32" t="e">
        <x:f>IF(A292=1,R292,U291+R292)</x:f>
      </x:c>
      <x:c r="V292" s="32"/>
      <x:c r="W292" s="32" t="e">
        <x:f>IF(A292=1,Dashboard!$F$14,AA291)</x:f>
      </x:c>
      <x:c r="X292" s="32" t="e">
        <x:f>IF(AND(A292&lt;=Dashboard!$F$17,MOD(A292-1,12)=0),MIN(W292,$B$7),0)</x:f>
      </x:c>
      <x:c r="Y292" s="32" t="e">
        <x:f>IF(A292&lt;=Dashboard!$F$17,MAX(0,W292-X292)*Dashboard!$F$6,0)</x:f>
      </x:c>
      <x:c r="Z292" s="32" t="e">
        <x:f>IF(A292&lt;=Dashboard!$F$17,MIN(Dashboard!$F$10,MAX(0,W292-X292)+Y292),0)</x:f>
      </x:c>
      <x:c r="AA292" s="32" t="e">
        <x:f>IF(A292&lt;=Dashboard!$F$17,MAX(0,W292-X292-MAX(0,Z292-Y292)),0)</x:f>
      </x:c>
      <x:c r="AB292" s="32" t="e">
        <x:f>IF(A292=1,Y292,AB291+Y292)</x:f>
      </x:c>
      <x:c r="AC292" s="32"/>
      <x:c r="AD292" s="32" t="e">
        <x:f>IF(A292=1,MAX(0,Dashboard!$F$14-$B$8),AG291)</x:f>
      </x:c>
      <x:c r="AE292" s="32" t="n">
        <x:f>0</x:f>
        <x:v>0</x:v>
      </x:c>
      <x:c r="AF292" s="32" t="e">
        <x:f>IF(A292&lt;=Dashboard!$F$17,AD292*Dashboard!$F$6,0)</x:f>
      </x:c>
      <x:c r="AG292" s="32" t="e">
        <x:f>IF(A292&lt;=Dashboard!$F$17,MIN(Dashboard!$F$10,AD292+AF292),0)</x:f>
      </x:c>
      <x:c r="AH292" s="32" t="e">
        <x:f>IF(A292&lt;=Dashboard!$F$17,MAX(0,AD292-MAX(0,AG292-AF292)),0)</x:f>
      </x:c>
      <x:c r="AI292" s="32" t="e">
        <x:f>IF(A292=1,AF292,AI291+AF292)</x:f>
      </x:c>
      <x:c r="AJ292" s="33"/>
      <x:c r="AK292" s="33"/>
      <x:c r="AL292" s="33"/>
      <x:c r="AM292" s="33"/>
    </x:row>
    <x:row r="293">
      <x:c r="A293" s="33" t="n">
        <x:v>281</x:v>
      </x:c>
      <x:c r="B293" s="32" t="e">
        <x:f>IF(A293=1,Dashboard!$F$14,F292)</x:f>
      </x:c>
      <x:c r="C293" s="32" t="n">
        <x:f>0</x:f>
        <x:v>0</x:v>
      </x:c>
      <x:c r="D293" s="32" t="e">
        <x:f>IF(A293&lt;=Dashboard!$F$15,B293*Dashboard!$F$6,0)</x:f>
      </x:c>
      <x:c r="E293" s="32" t="e">
        <x:f>IF(A293&lt;=Dashboard!$F$15,MIN(Dashboard!$F$10,B293+D293),0)</x:f>
      </x:c>
      <x:c r="F293" s="32" t="e">
        <x:f>IF(A293&lt;=Dashboard!$F$15,MAX(0,B293-MAX(0,E293-D293)),0)</x:f>
      </x:c>
      <x:c r="G293" s="32" t="e">
        <x:f>IF(A293=1,D293,G292+D293)</x:f>
      </x:c>
      <x:c r="H293" s="32"/>
      <x:c r="I293" s="32" t="e">
        <x:f>IF(A293=1,Dashboard!$F$14,M292)</x:f>
      </x:c>
      <x:c r="J293" s="32" t="e">
        <x:f>IF(A293&lt;=Dashboard!$F$17,MIN(I293,$B$5),0)</x:f>
      </x:c>
      <x:c r="K293" s="32" t="e">
        <x:f>IF(A293&lt;=Dashboard!$F$17,MAX(0,I293-J293)*Dashboard!$F$6,0)</x:f>
      </x:c>
      <x:c r="L293" s="32" t="e">
        <x:f>IF(A293&lt;=Dashboard!$F$17,MIN(Dashboard!$F$10,MAX(0,I293-J293)+K293),0)</x:f>
      </x:c>
      <x:c r="M293" s="32" t="e">
        <x:f>IF(A293&lt;=Dashboard!$F$17,MAX(0,I293-J293-MAX(0,L293-K293)),0)</x:f>
      </x:c>
      <x:c r="N293" s="32" t="e">
        <x:f>IF(A293=1,K293,N292+K293)</x:f>
      </x:c>
      <x:c r="O293" s="32"/>
      <x:c r="P293" s="32" t="e">
        <x:f>IF(A293=1,Dashboard!$F$14,T292)</x:f>
      </x:c>
      <x:c r="Q293" s="32" t="e">
        <x:f>IF(A293&lt;=Dashboard!$F$17,MIN(P293,$B$6*52/12),0)</x:f>
      </x:c>
      <x:c r="R293" s="32" t="e">
        <x:f>IF(A293&lt;=Dashboard!$F$17,MAX(0,P293-Q293)*Dashboard!$F$6,0)</x:f>
      </x:c>
      <x:c r="S293" s="32" t="e">
        <x:f>IF(A293&lt;=Dashboard!$F$17,MIN(Dashboard!$F$10,MAX(0,P293-Q293)+R293),0)</x:f>
      </x:c>
      <x:c r="T293" s="32" t="e">
        <x:f>IF(A293&lt;=Dashboard!$F$17,MAX(0,P293-Q293-MAX(0,S293-R293)),0)</x:f>
      </x:c>
      <x:c r="U293" s="32" t="e">
        <x:f>IF(A293=1,R293,U292+R293)</x:f>
      </x:c>
      <x:c r="V293" s="32"/>
      <x:c r="W293" s="32" t="e">
        <x:f>IF(A293=1,Dashboard!$F$14,AA292)</x:f>
      </x:c>
      <x:c r="X293" s="32" t="e">
        <x:f>IF(AND(A293&lt;=Dashboard!$F$17,MOD(A293-1,12)=0),MIN(W293,$B$7),0)</x:f>
      </x:c>
      <x:c r="Y293" s="32" t="e">
        <x:f>IF(A293&lt;=Dashboard!$F$17,MAX(0,W293-X293)*Dashboard!$F$6,0)</x:f>
      </x:c>
      <x:c r="Z293" s="32" t="e">
        <x:f>IF(A293&lt;=Dashboard!$F$17,MIN(Dashboard!$F$10,MAX(0,W293-X293)+Y293),0)</x:f>
      </x:c>
      <x:c r="AA293" s="32" t="e">
        <x:f>IF(A293&lt;=Dashboard!$F$17,MAX(0,W293-X293-MAX(0,Z293-Y293)),0)</x:f>
      </x:c>
      <x:c r="AB293" s="32" t="e">
        <x:f>IF(A293=1,Y293,AB292+Y293)</x:f>
      </x:c>
      <x:c r="AC293" s="32"/>
      <x:c r="AD293" s="32" t="e">
        <x:f>IF(A293=1,MAX(0,Dashboard!$F$14-$B$8),AG292)</x:f>
      </x:c>
      <x:c r="AE293" s="32" t="n">
        <x:f>0</x:f>
        <x:v>0</x:v>
      </x:c>
      <x:c r="AF293" s="32" t="e">
        <x:f>IF(A293&lt;=Dashboard!$F$17,AD293*Dashboard!$F$6,0)</x:f>
      </x:c>
      <x:c r="AG293" s="32" t="e">
        <x:f>IF(A293&lt;=Dashboard!$F$17,MIN(Dashboard!$F$10,AD293+AF293),0)</x:f>
      </x:c>
      <x:c r="AH293" s="32" t="e">
        <x:f>IF(A293&lt;=Dashboard!$F$17,MAX(0,AD293-MAX(0,AG293-AF293)),0)</x:f>
      </x:c>
      <x:c r="AI293" s="32" t="e">
        <x:f>IF(A293=1,AF293,AI292+AF293)</x:f>
      </x:c>
      <x:c r="AJ293" s="33"/>
      <x:c r="AK293" s="33"/>
      <x:c r="AL293" s="33"/>
      <x:c r="AM293" s="33"/>
    </x:row>
    <x:row r="294">
      <x:c r="A294" s="33" t="n">
        <x:v>282</x:v>
      </x:c>
      <x:c r="B294" s="32" t="e">
        <x:f>IF(A294=1,Dashboard!$F$14,F293)</x:f>
      </x:c>
      <x:c r="C294" s="32" t="n">
        <x:f>0</x:f>
        <x:v>0</x:v>
      </x:c>
      <x:c r="D294" s="32" t="e">
        <x:f>IF(A294&lt;=Dashboard!$F$15,B294*Dashboard!$F$6,0)</x:f>
      </x:c>
      <x:c r="E294" s="32" t="e">
        <x:f>IF(A294&lt;=Dashboard!$F$15,MIN(Dashboard!$F$10,B294+D294),0)</x:f>
      </x:c>
      <x:c r="F294" s="32" t="e">
        <x:f>IF(A294&lt;=Dashboard!$F$15,MAX(0,B294-MAX(0,E294-D294)),0)</x:f>
      </x:c>
      <x:c r="G294" s="32" t="e">
        <x:f>IF(A294=1,D294,G293+D294)</x:f>
      </x:c>
      <x:c r="H294" s="32"/>
      <x:c r="I294" s="32" t="e">
        <x:f>IF(A294=1,Dashboard!$F$14,M293)</x:f>
      </x:c>
      <x:c r="J294" s="32" t="e">
        <x:f>IF(A294&lt;=Dashboard!$F$17,MIN(I294,$B$5),0)</x:f>
      </x:c>
      <x:c r="K294" s="32" t="e">
        <x:f>IF(A294&lt;=Dashboard!$F$17,MAX(0,I294-J294)*Dashboard!$F$6,0)</x:f>
      </x:c>
      <x:c r="L294" s="32" t="e">
        <x:f>IF(A294&lt;=Dashboard!$F$17,MIN(Dashboard!$F$10,MAX(0,I294-J294)+K294),0)</x:f>
      </x:c>
      <x:c r="M294" s="32" t="e">
        <x:f>IF(A294&lt;=Dashboard!$F$17,MAX(0,I294-J294-MAX(0,L294-K294)),0)</x:f>
      </x:c>
      <x:c r="N294" s="32" t="e">
        <x:f>IF(A294=1,K294,N293+K294)</x:f>
      </x:c>
      <x:c r="O294" s="32"/>
      <x:c r="P294" s="32" t="e">
        <x:f>IF(A294=1,Dashboard!$F$14,T293)</x:f>
      </x:c>
      <x:c r="Q294" s="32" t="e">
        <x:f>IF(A294&lt;=Dashboard!$F$17,MIN(P294,$B$6*52/12),0)</x:f>
      </x:c>
      <x:c r="R294" s="32" t="e">
        <x:f>IF(A294&lt;=Dashboard!$F$17,MAX(0,P294-Q294)*Dashboard!$F$6,0)</x:f>
      </x:c>
      <x:c r="S294" s="32" t="e">
        <x:f>IF(A294&lt;=Dashboard!$F$17,MIN(Dashboard!$F$10,MAX(0,P294-Q294)+R294),0)</x:f>
      </x:c>
      <x:c r="T294" s="32" t="e">
        <x:f>IF(A294&lt;=Dashboard!$F$17,MAX(0,P294-Q294-MAX(0,S294-R294)),0)</x:f>
      </x:c>
      <x:c r="U294" s="32" t="e">
        <x:f>IF(A294=1,R294,U293+R294)</x:f>
      </x:c>
      <x:c r="V294" s="32"/>
      <x:c r="W294" s="32" t="e">
        <x:f>IF(A294=1,Dashboard!$F$14,AA293)</x:f>
      </x:c>
      <x:c r="X294" s="32" t="e">
        <x:f>IF(AND(A294&lt;=Dashboard!$F$17,MOD(A294-1,12)=0),MIN(W294,$B$7),0)</x:f>
      </x:c>
      <x:c r="Y294" s="32" t="e">
        <x:f>IF(A294&lt;=Dashboard!$F$17,MAX(0,W294-X294)*Dashboard!$F$6,0)</x:f>
      </x:c>
      <x:c r="Z294" s="32" t="e">
        <x:f>IF(A294&lt;=Dashboard!$F$17,MIN(Dashboard!$F$10,MAX(0,W294-X294)+Y294),0)</x:f>
      </x:c>
      <x:c r="AA294" s="32" t="e">
        <x:f>IF(A294&lt;=Dashboard!$F$17,MAX(0,W294-X294-MAX(0,Z294-Y294)),0)</x:f>
      </x:c>
      <x:c r="AB294" s="32" t="e">
        <x:f>IF(A294=1,Y294,AB293+Y294)</x:f>
      </x:c>
      <x:c r="AC294" s="32"/>
      <x:c r="AD294" s="32" t="e">
        <x:f>IF(A294=1,MAX(0,Dashboard!$F$14-$B$8),AG293)</x:f>
      </x:c>
      <x:c r="AE294" s="32" t="n">
        <x:f>0</x:f>
        <x:v>0</x:v>
      </x:c>
      <x:c r="AF294" s="32" t="e">
        <x:f>IF(A294&lt;=Dashboard!$F$17,AD294*Dashboard!$F$6,0)</x:f>
      </x:c>
      <x:c r="AG294" s="32" t="e">
        <x:f>IF(A294&lt;=Dashboard!$F$17,MIN(Dashboard!$F$10,AD294+AF294),0)</x:f>
      </x:c>
      <x:c r="AH294" s="32" t="e">
        <x:f>IF(A294&lt;=Dashboard!$F$17,MAX(0,AD294-MAX(0,AG294-AF294)),0)</x:f>
      </x:c>
      <x:c r="AI294" s="32" t="e">
        <x:f>IF(A294=1,AF294,AI293+AF294)</x:f>
      </x:c>
      <x:c r="AJ294" s="33"/>
      <x:c r="AK294" s="33"/>
      <x:c r="AL294" s="33"/>
      <x:c r="AM294" s="33"/>
    </x:row>
    <x:row r="295">
      <x:c r="A295" s="33" t="n">
        <x:v>283</x:v>
      </x:c>
      <x:c r="B295" s="32" t="e">
        <x:f>IF(A295=1,Dashboard!$F$14,F294)</x:f>
      </x:c>
      <x:c r="C295" s="32" t="n">
        <x:f>0</x:f>
        <x:v>0</x:v>
      </x:c>
      <x:c r="D295" s="32" t="e">
        <x:f>IF(A295&lt;=Dashboard!$F$15,B295*Dashboard!$F$6,0)</x:f>
      </x:c>
      <x:c r="E295" s="32" t="e">
        <x:f>IF(A295&lt;=Dashboard!$F$15,MIN(Dashboard!$F$10,B295+D295),0)</x:f>
      </x:c>
      <x:c r="F295" s="32" t="e">
        <x:f>IF(A295&lt;=Dashboard!$F$15,MAX(0,B295-MAX(0,E295-D295)),0)</x:f>
      </x:c>
      <x:c r="G295" s="32" t="e">
        <x:f>IF(A295=1,D295,G294+D295)</x:f>
      </x:c>
      <x:c r="H295" s="32"/>
      <x:c r="I295" s="32" t="e">
        <x:f>IF(A295=1,Dashboard!$F$14,M294)</x:f>
      </x:c>
      <x:c r="J295" s="32" t="e">
        <x:f>IF(A295&lt;=Dashboard!$F$17,MIN(I295,$B$5),0)</x:f>
      </x:c>
      <x:c r="K295" s="32" t="e">
        <x:f>IF(A295&lt;=Dashboard!$F$17,MAX(0,I295-J295)*Dashboard!$F$6,0)</x:f>
      </x:c>
      <x:c r="L295" s="32" t="e">
        <x:f>IF(A295&lt;=Dashboard!$F$17,MIN(Dashboard!$F$10,MAX(0,I295-J295)+K295),0)</x:f>
      </x:c>
      <x:c r="M295" s="32" t="e">
        <x:f>IF(A295&lt;=Dashboard!$F$17,MAX(0,I295-J295-MAX(0,L295-K295)),0)</x:f>
      </x:c>
      <x:c r="N295" s="32" t="e">
        <x:f>IF(A295=1,K295,N294+K295)</x:f>
      </x:c>
      <x:c r="O295" s="32"/>
      <x:c r="P295" s="32" t="e">
        <x:f>IF(A295=1,Dashboard!$F$14,T294)</x:f>
      </x:c>
      <x:c r="Q295" s="32" t="e">
        <x:f>IF(A295&lt;=Dashboard!$F$17,MIN(P295,$B$6*52/12),0)</x:f>
      </x:c>
      <x:c r="R295" s="32" t="e">
        <x:f>IF(A295&lt;=Dashboard!$F$17,MAX(0,P295-Q295)*Dashboard!$F$6,0)</x:f>
      </x:c>
      <x:c r="S295" s="32" t="e">
        <x:f>IF(A295&lt;=Dashboard!$F$17,MIN(Dashboard!$F$10,MAX(0,P295-Q295)+R295),0)</x:f>
      </x:c>
      <x:c r="T295" s="32" t="e">
        <x:f>IF(A295&lt;=Dashboard!$F$17,MAX(0,P295-Q295-MAX(0,S295-R295)),0)</x:f>
      </x:c>
      <x:c r="U295" s="32" t="e">
        <x:f>IF(A295=1,R295,U294+R295)</x:f>
      </x:c>
      <x:c r="V295" s="32"/>
      <x:c r="W295" s="32" t="e">
        <x:f>IF(A295=1,Dashboard!$F$14,AA294)</x:f>
      </x:c>
      <x:c r="X295" s="32" t="e">
        <x:f>IF(AND(A295&lt;=Dashboard!$F$17,MOD(A295-1,12)=0),MIN(W295,$B$7),0)</x:f>
      </x:c>
      <x:c r="Y295" s="32" t="e">
        <x:f>IF(A295&lt;=Dashboard!$F$17,MAX(0,W295-X295)*Dashboard!$F$6,0)</x:f>
      </x:c>
      <x:c r="Z295" s="32" t="e">
        <x:f>IF(A295&lt;=Dashboard!$F$17,MIN(Dashboard!$F$10,MAX(0,W295-X295)+Y295),0)</x:f>
      </x:c>
      <x:c r="AA295" s="32" t="e">
        <x:f>IF(A295&lt;=Dashboard!$F$17,MAX(0,W295-X295-MAX(0,Z295-Y295)),0)</x:f>
      </x:c>
      <x:c r="AB295" s="32" t="e">
        <x:f>IF(A295=1,Y295,AB294+Y295)</x:f>
      </x:c>
      <x:c r="AC295" s="32"/>
      <x:c r="AD295" s="32" t="e">
        <x:f>IF(A295=1,MAX(0,Dashboard!$F$14-$B$8),AG294)</x:f>
      </x:c>
      <x:c r="AE295" s="32" t="n">
        <x:f>0</x:f>
        <x:v>0</x:v>
      </x:c>
      <x:c r="AF295" s="32" t="e">
        <x:f>IF(A295&lt;=Dashboard!$F$17,AD295*Dashboard!$F$6,0)</x:f>
      </x:c>
      <x:c r="AG295" s="32" t="e">
        <x:f>IF(A295&lt;=Dashboard!$F$17,MIN(Dashboard!$F$10,AD295+AF295),0)</x:f>
      </x:c>
      <x:c r="AH295" s="32" t="e">
        <x:f>IF(A295&lt;=Dashboard!$F$17,MAX(0,AD295-MAX(0,AG295-AF295)),0)</x:f>
      </x:c>
      <x:c r="AI295" s="32" t="e">
        <x:f>IF(A295=1,AF295,AI294+AF295)</x:f>
      </x:c>
      <x:c r="AJ295" s="33"/>
      <x:c r="AK295" s="33"/>
      <x:c r="AL295" s="33"/>
      <x:c r="AM295" s="33"/>
    </x:row>
    <x:row r="296">
      <x:c r="A296" s="33" t="n">
        <x:v>284</x:v>
      </x:c>
      <x:c r="B296" s="32" t="e">
        <x:f>IF(A296=1,Dashboard!$F$14,F295)</x:f>
      </x:c>
      <x:c r="C296" s="32" t="n">
        <x:f>0</x:f>
        <x:v>0</x:v>
      </x:c>
      <x:c r="D296" s="32" t="e">
        <x:f>IF(A296&lt;=Dashboard!$F$15,B296*Dashboard!$F$6,0)</x:f>
      </x:c>
      <x:c r="E296" s="32" t="e">
        <x:f>IF(A296&lt;=Dashboard!$F$15,MIN(Dashboard!$F$10,B296+D296),0)</x:f>
      </x:c>
      <x:c r="F296" s="32" t="e">
        <x:f>IF(A296&lt;=Dashboard!$F$15,MAX(0,B296-MAX(0,E296-D296)),0)</x:f>
      </x:c>
      <x:c r="G296" s="32" t="e">
        <x:f>IF(A296=1,D296,G295+D296)</x:f>
      </x:c>
      <x:c r="H296" s="32"/>
      <x:c r="I296" s="32" t="e">
        <x:f>IF(A296=1,Dashboard!$F$14,M295)</x:f>
      </x:c>
      <x:c r="J296" s="32" t="e">
        <x:f>IF(A296&lt;=Dashboard!$F$17,MIN(I296,$B$5),0)</x:f>
      </x:c>
      <x:c r="K296" s="32" t="e">
        <x:f>IF(A296&lt;=Dashboard!$F$17,MAX(0,I296-J296)*Dashboard!$F$6,0)</x:f>
      </x:c>
      <x:c r="L296" s="32" t="e">
        <x:f>IF(A296&lt;=Dashboard!$F$17,MIN(Dashboard!$F$10,MAX(0,I296-J296)+K296),0)</x:f>
      </x:c>
      <x:c r="M296" s="32" t="e">
        <x:f>IF(A296&lt;=Dashboard!$F$17,MAX(0,I296-J296-MAX(0,L296-K296)),0)</x:f>
      </x:c>
      <x:c r="N296" s="32" t="e">
        <x:f>IF(A296=1,K296,N295+K296)</x:f>
      </x:c>
      <x:c r="O296" s="32"/>
      <x:c r="P296" s="32" t="e">
        <x:f>IF(A296=1,Dashboard!$F$14,T295)</x:f>
      </x:c>
      <x:c r="Q296" s="32" t="e">
        <x:f>IF(A296&lt;=Dashboard!$F$17,MIN(P296,$B$6*52/12),0)</x:f>
      </x:c>
      <x:c r="R296" s="32" t="e">
        <x:f>IF(A296&lt;=Dashboard!$F$17,MAX(0,P296-Q296)*Dashboard!$F$6,0)</x:f>
      </x:c>
      <x:c r="S296" s="32" t="e">
        <x:f>IF(A296&lt;=Dashboard!$F$17,MIN(Dashboard!$F$10,MAX(0,P296-Q296)+R296),0)</x:f>
      </x:c>
      <x:c r="T296" s="32" t="e">
        <x:f>IF(A296&lt;=Dashboard!$F$17,MAX(0,P296-Q296-MAX(0,S296-R296)),0)</x:f>
      </x:c>
      <x:c r="U296" s="32" t="e">
        <x:f>IF(A296=1,R296,U295+R296)</x:f>
      </x:c>
      <x:c r="V296" s="32"/>
      <x:c r="W296" s="32" t="e">
        <x:f>IF(A296=1,Dashboard!$F$14,AA295)</x:f>
      </x:c>
      <x:c r="X296" s="32" t="e">
        <x:f>IF(AND(A296&lt;=Dashboard!$F$17,MOD(A296-1,12)=0),MIN(W296,$B$7),0)</x:f>
      </x:c>
      <x:c r="Y296" s="32" t="e">
        <x:f>IF(A296&lt;=Dashboard!$F$17,MAX(0,W296-X296)*Dashboard!$F$6,0)</x:f>
      </x:c>
      <x:c r="Z296" s="32" t="e">
        <x:f>IF(A296&lt;=Dashboard!$F$17,MIN(Dashboard!$F$10,MAX(0,W296-X296)+Y296),0)</x:f>
      </x:c>
      <x:c r="AA296" s="32" t="e">
        <x:f>IF(A296&lt;=Dashboard!$F$17,MAX(0,W296-X296-MAX(0,Z296-Y296)),0)</x:f>
      </x:c>
      <x:c r="AB296" s="32" t="e">
        <x:f>IF(A296=1,Y296,AB295+Y296)</x:f>
      </x:c>
      <x:c r="AC296" s="32"/>
      <x:c r="AD296" s="32" t="e">
        <x:f>IF(A296=1,MAX(0,Dashboard!$F$14-$B$8),AG295)</x:f>
      </x:c>
      <x:c r="AE296" s="32" t="n">
        <x:f>0</x:f>
        <x:v>0</x:v>
      </x:c>
      <x:c r="AF296" s="32" t="e">
        <x:f>IF(A296&lt;=Dashboard!$F$17,AD296*Dashboard!$F$6,0)</x:f>
      </x:c>
      <x:c r="AG296" s="32" t="e">
        <x:f>IF(A296&lt;=Dashboard!$F$17,MIN(Dashboard!$F$10,AD296+AF296),0)</x:f>
      </x:c>
      <x:c r="AH296" s="32" t="e">
        <x:f>IF(A296&lt;=Dashboard!$F$17,MAX(0,AD296-MAX(0,AG296-AF296)),0)</x:f>
      </x:c>
      <x:c r="AI296" s="32" t="e">
        <x:f>IF(A296=1,AF296,AI295+AF296)</x:f>
      </x:c>
      <x:c r="AJ296" s="33"/>
      <x:c r="AK296" s="33"/>
      <x:c r="AL296" s="33"/>
      <x:c r="AM296" s="33"/>
    </x:row>
    <x:row r="297">
      <x:c r="A297" s="33" t="n">
        <x:v>285</x:v>
      </x:c>
      <x:c r="B297" s="32" t="e">
        <x:f>IF(A297=1,Dashboard!$F$14,F296)</x:f>
      </x:c>
      <x:c r="C297" s="32" t="n">
        <x:f>0</x:f>
        <x:v>0</x:v>
      </x:c>
      <x:c r="D297" s="32" t="e">
        <x:f>IF(A297&lt;=Dashboard!$F$15,B297*Dashboard!$F$6,0)</x:f>
      </x:c>
      <x:c r="E297" s="32" t="e">
        <x:f>IF(A297&lt;=Dashboard!$F$15,MIN(Dashboard!$F$10,B297+D297),0)</x:f>
      </x:c>
      <x:c r="F297" s="32" t="e">
        <x:f>IF(A297&lt;=Dashboard!$F$15,MAX(0,B297-MAX(0,E297-D297)),0)</x:f>
      </x:c>
      <x:c r="G297" s="32" t="e">
        <x:f>IF(A297=1,D297,G296+D297)</x:f>
      </x:c>
      <x:c r="H297" s="32"/>
      <x:c r="I297" s="32" t="e">
        <x:f>IF(A297=1,Dashboard!$F$14,M296)</x:f>
      </x:c>
      <x:c r="J297" s="32" t="e">
        <x:f>IF(A297&lt;=Dashboard!$F$17,MIN(I297,$B$5),0)</x:f>
      </x:c>
      <x:c r="K297" s="32" t="e">
        <x:f>IF(A297&lt;=Dashboard!$F$17,MAX(0,I297-J297)*Dashboard!$F$6,0)</x:f>
      </x:c>
      <x:c r="L297" s="32" t="e">
        <x:f>IF(A297&lt;=Dashboard!$F$17,MIN(Dashboard!$F$10,MAX(0,I297-J297)+K297),0)</x:f>
      </x:c>
      <x:c r="M297" s="32" t="e">
        <x:f>IF(A297&lt;=Dashboard!$F$17,MAX(0,I297-J297-MAX(0,L297-K297)),0)</x:f>
      </x:c>
      <x:c r="N297" s="32" t="e">
        <x:f>IF(A297=1,K297,N296+K297)</x:f>
      </x:c>
      <x:c r="O297" s="32"/>
      <x:c r="P297" s="32" t="e">
        <x:f>IF(A297=1,Dashboard!$F$14,T296)</x:f>
      </x:c>
      <x:c r="Q297" s="32" t="e">
        <x:f>IF(A297&lt;=Dashboard!$F$17,MIN(P297,$B$6*52/12),0)</x:f>
      </x:c>
      <x:c r="R297" s="32" t="e">
        <x:f>IF(A297&lt;=Dashboard!$F$17,MAX(0,P297-Q297)*Dashboard!$F$6,0)</x:f>
      </x:c>
      <x:c r="S297" s="32" t="e">
        <x:f>IF(A297&lt;=Dashboard!$F$17,MIN(Dashboard!$F$10,MAX(0,P297-Q297)+R297),0)</x:f>
      </x:c>
      <x:c r="T297" s="32" t="e">
        <x:f>IF(A297&lt;=Dashboard!$F$17,MAX(0,P297-Q297-MAX(0,S297-R297)),0)</x:f>
      </x:c>
      <x:c r="U297" s="32" t="e">
        <x:f>IF(A297=1,R297,U296+R297)</x:f>
      </x:c>
      <x:c r="V297" s="32"/>
      <x:c r="W297" s="32" t="e">
        <x:f>IF(A297=1,Dashboard!$F$14,AA296)</x:f>
      </x:c>
      <x:c r="X297" s="32" t="e">
        <x:f>IF(AND(A297&lt;=Dashboard!$F$17,MOD(A297-1,12)=0),MIN(W297,$B$7),0)</x:f>
      </x:c>
      <x:c r="Y297" s="32" t="e">
        <x:f>IF(A297&lt;=Dashboard!$F$17,MAX(0,W297-X297)*Dashboard!$F$6,0)</x:f>
      </x:c>
      <x:c r="Z297" s="32" t="e">
        <x:f>IF(A297&lt;=Dashboard!$F$17,MIN(Dashboard!$F$10,MAX(0,W297-X297)+Y297),0)</x:f>
      </x:c>
      <x:c r="AA297" s="32" t="e">
        <x:f>IF(A297&lt;=Dashboard!$F$17,MAX(0,W297-X297-MAX(0,Z297-Y297)),0)</x:f>
      </x:c>
      <x:c r="AB297" s="32" t="e">
        <x:f>IF(A297=1,Y297,AB296+Y297)</x:f>
      </x:c>
      <x:c r="AC297" s="32"/>
      <x:c r="AD297" s="32" t="e">
        <x:f>IF(A297=1,MAX(0,Dashboard!$F$14-$B$8),AG296)</x:f>
      </x:c>
      <x:c r="AE297" s="32" t="n">
        <x:f>0</x:f>
        <x:v>0</x:v>
      </x:c>
      <x:c r="AF297" s="32" t="e">
        <x:f>IF(A297&lt;=Dashboard!$F$17,AD297*Dashboard!$F$6,0)</x:f>
      </x:c>
      <x:c r="AG297" s="32" t="e">
        <x:f>IF(A297&lt;=Dashboard!$F$17,MIN(Dashboard!$F$10,AD297+AF297),0)</x:f>
      </x:c>
      <x:c r="AH297" s="32" t="e">
        <x:f>IF(A297&lt;=Dashboard!$F$17,MAX(0,AD297-MAX(0,AG297-AF297)),0)</x:f>
      </x:c>
      <x:c r="AI297" s="32" t="e">
        <x:f>IF(A297=1,AF297,AI296+AF297)</x:f>
      </x:c>
      <x:c r="AJ297" s="33"/>
      <x:c r="AK297" s="33"/>
      <x:c r="AL297" s="33"/>
      <x:c r="AM297" s="33"/>
    </x:row>
    <x:row r="298">
      <x:c r="A298" s="33" t="n">
        <x:v>286</x:v>
      </x:c>
      <x:c r="B298" s="32" t="e">
        <x:f>IF(A298=1,Dashboard!$F$14,F297)</x:f>
      </x:c>
      <x:c r="C298" s="32" t="n">
        <x:f>0</x:f>
        <x:v>0</x:v>
      </x:c>
      <x:c r="D298" s="32" t="e">
        <x:f>IF(A298&lt;=Dashboard!$F$15,B298*Dashboard!$F$6,0)</x:f>
      </x:c>
      <x:c r="E298" s="32" t="e">
        <x:f>IF(A298&lt;=Dashboard!$F$15,MIN(Dashboard!$F$10,B298+D298),0)</x:f>
      </x:c>
      <x:c r="F298" s="32" t="e">
        <x:f>IF(A298&lt;=Dashboard!$F$15,MAX(0,B298-MAX(0,E298-D298)),0)</x:f>
      </x:c>
      <x:c r="G298" s="32" t="e">
        <x:f>IF(A298=1,D298,G297+D298)</x:f>
      </x:c>
      <x:c r="H298" s="32"/>
      <x:c r="I298" s="32" t="e">
        <x:f>IF(A298=1,Dashboard!$F$14,M297)</x:f>
      </x:c>
      <x:c r="J298" s="32" t="e">
        <x:f>IF(A298&lt;=Dashboard!$F$17,MIN(I298,$B$5),0)</x:f>
      </x:c>
      <x:c r="K298" s="32" t="e">
        <x:f>IF(A298&lt;=Dashboard!$F$17,MAX(0,I298-J298)*Dashboard!$F$6,0)</x:f>
      </x:c>
      <x:c r="L298" s="32" t="e">
        <x:f>IF(A298&lt;=Dashboard!$F$17,MIN(Dashboard!$F$10,MAX(0,I298-J298)+K298),0)</x:f>
      </x:c>
      <x:c r="M298" s="32" t="e">
        <x:f>IF(A298&lt;=Dashboard!$F$17,MAX(0,I298-J298-MAX(0,L298-K298)),0)</x:f>
      </x:c>
      <x:c r="N298" s="32" t="e">
        <x:f>IF(A298=1,K298,N297+K298)</x:f>
      </x:c>
      <x:c r="O298" s="32"/>
      <x:c r="P298" s="32" t="e">
        <x:f>IF(A298=1,Dashboard!$F$14,T297)</x:f>
      </x:c>
      <x:c r="Q298" s="32" t="e">
        <x:f>IF(A298&lt;=Dashboard!$F$17,MIN(P298,$B$6*52/12),0)</x:f>
      </x:c>
      <x:c r="R298" s="32" t="e">
        <x:f>IF(A298&lt;=Dashboard!$F$17,MAX(0,P298-Q298)*Dashboard!$F$6,0)</x:f>
      </x:c>
      <x:c r="S298" s="32" t="e">
        <x:f>IF(A298&lt;=Dashboard!$F$17,MIN(Dashboard!$F$10,MAX(0,P298-Q298)+R298),0)</x:f>
      </x:c>
      <x:c r="T298" s="32" t="e">
        <x:f>IF(A298&lt;=Dashboard!$F$17,MAX(0,P298-Q298-MAX(0,S298-R298)),0)</x:f>
      </x:c>
      <x:c r="U298" s="32" t="e">
        <x:f>IF(A298=1,R298,U297+R298)</x:f>
      </x:c>
      <x:c r="V298" s="32"/>
      <x:c r="W298" s="32" t="e">
        <x:f>IF(A298=1,Dashboard!$F$14,AA297)</x:f>
      </x:c>
      <x:c r="X298" s="32" t="e">
        <x:f>IF(AND(A298&lt;=Dashboard!$F$17,MOD(A298-1,12)=0),MIN(W298,$B$7),0)</x:f>
      </x:c>
      <x:c r="Y298" s="32" t="e">
        <x:f>IF(A298&lt;=Dashboard!$F$17,MAX(0,W298-X298)*Dashboard!$F$6,0)</x:f>
      </x:c>
      <x:c r="Z298" s="32" t="e">
        <x:f>IF(A298&lt;=Dashboard!$F$17,MIN(Dashboard!$F$10,MAX(0,W298-X298)+Y298),0)</x:f>
      </x:c>
      <x:c r="AA298" s="32" t="e">
        <x:f>IF(A298&lt;=Dashboard!$F$17,MAX(0,W298-X298-MAX(0,Z298-Y298)),0)</x:f>
      </x:c>
      <x:c r="AB298" s="32" t="e">
        <x:f>IF(A298=1,Y298,AB297+Y298)</x:f>
      </x:c>
      <x:c r="AC298" s="32"/>
      <x:c r="AD298" s="32" t="e">
        <x:f>IF(A298=1,MAX(0,Dashboard!$F$14-$B$8),AG297)</x:f>
      </x:c>
      <x:c r="AE298" s="32" t="n">
        <x:f>0</x:f>
        <x:v>0</x:v>
      </x:c>
      <x:c r="AF298" s="32" t="e">
        <x:f>IF(A298&lt;=Dashboard!$F$17,AD298*Dashboard!$F$6,0)</x:f>
      </x:c>
      <x:c r="AG298" s="32" t="e">
        <x:f>IF(A298&lt;=Dashboard!$F$17,MIN(Dashboard!$F$10,AD298+AF298),0)</x:f>
      </x:c>
      <x:c r="AH298" s="32" t="e">
        <x:f>IF(A298&lt;=Dashboard!$F$17,MAX(0,AD298-MAX(0,AG298-AF298)),0)</x:f>
      </x:c>
      <x:c r="AI298" s="32" t="e">
        <x:f>IF(A298=1,AF298,AI297+AF298)</x:f>
      </x:c>
      <x:c r="AJ298" s="33"/>
      <x:c r="AK298" s="33"/>
      <x:c r="AL298" s="33"/>
      <x:c r="AM298" s="33"/>
    </x:row>
    <x:row r="299">
      <x:c r="A299" s="33" t="n">
        <x:v>287</x:v>
      </x:c>
      <x:c r="B299" s="32" t="e">
        <x:f>IF(A299=1,Dashboard!$F$14,F298)</x:f>
      </x:c>
      <x:c r="C299" s="32" t="n">
        <x:f>0</x:f>
        <x:v>0</x:v>
      </x:c>
      <x:c r="D299" s="32" t="e">
        <x:f>IF(A299&lt;=Dashboard!$F$15,B299*Dashboard!$F$6,0)</x:f>
      </x:c>
      <x:c r="E299" s="32" t="e">
        <x:f>IF(A299&lt;=Dashboard!$F$15,MIN(Dashboard!$F$10,B299+D299),0)</x:f>
      </x:c>
      <x:c r="F299" s="32" t="e">
        <x:f>IF(A299&lt;=Dashboard!$F$15,MAX(0,B299-MAX(0,E299-D299)),0)</x:f>
      </x:c>
      <x:c r="G299" s="32" t="e">
        <x:f>IF(A299=1,D299,G298+D299)</x:f>
      </x:c>
      <x:c r="H299" s="32"/>
      <x:c r="I299" s="32" t="e">
        <x:f>IF(A299=1,Dashboard!$F$14,M298)</x:f>
      </x:c>
      <x:c r="J299" s="32" t="e">
        <x:f>IF(A299&lt;=Dashboard!$F$17,MIN(I299,$B$5),0)</x:f>
      </x:c>
      <x:c r="K299" s="32" t="e">
        <x:f>IF(A299&lt;=Dashboard!$F$17,MAX(0,I299-J299)*Dashboard!$F$6,0)</x:f>
      </x:c>
      <x:c r="L299" s="32" t="e">
        <x:f>IF(A299&lt;=Dashboard!$F$17,MIN(Dashboard!$F$10,MAX(0,I299-J299)+K299),0)</x:f>
      </x:c>
      <x:c r="M299" s="32" t="e">
        <x:f>IF(A299&lt;=Dashboard!$F$17,MAX(0,I299-J299-MAX(0,L299-K299)),0)</x:f>
      </x:c>
      <x:c r="N299" s="32" t="e">
        <x:f>IF(A299=1,K299,N298+K299)</x:f>
      </x:c>
      <x:c r="O299" s="32"/>
      <x:c r="P299" s="32" t="e">
        <x:f>IF(A299=1,Dashboard!$F$14,T298)</x:f>
      </x:c>
      <x:c r="Q299" s="32" t="e">
        <x:f>IF(A299&lt;=Dashboard!$F$17,MIN(P299,$B$6*52/12),0)</x:f>
      </x:c>
      <x:c r="R299" s="32" t="e">
        <x:f>IF(A299&lt;=Dashboard!$F$17,MAX(0,P299-Q299)*Dashboard!$F$6,0)</x:f>
      </x:c>
      <x:c r="S299" s="32" t="e">
        <x:f>IF(A299&lt;=Dashboard!$F$17,MIN(Dashboard!$F$10,MAX(0,P299-Q299)+R299),0)</x:f>
      </x:c>
      <x:c r="T299" s="32" t="e">
        <x:f>IF(A299&lt;=Dashboard!$F$17,MAX(0,P299-Q299-MAX(0,S299-R299)),0)</x:f>
      </x:c>
      <x:c r="U299" s="32" t="e">
        <x:f>IF(A299=1,R299,U298+R299)</x:f>
      </x:c>
      <x:c r="V299" s="32"/>
      <x:c r="W299" s="32" t="e">
        <x:f>IF(A299=1,Dashboard!$F$14,AA298)</x:f>
      </x:c>
      <x:c r="X299" s="32" t="e">
        <x:f>IF(AND(A299&lt;=Dashboard!$F$17,MOD(A299-1,12)=0),MIN(W299,$B$7),0)</x:f>
      </x:c>
      <x:c r="Y299" s="32" t="e">
        <x:f>IF(A299&lt;=Dashboard!$F$17,MAX(0,W299-X299)*Dashboard!$F$6,0)</x:f>
      </x:c>
      <x:c r="Z299" s="32" t="e">
        <x:f>IF(A299&lt;=Dashboard!$F$17,MIN(Dashboard!$F$10,MAX(0,W299-X299)+Y299),0)</x:f>
      </x:c>
      <x:c r="AA299" s="32" t="e">
        <x:f>IF(A299&lt;=Dashboard!$F$17,MAX(0,W299-X299-MAX(0,Z299-Y299)),0)</x:f>
      </x:c>
      <x:c r="AB299" s="32" t="e">
        <x:f>IF(A299=1,Y299,AB298+Y299)</x:f>
      </x:c>
      <x:c r="AC299" s="32"/>
      <x:c r="AD299" s="32" t="e">
        <x:f>IF(A299=1,MAX(0,Dashboard!$F$14-$B$8),AG298)</x:f>
      </x:c>
      <x:c r="AE299" s="32" t="n">
        <x:f>0</x:f>
        <x:v>0</x:v>
      </x:c>
      <x:c r="AF299" s="32" t="e">
        <x:f>IF(A299&lt;=Dashboard!$F$17,AD299*Dashboard!$F$6,0)</x:f>
      </x:c>
      <x:c r="AG299" s="32" t="e">
        <x:f>IF(A299&lt;=Dashboard!$F$17,MIN(Dashboard!$F$10,AD299+AF299),0)</x:f>
      </x:c>
      <x:c r="AH299" s="32" t="e">
        <x:f>IF(A299&lt;=Dashboard!$F$17,MAX(0,AD299-MAX(0,AG299-AF299)),0)</x:f>
      </x:c>
      <x:c r="AI299" s="32" t="e">
        <x:f>IF(A299=1,AF299,AI298+AF299)</x:f>
      </x:c>
      <x:c r="AJ299" s="33"/>
      <x:c r="AK299" s="33"/>
      <x:c r="AL299" s="33"/>
      <x:c r="AM299" s="33"/>
    </x:row>
    <x:row r="300">
      <x:c r="A300" s="33" t="n">
        <x:v>288</x:v>
      </x:c>
      <x:c r="B300" s="32" t="e">
        <x:f>IF(A300=1,Dashboard!$F$14,F299)</x:f>
      </x:c>
      <x:c r="C300" s="32" t="n">
        <x:f>0</x:f>
        <x:v>0</x:v>
      </x:c>
      <x:c r="D300" s="32" t="e">
        <x:f>IF(A300&lt;=Dashboard!$F$15,B300*Dashboard!$F$6,0)</x:f>
      </x:c>
      <x:c r="E300" s="32" t="e">
        <x:f>IF(A300&lt;=Dashboard!$F$15,MIN(Dashboard!$F$10,B300+D300),0)</x:f>
      </x:c>
      <x:c r="F300" s="32" t="e">
        <x:f>IF(A300&lt;=Dashboard!$F$15,MAX(0,B300-MAX(0,E300-D300)),0)</x:f>
      </x:c>
      <x:c r="G300" s="32" t="e">
        <x:f>IF(A300=1,D300,G299+D300)</x:f>
      </x:c>
      <x:c r="H300" s="32"/>
      <x:c r="I300" s="32" t="e">
        <x:f>IF(A300=1,Dashboard!$F$14,M299)</x:f>
      </x:c>
      <x:c r="J300" s="32" t="e">
        <x:f>IF(A300&lt;=Dashboard!$F$17,MIN(I300,$B$5),0)</x:f>
      </x:c>
      <x:c r="K300" s="32" t="e">
        <x:f>IF(A300&lt;=Dashboard!$F$17,MAX(0,I300-J300)*Dashboard!$F$6,0)</x:f>
      </x:c>
      <x:c r="L300" s="32" t="e">
        <x:f>IF(A300&lt;=Dashboard!$F$17,MIN(Dashboard!$F$10,MAX(0,I300-J300)+K300),0)</x:f>
      </x:c>
      <x:c r="M300" s="32" t="e">
        <x:f>IF(A300&lt;=Dashboard!$F$17,MAX(0,I300-J300-MAX(0,L300-K300)),0)</x:f>
      </x:c>
      <x:c r="N300" s="32" t="e">
        <x:f>IF(A300=1,K300,N299+K300)</x:f>
      </x:c>
      <x:c r="O300" s="32"/>
      <x:c r="P300" s="32" t="e">
        <x:f>IF(A300=1,Dashboard!$F$14,T299)</x:f>
      </x:c>
      <x:c r="Q300" s="32" t="e">
        <x:f>IF(A300&lt;=Dashboard!$F$17,MIN(P300,$B$6*52/12),0)</x:f>
      </x:c>
      <x:c r="R300" s="32" t="e">
        <x:f>IF(A300&lt;=Dashboard!$F$17,MAX(0,P300-Q300)*Dashboard!$F$6,0)</x:f>
      </x:c>
      <x:c r="S300" s="32" t="e">
        <x:f>IF(A300&lt;=Dashboard!$F$17,MIN(Dashboard!$F$10,MAX(0,P300-Q300)+R300),0)</x:f>
      </x:c>
      <x:c r="T300" s="32" t="e">
        <x:f>IF(A300&lt;=Dashboard!$F$17,MAX(0,P300-Q300-MAX(0,S300-R300)),0)</x:f>
      </x:c>
      <x:c r="U300" s="32" t="e">
        <x:f>IF(A300=1,R300,U299+R300)</x:f>
      </x:c>
      <x:c r="V300" s="32"/>
      <x:c r="W300" s="32" t="e">
        <x:f>IF(A300=1,Dashboard!$F$14,AA299)</x:f>
      </x:c>
      <x:c r="X300" s="32" t="e">
        <x:f>IF(AND(A300&lt;=Dashboard!$F$17,MOD(A300-1,12)=0),MIN(W300,$B$7),0)</x:f>
      </x:c>
      <x:c r="Y300" s="32" t="e">
        <x:f>IF(A300&lt;=Dashboard!$F$17,MAX(0,W300-X300)*Dashboard!$F$6,0)</x:f>
      </x:c>
      <x:c r="Z300" s="32" t="e">
        <x:f>IF(A300&lt;=Dashboard!$F$17,MIN(Dashboard!$F$10,MAX(0,W300-X300)+Y300),0)</x:f>
      </x:c>
      <x:c r="AA300" s="32" t="e">
        <x:f>IF(A300&lt;=Dashboard!$F$17,MAX(0,W300-X300-MAX(0,Z300-Y300)),0)</x:f>
      </x:c>
      <x:c r="AB300" s="32" t="e">
        <x:f>IF(A300=1,Y300,AB299+Y300)</x:f>
      </x:c>
      <x:c r="AC300" s="32"/>
      <x:c r="AD300" s="32" t="e">
        <x:f>IF(A300=1,MAX(0,Dashboard!$F$14-$B$8),AG299)</x:f>
      </x:c>
      <x:c r="AE300" s="32" t="n">
        <x:f>0</x:f>
        <x:v>0</x:v>
      </x:c>
      <x:c r="AF300" s="32" t="e">
        <x:f>IF(A300&lt;=Dashboard!$F$17,AD300*Dashboard!$F$6,0)</x:f>
      </x:c>
      <x:c r="AG300" s="32" t="e">
        <x:f>IF(A300&lt;=Dashboard!$F$17,MIN(Dashboard!$F$10,AD300+AF300),0)</x:f>
      </x:c>
      <x:c r="AH300" s="32" t="e">
        <x:f>IF(A300&lt;=Dashboard!$F$17,MAX(0,AD300-MAX(0,AG300-AF300)),0)</x:f>
      </x:c>
      <x:c r="AI300" s="32" t="e">
        <x:f>IF(A300=1,AF300,AI299+AF300)</x:f>
      </x:c>
      <x:c r="AJ300" s="33"/>
      <x:c r="AK300" s="33"/>
      <x:c r="AL300" s="33"/>
      <x:c r="AM300" s="33"/>
    </x:row>
    <x:row r="301">
      <x:c r="A301" s="33" t="n">
        <x:v>289</x:v>
      </x:c>
      <x:c r="B301" s="32" t="e">
        <x:f>IF(A301=1,Dashboard!$F$14,F300)</x:f>
      </x:c>
      <x:c r="C301" s="32" t="n">
        <x:f>0</x:f>
        <x:v>0</x:v>
      </x:c>
      <x:c r="D301" s="32" t="e">
        <x:f>IF(A301&lt;=Dashboard!$F$15,B301*Dashboard!$F$6,0)</x:f>
      </x:c>
      <x:c r="E301" s="32" t="e">
        <x:f>IF(A301&lt;=Dashboard!$F$15,MIN(Dashboard!$F$10,B301+D301),0)</x:f>
      </x:c>
      <x:c r="F301" s="32" t="e">
        <x:f>IF(A301&lt;=Dashboard!$F$15,MAX(0,B301-MAX(0,E301-D301)),0)</x:f>
      </x:c>
      <x:c r="G301" s="32" t="e">
        <x:f>IF(A301=1,D301,G300+D301)</x:f>
      </x:c>
      <x:c r="H301" s="32"/>
      <x:c r="I301" s="32" t="e">
        <x:f>IF(A301=1,Dashboard!$F$14,M300)</x:f>
      </x:c>
      <x:c r="J301" s="32" t="e">
        <x:f>IF(A301&lt;=Dashboard!$F$17,MIN(I301,$B$5),0)</x:f>
      </x:c>
      <x:c r="K301" s="32" t="e">
        <x:f>IF(A301&lt;=Dashboard!$F$17,MAX(0,I301-J301)*Dashboard!$F$6,0)</x:f>
      </x:c>
      <x:c r="L301" s="32" t="e">
        <x:f>IF(A301&lt;=Dashboard!$F$17,MIN(Dashboard!$F$10,MAX(0,I301-J301)+K301),0)</x:f>
      </x:c>
      <x:c r="M301" s="32" t="e">
        <x:f>IF(A301&lt;=Dashboard!$F$17,MAX(0,I301-J301-MAX(0,L301-K301)),0)</x:f>
      </x:c>
      <x:c r="N301" s="32" t="e">
        <x:f>IF(A301=1,K301,N300+K301)</x:f>
      </x:c>
      <x:c r="O301" s="32"/>
      <x:c r="P301" s="32" t="e">
        <x:f>IF(A301=1,Dashboard!$F$14,T300)</x:f>
      </x:c>
      <x:c r="Q301" s="32" t="e">
        <x:f>IF(A301&lt;=Dashboard!$F$17,MIN(P301,$B$6*52/12),0)</x:f>
      </x:c>
      <x:c r="R301" s="32" t="e">
        <x:f>IF(A301&lt;=Dashboard!$F$17,MAX(0,P301-Q301)*Dashboard!$F$6,0)</x:f>
      </x:c>
      <x:c r="S301" s="32" t="e">
        <x:f>IF(A301&lt;=Dashboard!$F$17,MIN(Dashboard!$F$10,MAX(0,P301-Q301)+R301),0)</x:f>
      </x:c>
      <x:c r="T301" s="32" t="e">
        <x:f>IF(A301&lt;=Dashboard!$F$17,MAX(0,P301-Q301-MAX(0,S301-R301)),0)</x:f>
      </x:c>
      <x:c r="U301" s="32" t="e">
        <x:f>IF(A301=1,R301,U300+R301)</x:f>
      </x:c>
      <x:c r="V301" s="32"/>
      <x:c r="W301" s="32" t="e">
        <x:f>IF(A301=1,Dashboard!$F$14,AA300)</x:f>
      </x:c>
      <x:c r="X301" s="32" t="e">
        <x:f>IF(AND(A301&lt;=Dashboard!$F$17,MOD(A301-1,12)=0),MIN(W301,$B$7),0)</x:f>
      </x:c>
      <x:c r="Y301" s="32" t="e">
        <x:f>IF(A301&lt;=Dashboard!$F$17,MAX(0,W301-X301)*Dashboard!$F$6,0)</x:f>
      </x:c>
      <x:c r="Z301" s="32" t="e">
        <x:f>IF(A301&lt;=Dashboard!$F$17,MIN(Dashboard!$F$10,MAX(0,W301-X301)+Y301),0)</x:f>
      </x:c>
      <x:c r="AA301" s="32" t="e">
        <x:f>IF(A301&lt;=Dashboard!$F$17,MAX(0,W301-X301-MAX(0,Z301-Y301)),0)</x:f>
      </x:c>
      <x:c r="AB301" s="32" t="e">
        <x:f>IF(A301=1,Y301,AB300+Y301)</x:f>
      </x:c>
      <x:c r="AC301" s="32"/>
      <x:c r="AD301" s="32" t="e">
        <x:f>IF(A301=1,MAX(0,Dashboard!$F$14-$B$8),AG300)</x:f>
      </x:c>
      <x:c r="AE301" s="32" t="n">
        <x:f>0</x:f>
        <x:v>0</x:v>
      </x:c>
      <x:c r="AF301" s="32" t="e">
        <x:f>IF(A301&lt;=Dashboard!$F$17,AD301*Dashboard!$F$6,0)</x:f>
      </x:c>
      <x:c r="AG301" s="32" t="e">
        <x:f>IF(A301&lt;=Dashboard!$F$17,MIN(Dashboard!$F$10,AD301+AF301),0)</x:f>
      </x:c>
      <x:c r="AH301" s="32" t="e">
        <x:f>IF(A301&lt;=Dashboard!$F$17,MAX(0,AD301-MAX(0,AG301-AF301)),0)</x:f>
      </x:c>
      <x:c r="AI301" s="32" t="e">
        <x:f>IF(A301=1,AF301,AI300+AF301)</x:f>
      </x:c>
      <x:c r="AJ301" s="33"/>
      <x:c r="AK301" s="33"/>
      <x:c r="AL301" s="33"/>
      <x:c r="AM301" s="33"/>
    </x:row>
    <x:row r="302">
      <x:c r="A302" s="33" t="n">
        <x:v>290</x:v>
      </x:c>
      <x:c r="B302" s="32" t="e">
        <x:f>IF(A302=1,Dashboard!$F$14,F301)</x:f>
      </x:c>
      <x:c r="C302" s="32" t="n">
        <x:f>0</x:f>
        <x:v>0</x:v>
      </x:c>
      <x:c r="D302" s="32" t="e">
        <x:f>IF(A302&lt;=Dashboard!$F$15,B302*Dashboard!$F$6,0)</x:f>
      </x:c>
      <x:c r="E302" s="32" t="e">
        <x:f>IF(A302&lt;=Dashboard!$F$15,MIN(Dashboard!$F$10,B302+D302),0)</x:f>
      </x:c>
      <x:c r="F302" s="32" t="e">
        <x:f>IF(A302&lt;=Dashboard!$F$15,MAX(0,B302-MAX(0,E302-D302)),0)</x:f>
      </x:c>
      <x:c r="G302" s="32" t="e">
        <x:f>IF(A302=1,D302,G301+D302)</x:f>
      </x:c>
      <x:c r="H302" s="32"/>
      <x:c r="I302" s="32" t="e">
        <x:f>IF(A302=1,Dashboard!$F$14,M301)</x:f>
      </x:c>
      <x:c r="J302" s="32" t="e">
        <x:f>IF(A302&lt;=Dashboard!$F$17,MIN(I302,$B$5),0)</x:f>
      </x:c>
      <x:c r="K302" s="32" t="e">
        <x:f>IF(A302&lt;=Dashboard!$F$17,MAX(0,I302-J302)*Dashboard!$F$6,0)</x:f>
      </x:c>
      <x:c r="L302" s="32" t="e">
        <x:f>IF(A302&lt;=Dashboard!$F$17,MIN(Dashboard!$F$10,MAX(0,I302-J302)+K302),0)</x:f>
      </x:c>
      <x:c r="M302" s="32" t="e">
        <x:f>IF(A302&lt;=Dashboard!$F$17,MAX(0,I302-J302-MAX(0,L302-K302)),0)</x:f>
      </x:c>
      <x:c r="N302" s="32" t="e">
        <x:f>IF(A302=1,K302,N301+K302)</x:f>
      </x:c>
      <x:c r="O302" s="32"/>
      <x:c r="P302" s="32" t="e">
        <x:f>IF(A302=1,Dashboard!$F$14,T301)</x:f>
      </x:c>
      <x:c r="Q302" s="32" t="e">
        <x:f>IF(A302&lt;=Dashboard!$F$17,MIN(P302,$B$6*52/12),0)</x:f>
      </x:c>
      <x:c r="R302" s="32" t="e">
        <x:f>IF(A302&lt;=Dashboard!$F$17,MAX(0,P302-Q302)*Dashboard!$F$6,0)</x:f>
      </x:c>
      <x:c r="S302" s="32" t="e">
        <x:f>IF(A302&lt;=Dashboard!$F$17,MIN(Dashboard!$F$10,MAX(0,P302-Q302)+R302),0)</x:f>
      </x:c>
      <x:c r="T302" s="32" t="e">
        <x:f>IF(A302&lt;=Dashboard!$F$17,MAX(0,P302-Q302-MAX(0,S302-R302)),0)</x:f>
      </x:c>
      <x:c r="U302" s="32" t="e">
        <x:f>IF(A302=1,R302,U301+R302)</x:f>
      </x:c>
      <x:c r="V302" s="32"/>
      <x:c r="W302" s="32" t="e">
        <x:f>IF(A302=1,Dashboard!$F$14,AA301)</x:f>
      </x:c>
      <x:c r="X302" s="32" t="e">
        <x:f>IF(AND(A302&lt;=Dashboard!$F$17,MOD(A302-1,12)=0),MIN(W302,$B$7),0)</x:f>
      </x:c>
      <x:c r="Y302" s="32" t="e">
        <x:f>IF(A302&lt;=Dashboard!$F$17,MAX(0,W302-X302)*Dashboard!$F$6,0)</x:f>
      </x:c>
      <x:c r="Z302" s="32" t="e">
        <x:f>IF(A302&lt;=Dashboard!$F$17,MIN(Dashboard!$F$10,MAX(0,W302-X302)+Y302),0)</x:f>
      </x:c>
      <x:c r="AA302" s="32" t="e">
        <x:f>IF(A302&lt;=Dashboard!$F$17,MAX(0,W302-X302-MAX(0,Z302-Y302)),0)</x:f>
      </x:c>
      <x:c r="AB302" s="32" t="e">
        <x:f>IF(A302=1,Y302,AB301+Y302)</x:f>
      </x:c>
      <x:c r="AC302" s="32"/>
      <x:c r="AD302" s="32" t="e">
        <x:f>IF(A302=1,MAX(0,Dashboard!$F$14-$B$8),AG301)</x:f>
      </x:c>
      <x:c r="AE302" s="32" t="n">
        <x:f>0</x:f>
        <x:v>0</x:v>
      </x:c>
      <x:c r="AF302" s="32" t="e">
        <x:f>IF(A302&lt;=Dashboard!$F$17,AD302*Dashboard!$F$6,0)</x:f>
      </x:c>
      <x:c r="AG302" s="32" t="e">
        <x:f>IF(A302&lt;=Dashboard!$F$17,MIN(Dashboard!$F$10,AD302+AF302),0)</x:f>
      </x:c>
      <x:c r="AH302" s="32" t="e">
        <x:f>IF(A302&lt;=Dashboard!$F$17,MAX(0,AD302-MAX(0,AG302-AF302)),0)</x:f>
      </x:c>
      <x:c r="AI302" s="32" t="e">
        <x:f>IF(A302=1,AF302,AI301+AF302)</x:f>
      </x:c>
      <x:c r="AJ302" s="33"/>
      <x:c r="AK302" s="33"/>
      <x:c r="AL302" s="33"/>
      <x:c r="AM302" s="33"/>
    </x:row>
    <x:row r="303">
      <x:c r="A303" s="33" t="n">
        <x:v>291</x:v>
      </x:c>
      <x:c r="B303" s="32" t="e">
        <x:f>IF(A303=1,Dashboard!$F$14,F302)</x:f>
      </x:c>
      <x:c r="C303" s="32" t="n">
        <x:f>0</x:f>
        <x:v>0</x:v>
      </x:c>
      <x:c r="D303" s="32" t="e">
        <x:f>IF(A303&lt;=Dashboard!$F$15,B303*Dashboard!$F$6,0)</x:f>
      </x:c>
      <x:c r="E303" s="32" t="e">
        <x:f>IF(A303&lt;=Dashboard!$F$15,MIN(Dashboard!$F$10,B303+D303),0)</x:f>
      </x:c>
      <x:c r="F303" s="32" t="e">
        <x:f>IF(A303&lt;=Dashboard!$F$15,MAX(0,B303-MAX(0,E303-D303)),0)</x:f>
      </x:c>
      <x:c r="G303" s="32" t="e">
        <x:f>IF(A303=1,D303,G302+D303)</x:f>
      </x:c>
      <x:c r="H303" s="32"/>
      <x:c r="I303" s="32" t="e">
        <x:f>IF(A303=1,Dashboard!$F$14,M302)</x:f>
      </x:c>
      <x:c r="J303" s="32" t="e">
        <x:f>IF(A303&lt;=Dashboard!$F$17,MIN(I303,$B$5),0)</x:f>
      </x:c>
      <x:c r="K303" s="32" t="e">
        <x:f>IF(A303&lt;=Dashboard!$F$17,MAX(0,I303-J303)*Dashboard!$F$6,0)</x:f>
      </x:c>
      <x:c r="L303" s="32" t="e">
        <x:f>IF(A303&lt;=Dashboard!$F$17,MIN(Dashboard!$F$10,MAX(0,I303-J303)+K303),0)</x:f>
      </x:c>
      <x:c r="M303" s="32" t="e">
        <x:f>IF(A303&lt;=Dashboard!$F$17,MAX(0,I303-J303-MAX(0,L303-K303)),0)</x:f>
      </x:c>
      <x:c r="N303" s="32" t="e">
        <x:f>IF(A303=1,K303,N302+K303)</x:f>
      </x:c>
      <x:c r="O303" s="32"/>
      <x:c r="P303" s="32" t="e">
        <x:f>IF(A303=1,Dashboard!$F$14,T302)</x:f>
      </x:c>
      <x:c r="Q303" s="32" t="e">
        <x:f>IF(A303&lt;=Dashboard!$F$17,MIN(P303,$B$6*52/12),0)</x:f>
      </x:c>
      <x:c r="R303" s="32" t="e">
        <x:f>IF(A303&lt;=Dashboard!$F$17,MAX(0,P303-Q303)*Dashboard!$F$6,0)</x:f>
      </x:c>
      <x:c r="S303" s="32" t="e">
        <x:f>IF(A303&lt;=Dashboard!$F$17,MIN(Dashboard!$F$10,MAX(0,P303-Q303)+R303),0)</x:f>
      </x:c>
      <x:c r="T303" s="32" t="e">
        <x:f>IF(A303&lt;=Dashboard!$F$17,MAX(0,P303-Q303-MAX(0,S303-R303)),0)</x:f>
      </x:c>
      <x:c r="U303" s="32" t="e">
        <x:f>IF(A303=1,R303,U302+R303)</x:f>
      </x:c>
      <x:c r="V303" s="32"/>
      <x:c r="W303" s="32" t="e">
        <x:f>IF(A303=1,Dashboard!$F$14,AA302)</x:f>
      </x:c>
      <x:c r="X303" s="32" t="e">
        <x:f>IF(AND(A303&lt;=Dashboard!$F$17,MOD(A303-1,12)=0),MIN(W303,$B$7),0)</x:f>
      </x:c>
      <x:c r="Y303" s="32" t="e">
        <x:f>IF(A303&lt;=Dashboard!$F$17,MAX(0,W303-X303)*Dashboard!$F$6,0)</x:f>
      </x:c>
      <x:c r="Z303" s="32" t="e">
        <x:f>IF(A303&lt;=Dashboard!$F$17,MIN(Dashboard!$F$10,MAX(0,W303-X303)+Y303),0)</x:f>
      </x:c>
      <x:c r="AA303" s="32" t="e">
        <x:f>IF(A303&lt;=Dashboard!$F$17,MAX(0,W303-X303-MAX(0,Z303-Y303)),0)</x:f>
      </x:c>
      <x:c r="AB303" s="32" t="e">
        <x:f>IF(A303=1,Y303,AB302+Y303)</x:f>
      </x:c>
      <x:c r="AC303" s="32"/>
      <x:c r="AD303" s="32" t="e">
        <x:f>IF(A303=1,MAX(0,Dashboard!$F$14-$B$8),AG302)</x:f>
      </x:c>
      <x:c r="AE303" s="32" t="n">
        <x:f>0</x:f>
        <x:v>0</x:v>
      </x:c>
      <x:c r="AF303" s="32" t="e">
        <x:f>IF(A303&lt;=Dashboard!$F$17,AD303*Dashboard!$F$6,0)</x:f>
      </x:c>
      <x:c r="AG303" s="32" t="e">
        <x:f>IF(A303&lt;=Dashboard!$F$17,MIN(Dashboard!$F$10,AD303+AF303),0)</x:f>
      </x:c>
      <x:c r="AH303" s="32" t="e">
        <x:f>IF(A303&lt;=Dashboard!$F$17,MAX(0,AD303-MAX(0,AG303-AF303)),0)</x:f>
      </x:c>
      <x:c r="AI303" s="32" t="e">
        <x:f>IF(A303=1,AF303,AI302+AF303)</x:f>
      </x:c>
      <x:c r="AJ303" s="33"/>
      <x:c r="AK303" s="33"/>
      <x:c r="AL303" s="33"/>
      <x:c r="AM303" s="33"/>
    </x:row>
    <x:row r="304">
      <x:c r="A304" s="33" t="n">
        <x:v>292</x:v>
      </x:c>
      <x:c r="B304" s="32" t="e">
        <x:f>IF(A304=1,Dashboard!$F$14,F303)</x:f>
      </x:c>
      <x:c r="C304" s="32" t="n">
        <x:f>0</x:f>
        <x:v>0</x:v>
      </x:c>
      <x:c r="D304" s="32" t="e">
        <x:f>IF(A304&lt;=Dashboard!$F$15,B304*Dashboard!$F$6,0)</x:f>
      </x:c>
      <x:c r="E304" s="32" t="e">
        <x:f>IF(A304&lt;=Dashboard!$F$15,MIN(Dashboard!$F$10,B304+D304),0)</x:f>
      </x:c>
      <x:c r="F304" s="32" t="e">
        <x:f>IF(A304&lt;=Dashboard!$F$15,MAX(0,B304-MAX(0,E304-D304)),0)</x:f>
      </x:c>
      <x:c r="G304" s="32" t="e">
        <x:f>IF(A304=1,D304,G303+D304)</x:f>
      </x:c>
      <x:c r="H304" s="32"/>
      <x:c r="I304" s="32" t="e">
        <x:f>IF(A304=1,Dashboard!$F$14,M303)</x:f>
      </x:c>
      <x:c r="J304" s="32" t="e">
        <x:f>IF(A304&lt;=Dashboard!$F$17,MIN(I304,$B$5),0)</x:f>
      </x:c>
      <x:c r="K304" s="32" t="e">
        <x:f>IF(A304&lt;=Dashboard!$F$17,MAX(0,I304-J304)*Dashboard!$F$6,0)</x:f>
      </x:c>
      <x:c r="L304" s="32" t="e">
        <x:f>IF(A304&lt;=Dashboard!$F$17,MIN(Dashboard!$F$10,MAX(0,I304-J304)+K304),0)</x:f>
      </x:c>
      <x:c r="M304" s="32" t="e">
        <x:f>IF(A304&lt;=Dashboard!$F$17,MAX(0,I304-J304-MAX(0,L304-K304)),0)</x:f>
      </x:c>
      <x:c r="N304" s="32" t="e">
        <x:f>IF(A304=1,K304,N303+K304)</x:f>
      </x:c>
      <x:c r="O304" s="32"/>
      <x:c r="P304" s="32" t="e">
        <x:f>IF(A304=1,Dashboard!$F$14,T303)</x:f>
      </x:c>
      <x:c r="Q304" s="32" t="e">
        <x:f>IF(A304&lt;=Dashboard!$F$17,MIN(P304,$B$6*52/12),0)</x:f>
      </x:c>
      <x:c r="R304" s="32" t="e">
        <x:f>IF(A304&lt;=Dashboard!$F$17,MAX(0,P304-Q304)*Dashboard!$F$6,0)</x:f>
      </x:c>
      <x:c r="S304" s="32" t="e">
        <x:f>IF(A304&lt;=Dashboard!$F$17,MIN(Dashboard!$F$10,MAX(0,P304-Q304)+R304),0)</x:f>
      </x:c>
      <x:c r="T304" s="32" t="e">
        <x:f>IF(A304&lt;=Dashboard!$F$17,MAX(0,P304-Q304-MAX(0,S304-R304)),0)</x:f>
      </x:c>
      <x:c r="U304" s="32" t="e">
        <x:f>IF(A304=1,R304,U303+R304)</x:f>
      </x:c>
      <x:c r="V304" s="32"/>
      <x:c r="W304" s="32" t="e">
        <x:f>IF(A304=1,Dashboard!$F$14,AA303)</x:f>
      </x:c>
      <x:c r="X304" s="32" t="e">
        <x:f>IF(AND(A304&lt;=Dashboard!$F$17,MOD(A304-1,12)=0),MIN(W304,$B$7),0)</x:f>
      </x:c>
      <x:c r="Y304" s="32" t="e">
        <x:f>IF(A304&lt;=Dashboard!$F$17,MAX(0,W304-X304)*Dashboard!$F$6,0)</x:f>
      </x:c>
      <x:c r="Z304" s="32" t="e">
        <x:f>IF(A304&lt;=Dashboard!$F$17,MIN(Dashboard!$F$10,MAX(0,W304-X304)+Y304),0)</x:f>
      </x:c>
      <x:c r="AA304" s="32" t="e">
        <x:f>IF(A304&lt;=Dashboard!$F$17,MAX(0,W304-X304-MAX(0,Z304-Y304)),0)</x:f>
      </x:c>
      <x:c r="AB304" s="32" t="e">
        <x:f>IF(A304=1,Y304,AB303+Y304)</x:f>
      </x:c>
      <x:c r="AC304" s="32"/>
      <x:c r="AD304" s="32" t="e">
        <x:f>IF(A304=1,MAX(0,Dashboard!$F$14-$B$8),AG303)</x:f>
      </x:c>
      <x:c r="AE304" s="32" t="n">
        <x:f>0</x:f>
        <x:v>0</x:v>
      </x:c>
      <x:c r="AF304" s="32" t="e">
        <x:f>IF(A304&lt;=Dashboard!$F$17,AD304*Dashboard!$F$6,0)</x:f>
      </x:c>
      <x:c r="AG304" s="32" t="e">
        <x:f>IF(A304&lt;=Dashboard!$F$17,MIN(Dashboard!$F$10,AD304+AF304),0)</x:f>
      </x:c>
      <x:c r="AH304" s="32" t="e">
        <x:f>IF(A304&lt;=Dashboard!$F$17,MAX(0,AD304-MAX(0,AG304-AF304)),0)</x:f>
      </x:c>
      <x:c r="AI304" s="32" t="e">
        <x:f>IF(A304=1,AF304,AI303+AF304)</x:f>
      </x:c>
      <x:c r="AJ304" s="33"/>
      <x:c r="AK304" s="33"/>
      <x:c r="AL304" s="33"/>
      <x:c r="AM304" s="33"/>
    </x:row>
    <x:row r="305">
      <x:c r="A305" s="33" t="n">
        <x:v>293</x:v>
      </x:c>
      <x:c r="B305" s="32" t="e">
        <x:f>IF(A305=1,Dashboard!$F$14,F304)</x:f>
      </x:c>
      <x:c r="C305" s="32" t="n">
        <x:f>0</x:f>
        <x:v>0</x:v>
      </x:c>
      <x:c r="D305" s="32" t="e">
        <x:f>IF(A305&lt;=Dashboard!$F$15,B305*Dashboard!$F$6,0)</x:f>
      </x:c>
      <x:c r="E305" s="32" t="e">
        <x:f>IF(A305&lt;=Dashboard!$F$15,MIN(Dashboard!$F$10,B305+D305),0)</x:f>
      </x:c>
      <x:c r="F305" s="32" t="e">
        <x:f>IF(A305&lt;=Dashboard!$F$15,MAX(0,B305-MAX(0,E305-D305)),0)</x:f>
      </x:c>
      <x:c r="G305" s="32" t="e">
        <x:f>IF(A305=1,D305,G304+D305)</x:f>
      </x:c>
      <x:c r="H305" s="32"/>
      <x:c r="I305" s="32" t="e">
        <x:f>IF(A305=1,Dashboard!$F$14,M304)</x:f>
      </x:c>
      <x:c r="J305" s="32" t="e">
        <x:f>IF(A305&lt;=Dashboard!$F$17,MIN(I305,$B$5),0)</x:f>
      </x:c>
      <x:c r="K305" s="32" t="e">
        <x:f>IF(A305&lt;=Dashboard!$F$17,MAX(0,I305-J305)*Dashboard!$F$6,0)</x:f>
      </x:c>
      <x:c r="L305" s="32" t="e">
        <x:f>IF(A305&lt;=Dashboard!$F$17,MIN(Dashboard!$F$10,MAX(0,I305-J305)+K305),0)</x:f>
      </x:c>
      <x:c r="M305" s="32" t="e">
        <x:f>IF(A305&lt;=Dashboard!$F$17,MAX(0,I305-J305-MAX(0,L305-K305)),0)</x:f>
      </x:c>
      <x:c r="N305" s="32" t="e">
        <x:f>IF(A305=1,K305,N304+K305)</x:f>
      </x:c>
      <x:c r="O305" s="32"/>
      <x:c r="P305" s="32" t="e">
        <x:f>IF(A305=1,Dashboard!$F$14,T304)</x:f>
      </x:c>
      <x:c r="Q305" s="32" t="e">
        <x:f>IF(A305&lt;=Dashboard!$F$17,MIN(P305,$B$6*52/12),0)</x:f>
      </x:c>
      <x:c r="R305" s="32" t="e">
        <x:f>IF(A305&lt;=Dashboard!$F$17,MAX(0,P305-Q305)*Dashboard!$F$6,0)</x:f>
      </x:c>
      <x:c r="S305" s="32" t="e">
        <x:f>IF(A305&lt;=Dashboard!$F$17,MIN(Dashboard!$F$10,MAX(0,P305-Q305)+R305),0)</x:f>
      </x:c>
      <x:c r="T305" s="32" t="e">
        <x:f>IF(A305&lt;=Dashboard!$F$17,MAX(0,P305-Q305-MAX(0,S305-R305)),0)</x:f>
      </x:c>
      <x:c r="U305" s="32" t="e">
        <x:f>IF(A305=1,R305,U304+R305)</x:f>
      </x:c>
      <x:c r="V305" s="32"/>
      <x:c r="W305" s="32" t="e">
        <x:f>IF(A305=1,Dashboard!$F$14,AA304)</x:f>
      </x:c>
      <x:c r="X305" s="32" t="e">
        <x:f>IF(AND(A305&lt;=Dashboard!$F$17,MOD(A305-1,12)=0),MIN(W305,$B$7),0)</x:f>
      </x:c>
      <x:c r="Y305" s="32" t="e">
        <x:f>IF(A305&lt;=Dashboard!$F$17,MAX(0,W305-X305)*Dashboard!$F$6,0)</x:f>
      </x:c>
      <x:c r="Z305" s="32" t="e">
        <x:f>IF(A305&lt;=Dashboard!$F$17,MIN(Dashboard!$F$10,MAX(0,W305-X305)+Y305),0)</x:f>
      </x:c>
      <x:c r="AA305" s="32" t="e">
        <x:f>IF(A305&lt;=Dashboard!$F$17,MAX(0,W305-X305-MAX(0,Z305-Y305)),0)</x:f>
      </x:c>
      <x:c r="AB305" s="32" t="e">
        <x:f>IF(A305=1,Y305,AB304+Y305)</x:f>
      </x:c>
      <x:c r="AC305" s="32"/>
      <x:c r="AD305" s="32" t="e">
        <x:f>IF(A305=1,MAX(0,Dashboard!$F$14-$B$8),AG304)</x:f>
      </x:c>
      <x:c r="AE305" s="32" t="n">
        <x:f>0</x:f>
        <x:v>0</x:v>
      </x:c>
      <x:c r="AF305" s="32" t="e">
        <x:f>IF(A305&lt;=Dashboard!$F$17,AD305*Dashboard!$F$6,0)</x:f>
      </x:c>
      <x:c r="AG305" s="32" t="e">
        <x:f>IF(A305&lt;=Dashboard!$F$17,MIN(Dashboard!$F$10,AD305+AF305),0)</x:f>
      </x:c>
      <x:c r="AH305" s="32" t="e">
        <x:f>IF(A305&lt;=Dashboard!$F$17,MAX(0,AD305-MAX(0,AG305-AF305)),0)</x:f>
      </x:c>
      <x:c r="AI305" s="32" t="e">
        <x:f>IF(A305=1,AF305,AI304+AF305)</x:f>
      </x:c>
      <x:c r="AJ305" s="33"/>
      <x:c r="AK305" s="33"/>
      <x:c r="AL305" s="33"/>
      <x:c r="AM305" s="33"/>
    </x:row>
    <x:row r="306">
      <x:c r="A306" s="33" t="n">
        <x:v>294</x:v>
      </x:c>
      <x:c r="B306" s="32" t="e">
        <x:f>IF(A306=1,Dashboard!$F$14,F305)</x:f>
      </x:c>
      <x:c r="C306" s="32" t="n">
        <x:f>0</x:f>
        <x:v>0</x:v>
      </x:c>
      <x:c r="D306" s="32" t="e">
        <x:f>IF(A306&lt;=Dashboard!$F$15,B306*Dashboard!$F$6,0)</x:f>
      </x:c>
      <x:c r="E306" s="32" t="e">
        <x:f>IF(A306&lt;=Dashboard!$F$15,MIN(Dashboard!$F$10,B306+D306),0)</x:f>
      </x:c>
      <x:c r="F306" s="32" t="e">
        <x:f>IF(A306&lt;=Dashboard!$F$15,MAX(0,B306-MAX(0,E306-D306)),0)</x:f>
      </x:c>
      <x:c r="G306" s="32" t="e">
        <x:f>IF(A306=1,D306,G305+D306)</x:f>
      </x:c>
      <x:c r="H306" s="32"/>
      <x:c r="I306" s="32" t="e">
        <x:f>IF(A306=1,Dashboard!$F$14,M305)</x:f>
      </x:c>
      <x:c r="J306" s="32" t="e">
        <x:f>IF(A306&lt;=Dashboard!$F$17,MIN(I306,$B$5),0)</x:f>
      </x:c>
      <x:c r="K306" s="32" t="e">
        <x:f>IF(A306&lt;=Dashboard!$F$17,MAX(0,I306-J306)*Dashboard!$F$6,0)</x:f>
      </x:c>
      <x:c r="L306" s="32" t="e">
        <x:f>IF(A306&lt;=Dashboard!$F$17,MIN(Dashboard!$F$10,MAX(0,I306-J306)+K306),0)</x:f>
      </x:c>
      <x:c r="M306" s="32" t="e">
        <x:f>IF(A306&lt;=Dashboard!$F$17,MAX(0,I306-J306-MAX(0,L306-K306)),0)</x:f>
      </x:c>
      <x:c r="N306" s="32" t="e">
        <x:f>IF(A306=1,K306,N305+K306)</x:f>
      </x:c>
      <x:c r="O306" s="32"/>
      <x:c r="P306" s="32" t="e">
        <x:f>IF(A306=1,Dashboard!$F$14,T305)</x:f>
      </x:c>
      <x:c r="Q306" s="32" t="e">
        <x:f>IF(A306&lt;=Dashboard!$F$17,MIN(P306,$B$6*52/12),0)</x:f>
      </x:c>
      <x:c r="R306" s="32" t="e">
        <x:f>IF(A306&lt;=Dashboard!$F$17,MAX(0,P306-Q306)*Dashboard!$F$6,0)</x:f>
      </x:c>
      <x:c r="S306" s="32" t="e">
        <x:f>IF(A306&lt;=Dashboard!$F$17,MIN(Dashboard!$F$10,MAX(0,P306-Q306)+R306),0)</x:f>
      </x:c>
      <x:c r="T306" s="32" t="e">
        <x:f>IF(A306&lt;=Dashboard!$F$17,MAX(0,P306-Q306-MAX(0,S306-R306)),0)</x:f>
      </x:c>
      <x:c r="U306" s="32" t="e">
        <x:f>IF(A306=1,R306,U305+R306)</x:f>
      </x:c>
      <x:c r="V306" s="32"/>
      <x:c r="W306" s="32" t="e">
        <x:f>IF(A306=1,Dashboard!$F$14,AA305)</x:f>
      </x:c>
      <x:c r="X306" s="32" t="e">
        <x:f>IF(AND(A306&lt;=Dashboard!$F$17,MOD(A306-1,12)=0),MIN(W306,$B$7),0)</x:f>
      </x:c>
      <x:c r="Y306" s="32" t="e">
        <x:f>IF(A306&lt;=Dashboard!$F$17,MAX(0,W306-X306)*Dashboard!$F$6,0)</x:f>
      </x:c>
      <x:c r="Z306" s="32" t="e">
        <x:f>IF(A306&lt;=Dashboard!$F$17,MIN(Dashboard!$F$10,MAX(0,W306-X306)+Y306),0)</x:f>
      </x:c>
      <x:c r="AA306" s="32" t="e">
        <x:f>IF(A306&lt;=Dashboard!$F$17,MAX(0,W306-X306-MAX(0,Z306-Y306)),0)</x:f>
      </x:c>
      <x:c r="AB306" s="32" t="e">
        <x:f>IF(A306=1,Y306,AB305+Y306)</x:f>
      </x:c>
      <x:c r="AC306" s="32"/>
      <x:c r="AD306" s="32" t="e">
        <x:f>IF(A306=1,MAX(0,Dashboard!$F$14-$B$8),AG305)</x:f>
      </x:c>
      <x:c r="AE306" s="32" t="n">
        <x:f>0</x:f>
        <x:v>0</x:v>
      </x:c>
      <x:c r="AF306" s="32" t="e">
        <x:f>IF(A306&lt;=Dashboard!$F$17,AD306*Dashboard!$F$6,0)</x:f>
      </x:c>
      <x:c r="AG306" s="32" t="e">
        <x:f>IF(A306&lt;=Dashboard!$F$17,MIN(Dashboard!$F$10,AD306+AF306),0)</x:f>
      </x:c>
      <x:c r="AH306" s="32" t="e">
        <x:f>IF(A306&lt;=Dashboard!$F$17,MAX(0,AD306-MAX(0,AG306-AF306)),0)</x:f>
      </x:c>
      <x:c r="AI306" s="32" t="e">
        <x:f>IF(A306=1,AF306,AI305+AF306)</x:f>
      </x:c>
      <x:c r="AJ306" s="33"/>
      <x:c r="AK306" s="33"/>
      <x:c r="AL306" s="33"/>
      <x:c r="AM306" s="33"/>
    </x:row>
    <x:row r="307">
      <x:c r="A307" s="33" t="n">
        <x:v>295</x:v>
      </x:c>
      <x:c r="B307" s="32" t="e">
        <x:f>IF(A307=1,Dashboard!$F$14,F306)</x:f>
      </x:c>
      <x:c r="C307" s="32" t="n">
        <x:f>0</x:f>
        <x:v>0</x:v>
      </x:c>
      <x:c r="D307" s="32" t="e">
        <x:f>IF(A307&lt;=Dashboard!$F$15,B307*Dashboard!$F$6,0)</x:f>
      </x:c>
      <x:c r="E307" s="32" t="e">
        <x:f>IF(A307&lt;=Dashboard!$F$15,MIN(Dashboard!$F$10,B307+D307),0)</x:f>
      </x:c>
      <x:c r="F307" s="32" t="e">
        <x:f>IF(A307&lt;=Dashboard!$F$15,MAX(0,B307-MAX(0,E307-D307)),0)</x:f>
      </x:c>
      <x:c r="G307" s="32" t="e">
        <x:f>IF(A307=1,D307,G306+D307)</x:f>
      </x:c>
      <x:c r="H307" s="32"/>
      <x:c r="I307" s="32" t="e">
        <x:f>IF(A307=1,Dashboard!$F$14,M306)</x:f>
      </x:c>
      <x:c r="J307" s="32" t="e">
        <x:f>IF(A307&lt;=Dashboard!$F$17,MIN(I307,$B$5),0)</x:f>
      </x:c>
      <x:c r="K307" s="32" t="e">
        <x:f>IF(A307&lt;=Dashboard!$F$17,MAX(0,I307-J307)*Dashboard!$F$6,0)</x:f>
      </x:c>
      <x:c r="L307" s="32" t="e">
        <x:f>IF(A307&lt;=Dashboard!$F$17,MIN(Dashboard!$F$10,MAX(0,I307-J307)+K307),0)</x:f>
      </x:c>
      <x:c r="M307" s="32" t="e">
        <x:f>IF(A307&lt;=Dashboard!$F$17,MAX(0,I307-J307-MAX(0,L307-K307)),0)</x:f>
      </x:c>
      <x:c r="N307" s="32" t="e">
        <x:f>IF(A307=1,K307,N306+K307)</x:f>
      </x:c>
      <x:c r="O307" s="32"/>
      <x:c r="P307" s="32" t="e">
        <x:f>IF(A307=1,Dashboard!$F$14,T306)</x:f>
      </x:c>
      <x:c r="Q307" s="32" t="e">
        <x:f>IF(A307&lt;=Dashboard!$F$17,MIN(P307,$B$6*52/12),0)</x:f>
      </x:c>
      <x:c r="R307" s="32" t="e">
        <x:f>IF(A307&lt;=Dashboard!$F$17,MAX(0,P307-Q307)*Dashboard!$F$6,0)</x:f>
      </x:c>
      <x:c r="S307" s="32" t="e">
        <x:f>IF(A307&lt;=Dashboard!$F$17,MIN(Dashboard!$F$10,MAX(0,P307-Q307)+R307),0)</x:f>
      </x:c>
      <x:c r="T307" s="32" t="e">
        <x:f>IF(A307&lt;=Dashboard!$F$17,MAX(0,P307-Q307-MAX(0,S307-R307)),0)</x:f>
      </x:c>
      <x:c r="U307" s="32" t="e">
        <x:f>IF(A307=1,R307,U306+R307)</x:f>
      </x:c>
      <x:c r="V307" s="32"/>
      <x:c r="W307" s="32" t="e">
        <x:f>IF(A307=1,Dashboard!$F$14,AA306)</x:f>
      </x:c>
      <x:c r="X307" s="32" t="e">
        <x:f>IF(AND(A307&lt;=Dashboard!$F$17,MOD(A307-1,12)=0),MIN(W307,$B$7),0)</x:f>
      </x:c>
      <x:c r="Y307" s="32" t="e">
        <x:f>IF(A307&lt;=Dashboard!$F$17,MAX(0,W307-X307)*Dashboard!$F$6,0)</x:f>
      </x:c>
      <x:c r="Z307" s="32" t="e">
        <x:f>IF(A307&lt;=Dashboard!$F$17,MIN(Dashboard!$F$10,MAX(0,W307-X307)+Y307),0)</x:f>
      </x:c>
      <x:c r="AA307" s="32" t="e">
        <x:f>IF(A307&lt;=Dashboard!$F$17,MAX(0,W307-X307-MAX(0,Z307-Y307)),0)</x:f>
      </x:c>
      <x:c r="AB307" s="32" t="e">
        <x:f>IF(A307=1,Y307,AB306+Y307)</x:f>
      </x:c>
      <x:c r="AC307" s="32"/>
      <x:c r="AD307" s="32" t="e">
        <x:f>IF(A307=1,MAX(0,Dashboard!$F$14-$B$8),AG306)</x:f>
      </x:c>
      <x:c r="AE307" s="32" t="n">
        <x:f>0</x:f>
        <x:v>0</x:v>
      </x:c>
      <x:c r="AF307" s="32" t="e">
        <x:f>IF(A307&lt;=Dashboard!$F$17,AD307*Dashboard!$F$6,0)</x:f>
      </x:c>
      <x:c r="AG307" s="32" t="e">
        <x:f>IF(A307&lt;=Dashboard!$F$17,MIN(Dashboard!$F$10,AD307+AF307),0)</x:f>
      </x:c>
      <x:c r="AH307" s="32" t="e">
        <x:f>IF(A307&lt;=Dashboard!$F$17,MAX(0,AD307-MAX(0,AG307-AF307)),0)</x:f>
      </x:c>
      <x:c r="AI307" s="32" t="e">
        <x:f>IF(A307=1,AF307,AI306+AF307)</x:f>
      </x:c>
      <x:c r="AJ307" s="33"/>
      <x:c r="AK307" s="33"/>
      <x:c r="AL307" s="33"/>
      <x:c r="AM307" s="33"/>
    </x:row>
    <x:row r="308">
      <x:c r="A308" s="33" t="n">
        <x:v>296</x:v>
      </x:c>
      <x:c r="B308" s="32" t="e">
        <x:f>IF(A308=1,Dashboard!$F$14,F307)</x:f>
      </x:c>
      <x:c r="C308" s="32" t="n">
        <x:f>0</x:f>
        <x:v>0</x:v>
      </x:c>
      <x:c r="D308" s="32" t="e">
        <x:f>IF(A308&lt;=Dashboard!$F$15,B308*Dashboard!$F$6,0)</x:f>
      </x:c>
      <x:c r="E308" s="32" t="e">
        <x:f>IF(A308&lt;=Dashboard!$F$15,MIN(Dashboard!$F$10,B308+D308),0)</x:f>
      </x:c>
      <x:c r="F308" s="32" t="e">
        <x:f>IF(A308&lt;=Dashboard!$F$15,MAX(0,B308-MAX(0,E308-D308)),0)</x:f>
      </x:c>
      <x:c r="G308" s="32" t="e">
        <x:f>IF(A308=1,D308,G307+D308)</x:f>
      </x:c>
      <x:c r="H308" s="32"/>
      <x:c r="I308" s="32" t="e">
        <x:f>IF(A308=1,Dashboard!$F$14,M307)</x:f>
      </x:c>
      <x:c r="J308" s="32" t="e">
        <x:f>IF(A308&lt;=Dashboard!$F$17,MIN(I308,$B$5),0)</x:f>
      </x:c>
      <x:c r="K308" s="32" t="e">
        <x:f>IF(A308&lt;=Dashboard!$F$17,MAX(0,I308-J308)*Dashboard!$F$6,0)</x:f>
      </x:c>
      <x:c r="L308" s="32" t="e">
        <x:f>IF(A308&lt;=Dashboard!$F$17,MIN(Dashboard!$F$10,MAX(0,I308-J308)+K308),0)</x:f>
      </x:c>
      <x:c r="M308" s="32" t="e">
        <x:f>IF(A308&lt;=Dashboard!$F$17,MAX(0,I308-J308-MAX(0,L308-K308)),0)</x:f>
      </x:c>
      <x:c r="N308" s="32" t="e">
        <x:f>IF(A308=1,K308,N307+K308)</x:f>
      </x:c>
      <x:c r="O308" s="32"/>
      <x:c r="P308" s="32" t="e">
        <x:f>IF(A308=1,Dashboard!$F$14,T307)</x:f>
      </x:c>
      <x:c r="Q308" s="32" t="e">
        <x:f>IF(A308&lt;=Dashboard!$F$17,MIN(P308,$B$6*52/12),0)</x:f>
      </x:c>
      <x:c r="R308" s="32" t="e">
        <x:f>IF(A308&lt;=Dashboard!$F$17,MAX(0,P308-Q308)*Dashboard!$F$6,0)</x:f>
      </x:c>
      <x:c r="S308" s="32" t="e">
        <x:f>IF(A308&lt;=Dashboard!$F$17,MIN(Dashboard!$F$10,MAX(0,P308-Q308)+R308),0)</x:f>
      </x:c>
      <x:c r="T308" s="32" t="e">
        <x:f>IF(A308&lt;=Dashboard!$F$17,MAX(0,P308-Q308-MAX(0,S308-R308)),0)</x:f>
      </x:c>
      <x:c r="U308" s="32" t="e">
        <x:f>IF(A308=1,R308,U307+R308)</x:f>
      </x:c>
      <x:c r="V308" s="32"/>
      <x:c r="W308" s="32" t="e">
        <x:f>IF(A308=1,Dashboard!$F$14,AA307)</x:f>
      </x:c>
      <x:c r="X308" s="32" t="e">
        <x:f>IF(AND(A308&lt;=Dashboard!$F$17,MOD(A308-1,12)=0),MIN(W308,$B$7),0)</x:f>
      </x:c>
      <x:c r="Y308" s="32" t="e">
        <x:f>IF(A308&lt;=Dashboard!$F$17,MAX(0,W308-X308)*Dashboard!$F$6,0)</x:f>
      </x:c>
      <x:c r="Z308" s="32" t="e">
        <x:f>IF(A308&lt;=Dashboard!$F$17,MIN(Dashboard!$F$10,MAX(0,W308-X308)+Y308),0)</x:f>
      </x:c>
      <x:c r="AA308" s="32" t="e">
        <x:f>IF(A308&lt;=Dashboard!$F$17,MAX(0,W308-X308-MAX(0,Z308-Y308)),0)</x:f>
      </x:c>
      <x:c r="AB308" s="32" t="e">
        <x:f>IF(A308=1,Y308,AB307+Y308)</x:f>
      </x:c>
      <x:c r="AC308" s="32"/>
      <x:c r="AD308" s="32" t="e">
        <x:f>IF(A308=1,MAX(0,Dashboard!$F$14-$B$8),AG307)</x:f>
      </x:c>
      <x:c r="AE308" s="32" t="n">
        <x:f>0</x:f>
        <x:v>0</x:v>
      </x:c>
      <x:c r="AF308" s="32" t="e">
        <x:f>IF(A308&lt;=Dashboard!$F$17,AD308*Dashboard!$F$6,0)</x:f>
      </x:c>
      <x:c r="AG308" s="32" t="e">
        <x:f>IF(A308&lt;=Dashboard!$F$17,MIN(Dashboard!$F$10,AD308+AF308),0)</x:f>
      </x:c>
      <x:c r="AH308" s="32" t="e">
        <x:f>IF(A308&lt;=Dashboard!$F$17,MAX(0,AD308-MAX(0,AG308-AF308)),0)</x:f>
      </x:c>
      <x:c r="AI308" s="32" t="e">
        <x:f>IF(A308=1,AF308,AI307+AF308)</x:f>
      </x:c>
      <x:c r="AJ308" s="33"/>
      <x:c r="AK308" s="33"/>
      <x:c r="AL308" s="33"/>
      <x:c r="AM308" s="33"/>
    </x:row>
    <x:row r="309">
      <x:c r="A309" s="33" t="n">
        <x:v>297</x:v>
      </x:c>
      <x:c r="B309" s="32" t="e">
        <x:f>IF(A309=1,Dashboard!$F$14,F308)</x:f>
      </x:c>
      <x:c r="C309" s="32" t="n">
        <x:f>0</x:f>
        <x:v>0</x:v>
      </x:c>
      <x:c r="D309" s="32" t="e">
        <x:f>IF(A309&lt;=Dashboard!$F$15,B309*Dashboard!$F$6,0)</x:f>
      </x:c>
      <x:c r="E309" s="32" t="e">
        <x:f>IF(A309&lt;=Dashboard!$F$15,MIN(Dashboard!$F$10,B309+D309),0)</x:f>
      </x:c>
      <x:c r="F309" s="32" t="e">
        <x:f>IF(A309&lt;=Dashboard!$F$15,MAX(0,B309-MAX(0,E309-D309)),0)</x:f>
      </x:c>
      <x:c r="G309" s="32" t="e">
        <x:f>IF(A309=1,D309,G308+D309)</x:f>
      </x:c>
      <x:c r="H309" s="32"/>
      <x:c r="I309" s="32" t="e">
        <x:f>IF(A309=1,Dashboard!$F$14,M308)</x:f>
      </x:c>
      <x:c r="J309" s="32" t="e">
        <x:f>IF(A309&lt;=Dashboard!$F$17,MIN(I309,$B$5),0)</x:f>
      </x:c>
      <x:c r="K309" s="32" t="e">
        <x:f>IF(A309&lt;=Dashboard!$F$17,MAX(0,I309-J309)*Dashboard!$F$6,0)</x:f>
      </x:c>
      <x:c r="L309" s="32" t="e">
        <x:f>IF(A309&lt;=Dashboard!$F$17,MIN(Dashboard!$F$10,MAX(0,I309-J309)+K309),0)</x:f>
      </x:c>
      <x:c r="M309" s="32" t="e">
        <x:f>IF(A309&lt;=Dashboard!$F$17,MAX(0,I309-J309-MAX(0,L309-K309)),0)</x:f>
      </x:c>
      <x:c r="N309" s="32" t="e">
        <x:f>IF(A309=1,K309,N308+K309)</x:f>
      </x:c>
      <x:c r="O309" s="32"/>
      <x:c r="P309" s="32" t="e">
        <x:f>IF(A309=1,Dashboard!$F$14,T308)</x:f>
      </x:c>
      <x:c r="Q309" s="32" t="e">
        <x:f>IF(A309&lt;=Dashboard!$F$17,MIN(P309,$B$6*52/12),0)</x:f>
      </x:c>
      <x:c r="R309" s="32" t="e">
        <x:f>IF(A309&lt;=Dashboard!$F$17,MAX(0,P309-Q309)*Dashboard!$F$6,0)</x:f>
      </x:c>
      <x:c r="S309" s="32" t="e">
        <x:f>IF(A309&lt;=Dashboard!$F$17,MIN(Dashboard!$F$10,MAX(0,P309-Q309)+R309),0)</x:f>
      </x:c>
      <x:c r="T309" s="32" t="e">
        <x:f>IF(A309&lt;=Dashboard!$F$17,MAX(0,P309-Q309-MAX(0,S309-R309)),0)</x:f>
      </x:c>
      <x:c r="U309" s="32" t="e">
        <x:f>IF(A309=1,R309,U308+R309)</x:f>
      </x:c>
      <x:c r="V309" s="32"/>
      <x:c r="W309" s="32" t="e">
        <x:f>IF(A309=1,Dashboard!$F$14,AA308)</x:f>
      </x:c>
      <x:c r="X309" s="32" t="e">
        <x:f>IF(AND(A309&lt;=Dashboard!$F$17,MOD(A309-1,12)=0),MIN(W309,$B$7),0)</x:f>
      </x:c>
      <x:c r="Y309" s="32" t="e">
        <x:f>IF(A309&lt;=Dashboard!$F$17,MAX(0,W309-X309)*Dashboard!$F$6,0)</x:f>
      </x:c>
      <x:c r="Z309" s="32" t="e">
        <x:f>IF(A309&lt;=Dashboard!$F$17,MIN(Dashboard!$F$10,MAX(0,W309-X309)+Y309),0)</x:f>
      </x:c>
      <x:c r="AA309" s="32" t="e">
        <x:f>IF(A309&lt;=Dashboard!$F$17,MAX(0,W309-X309-MAX(0,Z309-Y309)),0)</x:f>
      </x:c>
      <x:c r="AB309" s="32" t="e">
        <x:f>IF(A309=1,Y309,AB308+Y309)</x:f>
      </x:c>
      <x:c r="AC309" s="32"/>
      <x:c r="AD309" s="32" t="e">
        <x:f>IF(A309=1,MAX(0,Dashboard!$F$14-$B$8),AG308)</x:f>
      </x:c>
      <x:c r="AE309" s="32" t="n">
        <x:f>0</x:f>
        <x:v>0</x:v>
      </x:c>
      <x:c r="AF309" s="32" t="e">
        <x:f>IF(A309&lt;=Dashboard!$F$17,AD309*Dashboard!$F$6,0)</x:f>
      </x:c>
      <x:c r="AG309" s="32" t="e">
        <x:f>IF(A309&lt;=Dashboard!$F$17,MIN(Dashboard!$F$10,AD309+AF309),0)</x:f>
      </x:c>
      <x:c r="AH309" s="32" t="e">
        <x:f>IF(A309&lt;=Dashboard!$F$17,MAX(0,AD309-MAX(0,AG309-AF309)),0)</x:f>
      </x:c>
      <x:c r="AI309" s="32" t="e">
        <x:f>IF(A309=1,AF309,AI308+AF309)</x:f>
      </x:c>
      <x:c r="AJ309" s="33"/>
      <x:c r="AK309" s="33"/>
      <x:c r="AL309" s="33"/>
      <x:c r="AM309" s="33"/>
    </x:row>
    <x:row r="310">
      <x:c r="A310" s="33" t="n">
        <x:v>298</x:v>
      </x:c>
      <x:c r="B310" s="32" t="e">
        <x:f>IF(A310=1,Dashboard!$F$14,F309)</x:f>
      </x:c>
      <x:c r="C310" s="32" t="n">
        <x:f>0</x:f>
        <x:v>0</x:v>
      </x:c>
      <x:c r="D310" s="32" t="e">
        <x:f>IF(A310&lt;=Dashboard!$F$15,B310*Dashboard!$F$6,0)</x:f>
      </x:c>
      <x:c r="E310" s="32" t="e">
        <x:f>IF(A310&lt;=Dashboard!$F$15,MIN(Dashboard!$F$10,B310+D310),0)</x:f>
      </x:c>
      <x:c r="F310" s="32" t="e">
        <x:f>IF(A310&lt;=Dashboard!$F$15,MAX(0,B310-MAX(0,E310-D310)),0)</x:f>
      </x:c>
      <x:c r="G310" s="32" t="e">
        <x:f>IF(A310=1,D310,G309+D310)</x:f>
      </x:c>
      <x:c r="H310" s="32"/>
      <x:c r="I310" s="32" t="e">
        <x:f>IF(A310=1,Dashboard!$F$14,M309)</x:f>
      </x:c>
      <x:c r="J310" s="32" t="e">
        <x:f>IF(A310&lt;=Dashboard!$F$17,MIN(I310,$B$5),0)</x:f>
      </x:c>
      <x:c r="K310" s="32" t="e">
        <x:f>IF(A310&lt;=Dashboard!$F$17,MAX(0,I310-J310)*Dashboard!$F$6,0)</x:f>
      </x:c>
      <x:c r="L310" s="32" t="e">
        <x:f>IF(A310&lt;=Dashboard!$F$17,MIN(Dashboard!$F$10,MAX(0,I310-J310)+K310),0)</x:f>
      </x:c>
      <x:c r="M310" s="32" t="e">
        <x:f>IF(A310&lt;=Dashboard!$F$17,MAX(0,I310-J310-MAX(0,L310-K310)),0)</x:f>
      </x:c>
      <x:c r="N310" s="32" t="e">
        <x:f>IF(A310=1,K310,N309+K310)</x:f>
      </x:c>
      <x:c r="O310" s="32"/>
      <x:c r="P310" s="32" t="e">
        <x:f>IF(A310=1,Dashboard!$F$14,T309)</x:f>
      </x:c>
      <x:c r="Q310" s="32" t="e">
        <x:f>IF(A310&lt;=Dashboard!$F$17,MIN(P310,$B$6*52/12),0)</x:f>
      </x:c>
      <x:c r="R310" s="32" t="e">
        <x:f>IF(A310&lt;=Dashboard!$F$17,MAX(0,P310-Q310)*Dashboard!$F$6,0)</x:f>
      </x:c>
      <x:c r="S310" s="32" t="e">
        <x:f>IF(A310&lt;=Dashboard!$F$17,MIN(Dashboard!$F$10,MAX(0,P310-Q310)+R310),0)</x:f>
      </x:c>
      <x:c r="T310" s="32" t="e">
        <x:f>IF(A310&lt;=Dashboard!$F$17,MAX(0,P310-Q310-MAX(0,S310-R310)),0)</x:f>
      </x:c>
      <x:c r="U310" s="32" t="e">
        <x:f>IF(A310=1,R310,U309+R310)</x:f>
      </x:c>
      <x:c r="V310" s="32"/>
      <x:c r="W310" s="32" t="e">
        <x:f>IF(A310=1,Dashboard!$F$14,AA309)</x:f>
      </x:c>
      <x:c r="X310" s="32" t="e">
        <x:f>IF(AND(A310&lt;=Dashboard!$F$17,MOD(A310-1,12)=0),MIN(W310,$B$7),0)</x:f>
      </x:c>
      <x:c r="Y310" s="32" t="e">
        <x:f>IF(A310&lt;=Dashboard!$F$17,MAX(0,W310-X310)*Dashboard!$F$6,0)</x:f>
      </x:c>
      <x:c r="Z310" s="32" t="e">
        <x:f>IF(A310&lt;=Dashboard!$F$17,MIN(Dashboard!$F$10,MAX(0,W310-X310)+Y310),0)</x:f>
      </x:c>
      <x:c r="AA310" s="32" t="e">
        <x:f>IF(A310&lt;=Dashboard!$F$17,MAX(0,W310-X310-MAX(0,Z310-Y310)),0)</x:f>
      </x:c>
      <x:c r="AB310" s="32" t="e">
        <x:f>IF(A310=1,Y310,AB309+Y310)</x:f>
      </x:c>
      <x:c r="AC310" s="32"/>
      <x:c r="AD310" s="32" t="e">
        <x:f>IF(A310=1,MAX(0,Dashboard!$F$14-$B$8),AG309)</x:f>
      </x:c>
      <x:c r="AE310" s="32" t="n">
        <x:f>0</x:f>
        <x:v>0</x:v>
      </x:c>
      <x:c r="AF310" s="32" t="e">
        <x:f>IF(A310&lt;=Dashboard!$F$17,AD310*Dashboard!$F$6,0)</x:f>
      </x:c>
      <x:c r="AG310" s="32" t="e">
        <x:f>IF(A310&lt;=Dashboard!$F$17,MIN(Dashboard!$F$10,AD310+AF310),0)</x:f>
      </x:c>
      <x:c r="AH310" s="32" t="e">
        <x:f>IF(A310&lt;=Dashboard!$F$17,MAX(0,AD310-MAX(0,AG310-AF310)),0)</x:f>
      </x:c>
      <x:c r="AI310" s="32" t="e">
        <x:f>IF(A310=1,AF310,AI309+AF310)</x:f>
      </x:c>
      <x:c r="AJ310" s="33"/>
      <x:c r="AK310" s="33"/>
      <x:c r="AL310" s="33"/>
      <x:c r="AM310" s="33"/>
    </x:row>
    <x:row r="311">
      <x:c r="A311" s="33" t="n">
        <x:v>299</x:v>
      </x:c>
      <x:c r="B311" s="32" t="e">
        <x:f>IF(A311=1,Dashboard!$F$14,F310)</x:f>
      </x:c>
      <x:c r="C311" s="32" t="n">
        <x:f>0</x:f>
        <x:v>0</x:v>
      </x:c>
      <x:c r="D311" s="32" t="e">
        <x:f>IF(A311&lt;=Dashboard!$F$15,B311*Dashboard!$F$6,0)</x:f>
      </x:c>
      <x:c r="E311" s="32" t="e">
        <x:f>IF(A311&lt;=Dashboard!$F$15,MIN(Dashboard!$F$10,B311+D311),0)</x:f>
      </x:c>
      <x:c r="F311" s="32" t="e">
        <x:f>IF(A311&lt;=Dashboard!$F$15,MAX(0,B311-MAX(0,E311-D311)),0)</x:f>
      </x:c>
      <x:c r="G311" s="32" t="e">
        <x:f>IF(A311=1,D311,G310+D311)</x:f>
      </x:c>
      <x:c r="H311" s="32"/>
      <x:c r="I311" s="32" t="e">
        <x:f>IF(A311=1,Dashboard!$F$14,M310)</x:f>
      </x:c>
      <x:c r="J311" s="32" t="e">
        <x:f>IF(A311&lt;=Dashboard!$F$17,MIN(I311,$B$5),0)</x:f>
      </x:c>
      <x:c r="K311" s="32" t="e">
        <x:f>IF(A311&lt;=Dashboard!$F$17,MAX(0,I311-J311)*Dashboard!$F$6,0)</x:f>
      </x:c>
      <x:c r="L311" s="32" t="e">
        <x:f>IF(A311&lt;=Dashboard!$F$17,MIN(Dashboard!$F$10,MAX(0,I311-J311)+K311),0)</x:f>
      </x:c>
      <x:c r="M311" s="32" t="e">
        <x:f>IF(A311&lt;=Dashboard!$F$17,MAX(0,I311-J311-MAX(0,L311-K311)),0)</x:f>
      </x:c>
      <x:c r="N311" s="32" t="e">
        <x:f>IF(A311=1,K311,N310+K311)</x:f>
      </x:c>
      <x:c r="O311" s="32"/>
      <x:c r="P311" s="32" t="e">
        <x:f>IF(A311=1,Dashboard!$F$14,T310)</x:f>
      </x:c>
      <x:c r="Q311" s="32" t="e">
        <x:f>IF(A311&lt;=Dashboard!$F$17,MIN(P311,$B$6*52/12),0)</x:f>
      </x:c>
      <x:c r="R311" s="32" t="e">
        <x:f>IF(A311&lt;=Dashboard!$F$17,MAX(0,P311-Q311)*Dashboard!$F$6,0)</x:f>
      </x:c>
      <x:c r="S311" s="32" t="e">
        <x:f>IF(A311&lt;=Dashboard!$F$17,MIN(Dashboard!$F$10,MAX(0,P311-Q311)+R311),0)</x:f>
      </x:c>
      <x:c r="T311" s="32" t="e">
        <x:f>IF(A311&lt;=Dashboard!$F$17,MAX(0,P311-Q311-MAX(0,S311-R311)),0)</x:f>
      </x:c>
      <x:c r="U311" s="32" t="e">
        <x:f>IF(A311=1,R311,U310+R311)</x:f>
      </x:c>
      <x:c r="V311" s="32"/>
      <x:c r="W311" s="32" t="e">
        <x:f>IF(A311=1,Dashboard!$F$14,AA310)</x:f>
      </x:c>
      <x:c r="X311" s="32" t="e">
        <x:f>IF(AND(A311&lt;=Dashboard!$F$17,MOD(A311-1,12)=0),MIN(W311,$B$7),0)</x:f>
      </x:c>
      <x:c r="Y311" s="32" t="e">
        <x:f>IF(A311&lt;=Dashboard!$F$17,MAX(0,W311-X311)*Dashboard!$F$6,0)</x:f>
      </x:c>
      <x:c r="Z311" s="32" t="e">
        <x:f>IF(A311&lt;=Dashboard!$F$17,MIN(Dashboard!$F$10,MAX(0,W311-X311)+Y311),0)</x:f>
      </x:c>
      <x:c r="AA311" s="32" t="e">
        <x:f>IF(A311&lt;=Dashboard!$F$17,MAX(0,W311-X311-MAX(0,Z311-Y311)),0)</x:f>
      </x:c>
      <x:c r="AB311" s="32" t="e">
        <x:f>IF(A311=1,Y311,AB310+Y311)</x:f>
      </x:c>
      <x:c r="AC311" s="32"/>
      <x:c r="AD311" s="32" t="e">
        <x:f>IF(A311=1,MAX(0,Dashboard!$F$14-$B$8),AG310)</x:f>
      </x:c>
      <x:c r="AE311" s="32" t="n">
        <x:f>0</x:f>
        <x:v>0</x:v>
      </x:c>
      <x:c r="AF311" s="32" t="e">
        <x:f>IF(A311&lt;=Dashboard!$F$17,AD311*Dashboard!$F$6,0)</x:f>
      </x:c>
      <x:c r="AG311" s="32" t="e">
        <x:f>IF(A311&lt;=Dashboard!$F$17,MIN(Dashboard!$F$10,AD311+AF311),0)</x:f>
      </x:c>
      <x:c r="AH311" s="32" t="e">
        <x:f>IF(A311&lt;=Dashboard!$F$17,MAX(0,AD311-MAX(0,AG311-AF311)),0)</x:f>
      </x:c>
      <x:c r="AI311" s="32" t="e">
        <x:f>IF(A311=1,AF311,AI310+AF311)</x:f>
      </x:c>
      <x:c r="AJ311" s="33"/>
      <x:c r="AK311" s="33"/>
      <x:c r="AL311" s="33"/>
      <x:c r="AM311" s="33"/>
    </x:row>
    <x:row r="312">
      <x:c r="A312" s="33" t="n">
        <x:v>300</x:v>
      </x:c>
      <x:c r="B312" s="32" t="e">
        <x:f>IF(A312=1,Dashboard!$F$14,F311)</x:f>
      </x:c>
      <x:c r="C312" s="32" t="n">
        <x:f>0</x:f>
        <x:v>0</x:v>
      </x:c>
      <x:c r="D312" s="32" t="e">
        <x:f>IF(A312&lt;=Dashboard!$F$15,B312*Dashboard!$F$6,0)</x:f>
      </x:c>
      <x:c r="E312" s="32" t="e">
        <x:f>IF(A312&lt;=Dashboard!$F$15,MIN(Dashboard!$F$10,B312+D312),0)</x:f>
      </x:c>
      <x:c r="F312" s="32" t="e">
        <x:f>IF(A312&lt;=Dashboard!$F$15,MAX(0,B312-MAX(0,E312-D312)),0)</x:f>
      </x:c>
      <x:c r="G312" s="32" t="e">
        <x:f>IF(A312=1,D312,G311+D312)</x:f>
      </x:c>
      <x:c r="H312" s="32"/>
      <x:c r="I312" s="32" t="e">
        <x:f>IF(A312=1,Dashboard!$F$14,M311)</x:f>
      </x:c>
      <x:c r="J312" s="32" t="e">
        <x:f>IF(A312&lt;=Dashboard!$F$17,MIN(I312,$B$5),0)</x:f>
      </x:c>
      <x:c r="K312" s="32" t="e">
        <x:f>IF(A312&lt;=Dashboard!$F$17,MAX(0,I312-J312)*Dashboard!$F$6,0)</x:f>
      </x:c>
      <x:c r="L312" s="32" t="e">
        <x:f>IF(A312&lt;=Dashboard!$F$17,MIN(Dashboard!$F$10,MAX(0,I312-J312)+K312),0)</x:f>
      </x:c>
      <x:c r="M312" s="32" t="e">
        <x:f>IF(A312&lt;=Dashboard!$F$17,MAX(0,I312-J312-MAX(0,L312-K312)),0)</x:f>
      </x:c>
      <x:c r="N312" s="32" t="e">
        <x:f>IF(A312=1,K312,N311+K312)</x:f>
      </x:c>
      <x:c r="O312" s="32"/>
      <x:c r="P312" s="32" t="e">
        <x:f>IF(A312=1,Dashboard!$F$14,T311)</x:f>
      </x:c>
      <x:c r="Q312" s="32" t="e">
        <x:f>IF(A312&lt;=Dashboard!$F$17,MIN(P312,$B$6*52/12),0)</x:f>
      </x:c>
      <x:c r="R312" s="32" t="e">
        <x:f>IF(A312&lt;=Dashboard!$F$17,MAX(0,P312-Q312)*Dashboard!$F$6,0)</x:f>
      </x:c>
      <x:c r="S312" s="32" t="e">
        <x:f>IF(A312&lt;=Dashboard!$F$17,MIN(Dashboard!$F$10,MAX(0,P312-Q312)+R312),0)</x:f>
      </x:c>
      <x:c r="T312" s="32" t="e">
        <x:f>IF(A312&lt;=Dashboard!$F$17,MAX(0,P312-Q312-MAX(0,S312-R312)),0)</x:f>
      </x:c>
      <x:c r="U312" s="32" t="e">
        <x:f>IF(A312=1,R312,U311+R312)</x:f>
      </x:c>
      <x:c r="V312" s="32"/>
      <x:c r="W312" s="32" t="e">
        <x:f>IF(A312=1,Dashboard!$F$14,AA311)</x:f>
      </x:c>
      <x:c r="X312" s="32" t="e">
        <x:f>IF(AND(A312&lt;=Dashboard!$F$17,MOD(A312-1,12)=0),MIN(W312,$B$7),0)</x:f>
      </x:c>
      <x:c r="Y312" s="32" t="e">
        <x:f>IF(A312&lt;=Dashboard!$F$17,MAX(0,W312-X312)*Dashboard!$F$6,0)</x:f>
      </x:c>
      <x:c r="Z312" s="32" t="e">
        <x:f>IF(A312&lt;=Dashboard!$F$17,MIN(Dashboard!$F$10,MAX(0,W312-X312)+Y312),0)</x:f>
      </x:c>
      <x:c r="AA312" s="32" t="e">
        <x:f>IF(A312&lt;=Dashboard!$F$17,MAX(0,W312-X312-MAX(0,Z312-Y312)),0)</x:f>
      </x:c>
      <x:c r="AB312" s="32" t="e">
        <x:f>IF(A312=1,Y312,AB311+Y312)</x:f>
      </x:c>
      <x:c r="AC312" s="32"/>
      <x:c r="AD312" s="32" t="e">
        <x:f>IF(A312=1,MAX(0,Dashboard!$F$14-$B$8),AG311)</x:f>
      </x:c>
      <x:c r="AE312" s="32" t="n">
        <x:f>0</x:f>
        <x:v>0</x:v>
      </x:c>
      <x:c r="AF312" s="32" t="e">
        <x:f>IF(A312&lt;=Dashboard!$F$17,AD312*Dashboard!$F$6,0)</x:f>
      </x:c>
      <x:c r="AG312" s="32" t="e">
        <x:f>IF(A312&lt;=Dashboard!$F$17,MIN(Dashboard!$F$10,AD312+AF312),0)</x:f>
      </x:c>
      <x:c r="AH312" s="32" t="e">
        <x:f>IF(A312&lt;=Dashboard!$F$17,MAX(0,AD312-MAX(0,AG312-AF312)),0)</x:f>
      </x:c>
      <x:c r="AI312" s="32" t="e">
        <x:f>IF(A312=1,AF312,AI311+AF312)</x:f>
      </x:c>
      <x:c r="AJ312" s="33"/>
      <x:c r="AK312" s="33"/>
      <x:c r="AL312" s="33"/>
      <x:c r="AM312" s="33"/>
    </x:row>
    <x:row r="313">
      <x:c r="A313" s="33" t="n">
        <x:v>301</x:v>
      </x:c>
      <x:c r="B313" s="32" t="e">
        <x:f>IF(A313=1,Dashboard!$F$14,F312)</x:f>
      </x:c>
      <x:c r="C313" s="32" t="n">
        <x:f>0</x:f>
        <x:v>0</x:v>
      </x:c>
      <x:c r="D313" s="32" t="e">
        <x:f>IF(A313&lt;=Dashboard!$F$15,B313*Dashboard!$F$6,0)</x:f>
      </x:c>
      <x:c r="E313" s="32" t="e">
        <x:f>IF(A313&lt;=Dashboard!$F$15,MIN(Dashboard!$F$10,B313+D313),0)</x:f>
      </x:c>
      <x:c r="F313" s="32" t="e">
        <x:f>IF(A313&lt;=Dashboard!$F$15,MAX(0,B313-MAX(0,E313-D313)),0)</x:f>
      </x:c>
      <x:c r="G313" s="32" t="e">
        <x:f>IF(A313=1,D313,G312+D313)</x:f>
      </x:c>
      <x:c r="H313" s="32"/>
      <x:c r="I313" s="32" t="e">
        <x:f>IF(A313=1,Dashboard!$F$14,M312)</x:f>
      </x:c>
      <x:c r="J313" s="32" t="e">
        <x:f>IF(A313&lt;=Dashboard!$F$17,MIN(I313,$B$5),0)</x:f>
      </x:c>
      <x:c r="K313" s="32" t="e">
        <x:f>IF(A313&lt;=Dashboard!$F$17,MAX(0,I313-J313)*Dashboard!$F$6,0)</x:f>
      </x:c>
      <x:c r="L313" s="32" t="e">
        <x:f>IF(A313&lt;=Dashboard!$F$17,MIN(Dashboard!$F$10,MAX(0,I313-J313)+K313),0)</x:f>
      </x:c>
      <x:c r="M313" s="32" t="e">
        <x:f>IF(A313&lt;=Dashboard!$F$17,MAX(0,I313-J313-MAX(0,L313-K313)),0)</x:f>
      </x:c>
      <x:c r="N313" s="32" t="e">
        <x:f>IF(A313=1,K313,N312+K313)</x:f>
      </x:c>
      <x:c r="O313" s="32"/>
      <x:c r="P313" s="32" t="e">
        <x:f>IF(A313=1,Dashboard!$F$14,T312)</x:f>
      </x:c>
      <x:c r="Q313" s="32" t="e">
        <x:f>IF(A313&lt;=Dashboard!$F$17,MIN(P313,$B$6*52/12),0)</x:f>
      </x:c>
      <x:c r="R313" s="32" t="e">
        <x:f>IF(A313&lt;=Dashboard!$F$17,MAX(0,P313-Q313)*Dashboard!$F$6,0)</x:f>
      </x:c>
      <x:c r="S313" s="32" t="e">
        <x:f>IF(A313&lt;=Dashboard!$F$17,MIN(Dashboard!$F$10,MAX(0,P313-Q313)+R313),0)</x:f>
      </x:c>
      <x:c r="T313" s="32" t="e">
        <x:f>IF(A313&lt;=Dashboard!$F$17,MAX(0,P313-Q313-MAX(0,S313-R313)),0)</x:f>
      </x:c>
      <x:c r="U313" s="32" t="e">
        <x:f>IF(A313=1,R313,U312+R313)</x:f>
      </x:c>
      <x:c r="V313" s="32"/>
      <x:c r="W313" s="32" t="e">
        <x:f>IF(A313=1,Dashboard!$F$14,AA312)</x:f>
      </x:c>
      <x:c r="X313" s="32" t="e">
        <x:f>IF(AND(A313&lt;=Dashboard!$F$17,MOD(A313-1,12)=0),MIN(W313,$B$7),0)</x:f>
      </x:c>
      <x:c r="Y313" s="32" t="e">
        <x:f>IF(A313&lt;=Dashboard!$F$17,MAX(0,W313-X313)*Dashboard!$F$6,0)</x:f>
      </x:c>
      <x:c r="Z313" s="32" t="e">
        <x:f>IF(A313&lt;=Dashboard!$F$17,MIN(Dashboard!$F$10,MAX(0,W313-X313)+Y313),0)</x:f>
      </x:c>
      <x:c r="AA313" s="32" t="e">
        <x:f>IF(A313&lt;=Dashboard!$F$17,MAX(0,W313-X313-MAX(0,Z313-Y313)),0)</x:f>
      </x:c>
      <x:c r="AB313" s="32" t="e">
        <x:f>IF(A313=1,Y313,AB312+Y313)</x:f>
      </x:c>
      <x:c r="AC313" s="32"/>
      <x:c r="AD313" s="32" t="e">
        <x:f>IF(A313=1,MAX(0,Dashboard!$F$14-$B$8),AG312)</x:f>
      </x:c>
      <x:c r="AE313" s="32" t="n">
        <x:f>0</x:f>
        <x:v>0</x:v>
      </x:c>
      <x:c r="AF313" s="32" t="e">
        <x:f>IF(A313&lt;=Dashboard!$F$17,AD313*Dashboard!$F$6,0)</x:f>
      </x:c>
      <x:c r="AG313" s="32" t="e">
        <x:f>IF(A313&lt;=Dashboard!$F$17,MIN(Dashboard!$F$10,AD313+AF313),0)</x:f>
      </x:c>
      <x:c r="AH313" s="32" t="e">
        <x:f>IF(A313&lt;=Dashboard!$F$17,MAX(0,AD313-MAX(0,AG313-AF313)),0)</x:f>
      </x:c>
      <x:c r="AI313" s="32" t="e">
        <x:f>IF(A313=1,AF313,AI312+AF313)</x:f>
      </x:c>
      <x:c r="AJ313" s="33"/>
      <x:c r="AK313" s="33"/>
      <x:c r="AL313" s="33"/>
      <x:c r="AM313" s="33"/>
    </x:row>
    <x:row r="314">
      <x:c r="A314" s="33" t="n">
        <x:v>302</x:v>
      </x:c>
      <x:c r="B314" s="32" t="e">
        <x:f>IF(A314=1,Dashboard!$F$14,F313)</x:f>
      </x:c>
      <x:c r="C314" s="32" t="n">
        <x:f>0</x:f>
        <x:v>0</x:v>
      </x:c>
      <x:c r="D314" s="32" t="e">
        <x:f>IF(A314&lt;=Dashboard!$F$15,B314*Dashboard!$F$6,0)</x:f>
      </x:c>
      <x:c r="E314" s="32" t="e">
        <x:f>IF(A314&lt;=Dashboard!$F$15,MIN(Dashboard!$F$10,B314+D314),0)</x:f>
      </x:c>
      <x:c r="F314" s="32" t="e">
        <x:f>IF(A314&lt;=Dashboard!$F$15,MAX(0,B314-MAX(0,E314-D314)),0)</x:f>
      </x:c>
      <x:c r="G314" s="32" t="e">
        <x:f>IF(A314=1,D314,G313+D314)</x:f>
      </x:c>
      <x:c r="H314" s="32"/>
      <x:c r="I314" s="32" t="e">
        <x:f>IF(A314=1,Dashboard!$F$14,M313)</x:f>
      </x:c>
      <x:c r="J314" s="32" t="e">
        <x:f>IF(A314&lt;=Dashboard!$F$17,MIN(I314,$B$5),0)</x:f>
      </x:c>
      <x:c r="K314" s="32" t="e">
        <x:f>IF(A314&lt;=Dashboard!$F$17,MAX(0,I314-J314)*Dashboard!$F$6,0)</x:f>
      </x:c>
      <x:c r="L314" s="32" t="e">
        <x:f>IF(A314&lt;=Dashboard!$F$17,MIN(Dashboard!$F$10,MAX(0,I314-J314)+K314),0)</x:f>
      </x:c>
      <x:c r="M314" s="32" t="e">
        <x:f>IF(A314&lt;=Dashboard!$F$17,MAX(0,I314-J314-MAX(0,L314-K314)),0)</x:f>
      </x:c>
      <x:c r="N314" s="32" t="e">
        <x:f>IF(A314=1,K314,N313+K314)</x:f>
      </x:c>
      <x:c r="O314" s="32"/>
      <x:c r="P314" s="32" t="e">
        <x:f>IF(A314=1,Dashboard!$F$14,T313)</x:f>
      </x:c>
      <x:c r="Q314" s="32" t="e">
        <x:f>IF(A314&lt;=Dashboard!$F$17,MIN(P314,$B$6*52/12),0)</x:f>
      </x:c>
      <x:c r="R314" s="32" t="e">
        <x:f>IF(A314&lt;=Dashboard!$F$17,MAX(0,P314-Q314)*Dashboard!$F$6,0)</x:f>
      </x:c>
      <x:c r="S314" s="32" t="e">
        <x:f>IF(A314&lt;=Dashboard!$F$17,MIN(Dashboard!$F$10,MAX(0,P314-Q314)+R314),0)</x:f>
      </x:c>
      <x:c r="T314" s="32" t="e">
        <x:f>IF(A314&lt;=Dashboard!$F$17,MAX(0,P314-Q314-MAX(0,S314-R314)),0)</x:f>
      </x:c>
      <x:c r="U314" s="32" t="e">
        <x:f>IF(A314=1,R314,U313+R314)</x:f>
      </x:c>
      <x:c r="V314" s="32"/>
      <x:c r="W314" s="32" t="e">
        <x:f>IF(A314=1,Dashboard!$F$14,AA313)</x:f>
      </x:c>
      <x:c r="X314" s="32" t="e">
        <x:f>IF(AND(A314&lt;=Dashboard!$F$17,MOD(A314-1,12)=0),MIN(W314,$B$7),0)</x:f>
      </x:c>
      <x:c r="Y314" s="32" t="e">
        <x:f>IF(A314&lt;=Dashboard!$F$17,MAX(0,W314-X314)*Dashboard!$F$6,0)</x:f>
      </x:c>
      <x:c r="Z314" s="32" t="e">
        <x:f>IF(A314&lt;=Dashboard!$F$17,MIN(Dashboard!$F$10,MAX(0,W314-X314)+Y314),0)</x:f>
      </x:c>
      <x:c r="AA314" s="32" t="e">
        <x:f>IF(A314&lt;=Dashboard!$F$17,MAX(0,W314-X314-MAX(0,Z314-Y314)),0)</x:f>
      </x:c>
      <x:c r="AB314" s="32" t="e">
        <x:f>IF(A314=1,Y314,AB313+Y314)</x:f>
      </x:c>
      <x:c r="AC314" s="32"/>
      <x:c r="AD314" s="32" t="e">
        <x:f>IF(A314=1,MAX(0,Dashboard!$F$14-$B$8),AG313)</x:f>
      </x:c>
      <x:c r="AE314" s="32" t="n">
        <x:f>0</x:f>
        <x:v>0</x:v>
      </x:c>
      <x:c r="AF314" s="32" t="e">
        <x:f>IF(A314&lt;=Dashboard!$F$17,AD314*Dashboard!$F$6,0)</x:f>
      </x:c>
      <x:c r="AG314" s="32" t="e">
        <x:f>IF(A314&lt;=Dashboard!$F$17,MIN(Dashboard!$F$10,AD314+AF314),0)</x:f>
      </x:c>
      <x:c r="AH314" s="32" t="e">
        <x:f>IF(A314&lt;=Dashboard!$F$17,MAX(0,AD314-MAX(0,AG314-AF314)),0)</x:f>
      </x:c>
      <x:c r="AI314" s="32" t="e">
        <x:f>IF(A314=1,AF314,AI313+AF314)</x:f>
      </x:c>
      <x:c r="AJ314" s="33"/>
      <x:c r="AK314" s="33"/>
      <x:c r="AL314" s="33"/>
      <x:c r="AM314" s="33"/>
    </x:row>
    <x:row r="315">
      <x:c r="A315" s="33" t="n">
        <x:v>303</x:v>
      </x:c>
      <x:c r="B315" s="32" t="e">
        <x:f>IF(A315=1,Dashboard!$F$14,F314)</x:f>
      </x:c>
      <x:c r="C315" s="32" t="n">
        <x:f>0</x:f>
        <x:v>0</x:v>
      </x:c>
      <x:c r="D315" s="32" t="e">
        <x:f>IF(A315&lt;=Dashboard!$F$15,B315*Dashboard!$F$6,0)</x:f>
      </x:c>
      <x:c r="E315" s="32" t="e">
        <x:f>IF(A315&lt;=Dashboard!$F$15,MIN(Dashboard!$F$10,B315+D315),0)</x:f>
      </x:c>
      <x:c r="F315" s="32" t="e">
        <x:f>IF(A315&lt;=Dashboard!$F$15,MAX(0,B315-MAX(0,E315-D315)),0)</x:f>
      </x:c>
      <x:c r="G315" s="32" t="e">
        <x:f>IF(A315=1,D315,G314+D315)</x:f>
      </x:c>
      <x:c r="H315" s="32"/>
      <x:c r="I315" s="32" t="e">
        <x:f>IF(A315=1,Dashboard!$F$14,M314)</x:f>
      </x:c>
      <x:c r="J315" s="32" t="e">
        <x:f>IF(A315&lt;=Dashboard!$F$17,MIN(I315,$B$5),0)</x:f>
      </x:c>
      <x:c r="K315" s="32" t="e">
        <x:f>IF(A315&lt;=Dashboard!$F$17,MAX(0,I315-J315)*Dashboard!$F$6,0)</x:f>
      </x:c>
      <x:c r="L315" s="32" t="e">
        <x:f>IF(A315&lt;=Dashboard!$F$17,MIN(Dashboard!$F$10,MAX(0,I315-J315)+K315),0)</x:f>
      </x:c>
      <x:c r="M315" s="32" t="e">
        <x:f>IF(A315&lt;=Dashboard!$F$17,MAX(0,I315-J315-MAX(0,L315-K315)),0)</x:f>
      </x:c>
      <x:c r="N315" s="32" t="e">
        <x:f>IF(A315=1,K315,N314+K315)</x:f>
      </x:c>
      <x:c r="O315" s="32"/>
      <x:c r="P315" s="32" t="e">
        <x:f>IF(A315=1,Dashboard!$F$14,T314)</x:f>
      </x:c>
      <x:c r="Q315" s="32" t="e">
        <x:f>IF(A315&lt;=Dashboard!$F$17,MIN(P315,$B$6*52/12),0)</x:f>
      </x:c>
      <x:c r="R315" s="32" t="e">
        <x:f>IF(A315&lt;=Dashboard!$F$17,MAX(0,P315-Q315)*Dashboard!$F$6,0)</x:f>
      </x:c>
      <x:c r="S315" s="32" t="e">
        <x:f>IF(A315&lt;=Dashboard!$F$17,MIN(Dashboard!$F$10,MAX(0,P315-Q315)+R315),0)</x:f>
      </x:c>
      <x:c r="T315" s="32" t="e">
        <x:f>IF(A315&lt;=Dashboard!$F$17,MAX(0,P315-Q315-MAX(0,S315-R315)),0)</x:f>
      </x:c>
      <x:c r="U315" s="32" t="e">
        <x:f>IF(A315=1,R315,U314+R315)</x:f>
      </x:c>
      <x:c r="V315" s="32"/>
      <x:c r="W315" s="32" t="e">
        <x:f>IF(A315=1,Dashboard!$F$14,AA314)</x:f>
      </x:c>
      <x:c r="X315" s="32" t="e">
        <x:f>IF(AND(A315&lt;=Dashboard!$F$17,MOD(A315-1,12)=0),MIN(W315,$B$7),0)</x:f>
      </x:c>
      <x:c r="Y315" s="32" t="e">
        <x:f>IF(A315&lt;=Dashboard!$F$17,MAX(0,W315-X315)*Dashboard!$F$6,0)</x:f>
      </x:c>
      <x:c r="Z315" s="32" t="e">
        <x:f>IF(A315&lt;=Dashboard!$F$17,MIN(Dashboard!$F$10,MAX(0,W315-X315)+Y315),0)</x:f>
      </x:c>
      <x:c r="AA315" s="32" t="e">
        <x:f>IF(A315&lt;=Dashboard!$F$17,MAX(0,W315-X315-MAX(0,Z315-Y315)),0)</x:f>
      </x:c>
      <x:c r="AB315" s="32" t="e">
        <x:f>IF(A315=1,Y315,AB314+Y315)</x:f>
      </x:c>
      <x:c r="AC315" s="32"/>
      <x:c r="AD315" s="32" t="e">
        <x:f>IF(A315=1,MAX(0,Dashboard!$F$14-$B$8),AG314)</x:f>
      </x:c>
      <x:c r="AE315" s="32" t="n">
        <x:f>0</x:f>
        <x:v>0</x:v>
      </x:c>
      <x:c r="AF315" s="32" t="e">
        <x:f>IF(A315&lt;=Dashboard!$F$17,AD315*Dashboard!$F$6,0)</x:f>
      </x:c>
      <x:c r="AG315" s="32" t="e">
        <x:f>IF(A315&lt;=Dashboard!$F$17,MIN(Dashboard!$F$10,AD315+AF315),0)</x:f>
      </x:c>
      <x:c r="AH315" s="32" t="e">
        <x:f>IF(A315&lt;=Dashboard!$F$17,MAX(0,AD315-MAX(0,AG315-AF315)),0)</x:f>
      </x:c>
      <x:c r="AI315" s="32" t="e">
        <x:f>IF(A315=1,AF315,AI314+AF315)</x:f>
      </x:c>
      <x:c r="AJ315" s="33"/>
      <x:c r="AK315" s="33"/>
      <x:c r="AL315" s="33"/>
      <x:c r="AM315" s="33"/>
    </x:row>
    <x:row r="316">
      <x:c r="A316" s="33" t="n">
        <x:v>304</x:v>
      </x:c>
      <x:c r="B316" s="32" t="e">
        <x:f>IF(A316=1,Dashboard!$F$14,F315)</x:f>
      </x:c>
      <x:c r="C316" s="32" t="n">
        <x:f>0</x:f>
        <x:v>0</x:v>
      </x:c>
      <x:c r="D316" s="32" t="e">
        <x:f>IF(A316&lt;=Dashboard!$F$15,B316*Dashboard!$F$6,0)</x:f>
      </x:c>
      <x:c r="E316" s="32" t="e">
        <x:f>IF(A316&lt;=Dashboard!$F$15,MIN(Dashboard!$F$10,B316+D316),0)</x:f>
      </x:c>
      <x:c r="F316" s="32" t="e">
        <x:f>IF(A316&lt;=Dashboard!$F$15,MAX(0,B316-MAX(0,E316-D316)),0)</x:f>
      </x:c>
      <x:c r="G316" s="32" t="e">
        <x:f>IF(A316=1,D316,G315+D316)</x:f>
      </x:c>
      <x:c r="H316" s="32"/>
      <x:c r="I316" s="32" t="e">
        <x:f>IF(A316=1,Dashboard!$F$14,M315)</x:f>
      </x:c>
      <x:c r="J316" s="32" t="e">
        <x:f>IF(A316&lt;=Dashboard!$F$17,MIN(I316,$B$5),0)</x:f>
      </x:c>
      <x:c r="K316" s="32" t="e">
        <x:f>IF(A316&lt;=Dashboard!$F$17,MAX(0,I316-J316)*Dashboard!$F$6,0)</x:f>
      </x:c>
      <x:c r="L316" s="32" t="e">
        <x:f>IF(A316&lt;=Dashboard!$F$17,MIN(Dashboard!$F$10,MAX(0,I316-J316)+K316),0)</x:f>
      </x:c>
      <x:c r="M316" s="32" t="e">
        <x:f>IF(A316&lt;=Dashboard!$F$17,MAX(0,I316-J316-MAX(0,L316-K316)),0)</x:f>
      </x:c>
      <x:c r="N316" s="32" t="e">
        <x:f>IF(A316=1,K316,N315+K316)</x:f>
      </x:c>
      <x:c r="O316" s="32"/>
      <x:c r="P316" s="32" t="e">
        <x:f>IF(A316=1,Dashboard!$F$14,T315)</x:f>
      </x:c>
      <x:c r="Q316" s="32" t="e">
        <x:f>IF(A316&lt;=Dashboard!$F$17,MIN(P316,$B$6*52/12),0)</x:f>
      </x:c>
      <x:c r="R316" s="32" t="e">
        <x:f>IF(A316&lt;=Dashboard!$F$17,MAX(0,P316-Q316)*Dashboard!$F$6,0)</x:f>
      </x:c>
      <x:c r="S316" s="32" t="e">
        <x:f>IF(A316&lt;=Dashboard!$F$17,MIN(Dashboard!$F$10,MAX(0,P316-Q316)+R316),0)</x:f>
      </x:c>
      <x:c r="T316" s="32" t="e">
        <x:f>IF(A316&lt;=Dashboard!$F$17,MAX(0,P316-Q316-MAX(0,S316-R316)),0)</x:f>
      </x:c>
      <x:c r="U316" s="32" t="e">
        <x:f>IF(A316=1,R316,U315+R316)</x:f>
      </x:c>
      <x:c r="V316" s="32"/>
      <x:c r="W316" s="32" t="e">
        <x:f>IF(A316=1,Dashboard!$F$14,AA315)</x:f>
      </x:c>
      <x:c r="X316" s="32" t="e">
        <x:f>IF(AND(A316&lt;=Dashboard!$F$17,MOD(A316-1,12)=0),MIN(W316,$B$7),0)</x:f>
      </x:c>
      <x:c r="Y316" s="32" t="e">
        <x:f>IF(A316&lt;=Dashboard!$F$17,MAX(0,W316-X316)*Dashboard!$F$6,0)</x:f>
      </x:c>
      <x:c r="Z316" s="32" t="e">
        <x:f>IF(A316&lt;=Dashboard!$F$17,MIN(Dashboard!$F$10,MAX(0,W316-X316)+Y316),0)</x:f>
      </x:c>
      <x:c r="AA316" s="32" t="e">
        <x:f>IF(A316&lt;=Dashboard!$F$17,MAX(0,W316-X316-MAX(0,Z316-Y316)),0)</x:f>
      </x:c>
      <x:c r="AB316" s="32" t="e">
        <x:f>IF(A316=1,Y316,AB315+Y316)</x:f>
      </x:c>
      <x:c r="AC316" s="32"/>
      <x:c r="AD316" s="32" t="e">
        <x:f>IF(A316=1,MAX(0,Dashboard!$F$14-$B$8),AG315)</x:f>
      </x:c>
      <x:c r="AE316" s="32" t="n">
        <x:f>0</x:f>
        <x:v>0</x:v>
      </x:c>
      <x:c r="AF316" s="32" t="e">
        <x:f>IF(A316&lt;=Dashboard!$F$17,AD316*Dashboard!$F$6,0)</x:f>
      </x:c>
      <x:c r="AG316" s="32" t="e">
        <x:f>IF(A316&lt;=Dashboard!$F$17,MIN(Dashboard!$F$10,AD316+AF316),0)</x:f>
      </x:c>
      <x:c r="AH316" s="32" t="e">
        <x:f>IF(A316&lt;=Dashboard!$F$17,MAX(0,AD316-MAX(0,AG316-AF316)),0)</x:f>
      </x:c>
      <x:c r="AI316" s="32" t="e">
        <x:f>IF(A316=1,AF316,AI315+AF316)</x:f>
      </x:c>
      <x:c r="AJ316" s="33"/>
      <x:c r="AK316" s="33"/>
      <x:c r="AL316" s="33"/>
      <x:c r="AM316" s="33"/>
    </x:row>
    <x:row r="317">
      <x:c r="A317" s="33" t="n">
        <x:v>305</x:v>
      </x:c>
      <x:c r="B317" s="32" t="e">
        <x:f>IF(A317=1,Dashboard!$F$14,F316)</x:f>
      </x:c>
      <x:c r="C317" s="32" t="n">
        <x:f>0</x:f>
        <x:v>0</x:v>
      </x:c>
      <x:c r="D317" s="32" t="e">
        <x:f>IF(A317&lt;=Dashboard!$F$15,B317*Dashboard!$F$6,0)</x:f>
      </x:c>
      <x:c r="E317" s="32" t="e">
        <x:f>IF(A317&lt;=Dashboard!$F$15,MIN(Dashboard!$F$10,B317+D317),0)</x:f>
      </x:c>
      <x:c r="F317" s="32" t="e">
        <x:f>IF(A317&lt;=Dashboard!$F$15,MAX(0,B317-MAX(0,E317-D317)),0)</x:f>
      </x:c>
      <x:c r="G317" s="32" t="e">
        <x:f>IF(A317=1,D317,G316+D317)</x:f>
      </x:c>
      <x:c r="H317" s="32"/>
      <x:c r="I317" s="32" t="e">
        <x:f>IF(A317=1,Dashboard!$F$14,M316)</x:f>
      </x:c>
      <x:c r="J317" s="32" t="e">
        <x:f>IF(A317&lt;=Dashboard!$F$17,MIN(I317,$B$5),0)</x:f>
      </x:c>
      <x:c r="K317" s="32" t="e">
        <x:f>IF(A317&lt;=Dashboard!$F$17,MAX(0,I317-J317)*Dashboard!$F$6,0)</x:f>
      </x:c>
      <x:c r="L317" s="32" t="e">
        <x:f>IF(A317&lt;=Dashboard!$F$17,MIN(Dashboard!$F$10,MAX(0,I317-J317)+K317),0)</x:f>
      </x:c>
      <x:c r="M317" s="32" t="e">
        <x:f>IF(A317&lt;=Dashboard!$F$17,MAX(0,I317-J317-MAX(0,L317-K317)),0)</x:f>
      </x:c>
      <x:c r="N317" s="32" t="e">
        <x:f>IF(A317=1,K317,N316+K317)</x:f>
      </x:c>
      <x:c r="O317" s="32"/>
      <x:c r="P317" s="32" t="e">
        <x:f>IF(A317=1,Dashboard!$F$14,T316)</x:f>
      </x:c>
      <x:c r="Q317" s="32" t="e">
        <x:f>IF(A317&lt;=Dashboard!$F$17,MIN(P317,$B$6*52/12),0)</x:f>
      </x:c>
      <x:c r="R317" s="32" t="e">
        <x:f>IF(A317&lt;=Dashboard!$F$17,MAX(0,P317-Q317)*Dashboard!$F$6,0)</x:f>
      </x:c>
      <x:c r="S317" s="32" t="e">
        <x:f>IF(A317&lt;=Dashboard!$F$17,MIN(Dashboard!$F$10,MAX(0,P317-Q317)+R317),0)</x:f>
      </x:c>
      <x:c r="T317" s="32" t="e">
        <x:f>IF(A317&lt;=Dashboard!$F$17,MAX(0,P317-Q317-MAX(0,S317-R317)),0)</x:f>
      </x:c>
      <x:c r="U317" s="32" t="e">
        <x:f>IF(A317=1,R317,U316+R317)</x:f>
      </x:c>
      <x:c r="V317" s="32"/>
      <x:c r="W317" s="32" t="e">
        <x:f>IF(A317=1,Dashboard!$F$14,AA316)</x:f>
      </x:c>
      <x:c r="X317" s="32" t="e">
        <x:f>IF(AND(A317&lt;=Dashboard!$F$17,MOD(A317-1,12)=0),MIN(W317,$B$7),0)</x:f>
      </x:c>
      <x:c r="Y317" s="32" t="e">
        <x:f>IF(A317&lt;=Dashboard!$F$17,MAX(0,W317-X317)*Dashboard!$F$6,0)</x:f>
      </x:c>
      <x:c r="Z317" s="32" t="e">
        <x:f>IF(A317&lt;=Dashboard!$F$17,MIN(Dashboard!$F$10,MAX(0,W317-X317)+Y317),0)</x:f>
      </x:c>
      <x:c r="AA317" s="32" t="e">
        <x:f>IF(A317&lt;=Dashboard!$F$17,MAX(0,W317-X317-MAX(0,Z317-Y317)),0)</x:f>
      </x:c>
      <x:c r="AB317" s="32" t="e">
        <x:f>IF(A317=1,Y317,AB316+Y317)</x:f>
      </x:c>
      <x:c r="AC317" s="32"/>
      <x:c r="AD317" s="32" t="e">
        <x:f>IF(A317=1,MAX(0,Dashboard!$F$14-$B$8),AG316)</x:f>
      </x:c>
      <x:c r="AE317" s="32" t="n">
        <x:f>0</x:f>
        <x:v>0</x:v>
      </x:c>
      <x:c r="AF317" s="32" t="e">
        <x:f>IF(A317&lt;=Dashboard!$F$17,AD317*Dashboard!$F$6,0)</x:f>
      </x:c>
      <x:c r="AG317" s="32" t="e">
        <x:f>IF(A317&lt;=Dashboard!$F$17,MIN(Dashboard!$F$10,AD317+AF317),0)</x:f>
      </x:c>
      <x:c r="AH317" s="32" t="e">
        <x:f>IF(A317&lt;=Dashboard!$F$17,MAX(0,AD317-MAX(0,AG317-AF317)),0)</x:f>
      </x:c>
      <x:c r="AI317" s="32" t="e">
        <x:f>IF(A317=1,AF317,AI316+AF317)</x:f>
      </x:c>
      <x:c r="AJ317" s="33"/>
      <x:c r="AK317" s="33"/>
      <x:c r="AL317" s="33"/>
      <x:c r="AM317" s="33"/>
    </x:row>
    <x:row r="318">
      <x:c r="A318" s="33" t="n">
        <x:v>306</x:v>
      </x:c>
      <x:c r="B318" s="32" t="e">
        <x:f>IF(A318=1,Dashboard!$F$14,F317)</x:f>
      </x:c>
      <x:c r="C318" s="32" t="n">
        <x:f>0</x:f>
        <x:v>0</x:v>
      </x:c>
      <x:c r="D318" s="32" t="e">
        <x:f>IF(A318&lt;=Dashboard!$F$15,B318*Dashboard!$F$6,0)</x:f>
      </x:c>
      <x:c r="E318" s="32" t="e">
        <x:f>IF(A318&lt;=Dashboard!$F$15,MIN(Dashboard!$F$10,B318+D318),0)</x:f>
      </x:c>
      <x:c r="F318" s="32" t="e">
        <x:f>IF(A318&lt;=Dashboard!$F$15,MAX(0,B318-MAX(0,E318-D318)),0)</x:f>
      </x:c>
      <x:c r="G318" s="32" t="e">
        <x:f>IF(A318=1,D318,G317+D318)</x:f>
      </x:c>
      <x:c r="H318" s="32"/>
      <x:c r="I318" s="32" t="e">
        <x:f>IF(A318=1,Dashboard!$F$14,M317)</x:f>
      </x:c>
      <x:c r="J318" s="32" t="e">
        <x:f>IF(A318&lt;=Dashboard!$F$17,MIN(I318,$B$5),0)</x:f>
      </x:c>
      <x:c r="K318" s="32" t="e">
        <x:f>IF(A318&lt;=Dashboard!$F$17,MAX(0,I318-J318)*Dashboard!$F$6,0)</x:f>
      </x:c>
      <x:c r="L318" s="32" t="e">
        <x:f>IF(A318&lt;=Dashboard!$F$17,MIN(Dashboard!$F$10,MAX(0,I318-J318)+K318),0)</x:f>
      </x:c>
      <x:c r="M318" s="32" t="e">
        <x:f>IF(A318&lt;=Dashboard!$F$17,MAX(0,I318-J318-MAX(0,L318-K318)),0)</x:f>
      </x:c>
      <x:c r="N318" s="32" t="e">
        <x:f>IF(A318=1,K318,N317+K318)</x:f>
      </x:c>
      <x:c r="O318" s="32"/>
      <x:c r="P318" s="32" t="e">
        <x:f>IF(A318=1,Dashboard!$F$14,T317)</x:f>
      </x:c>
      <x:c r="Q318" s="32" t="e">
        <x:f>IF(A318&lt;=Dashboard!$F$17,MIN(P318,$B$6*52/12),0)</x:f>
      </x:c>
      <x:c r="R318" s="32" t="e">
        <x:f>IF(A318&lt;=Dashboard!$F$17,MAX(0,P318-Q318)*Dashboard!$F$6,0)</x:f>
      </x:c>
      <x:c r="S318" s="32" t="e">
        <x:f>IF(A318&lt;=Dashboard!$F$17,MIN(Dashboard!$F$10,MAX(0,P318-Q318)+R318),0)</x:f>
      </x:c>
      <x:c r="T318" s="32" t="e">
        <x:f>IF(A318&lt;=Dashboard!$F$17,MAX(0,P318-Q318-MAX(0,S318-R318)),0)</x:f>
      </x:c>
      <x:c r="U318" s="32" t="e">
        <x:f>IF(A318=1,R318,U317+R318)</x:f>
      </x:c>
      <x:c r="V318" s="32"/>
      <x:c r="W318" s="32" t="e">
        <x:f>IF(A318=1,Dashboard!$F$14,AA317)</x:f>
      </x:c>
      <x:c r="X318" s="32" t="e">
        <x:f>IF(AND(A318&lt;=Dashboard!$F$17,MOD(A318-1,12)=0),MIN(W318,$B$7),0)</x:f>
      </x:c>
      <x:c r="Y318" s="32" t="e">
        <x:f>IF(A318&lt;=Dashboard!$F$17,MAX(0,W318-X318)*Dashboard!$F$6,0)</x:f>
      </x:c>
      <x:c r="Z318" s="32" t="e">
        <x:f>IF(A318&lt;=Dashboard!$F$17,MIN(Dashboard!$F$10,MAX(0,W318-X318)+Y318),0)</x:f>
      </x:c>
      <x:c r="AA318" s="32" t="e">
        <x:f>IF(A318&lt;=Dashboard!$F$17,MAX(0,W318-X318-MAX(0,Z318-Y318)),0)</x:f>
      </x:c>
      <x:c r="AB318" s="32" t="e">
        <x:f>IF(A318=1,Y318,AB317+Y318)</x:f>
      </x:c>
      <x:c r="AC318" s="32"/>
      <x:c r="AD318" s="32" t="e">
        <x:f>IF(A318=1,MAX(0,Dashboard!$F$14-$B$8),AG317)</x:f>
      </x:c>
      <x:c r="AE318" s="32" t="n">
        <x:f>0</x:f>
        <x:v>0</x:v>
      </x:c>
      <x:c r="AF318" s="32" t="e">
        <x:f>IF(A318&lt;=Dashboard!$F$17,AD318*Dashboard!$F$6,0)</x:f>
      </x:c>
      <x:c r="AG318" s="32" t="e">
        <x:f>IF(A318&lt;=Dashboard!$F$17,MIN(Dashboard!$F$10,AD318+AF318),0)</x:f>
      </x:c>
      <x:c r="AH318" s="32" t="e">
        <x:f>IF(A318&lt;=Dashboard!$F$17,MAX(0,AD318-MAX(0,AG318-AF318)),0)</x:f>
      </x:c>
      <x:c r="AI318" s="32" t="e">
        <x:f>IF(A318=1,AF318,AI317+AF318)</x:f>
      </x:c>
      <x:c r="AJ318" s="33"/>
      <x:c r="AK318" s="33"/>
      <x:c r="AL318" s="33"/>
      <x:c r="AM318" s="33"/>
    </x:row>
    <x:row r="319">
      <x:c r="A319" s="33" t="n">
        <x:v>307</x:v>
      </x:c>
      <x:c r="B319" s="32" t="e">
        <x:f>IF(A319=1,Dashboard!$F$14,F318)</x:f>
      </x:c>
      <x:c r="C319" s="32" t="n">
        <x:f>0</x:f>
        <x:v>0</x:v>
      </x:c>
      <x:c r="D319" s="32" t="e">
        <x:f>IF(A319&lt;=Dashboard!$F$15,B319*Dashboard!$F$6,0)</x:f>
      </x:c>
      <x:c r="E319" s="32" t="e">
        <x:f>IF(A319&lt;=Dashboard!$F$15,MIN(Dashboard!$F$10,B319+D319),0)</x:f>
      </x:c>
      <x:c r="F319" s="32" t="e">
        <x:f>IF(A319&lt;=Dashboard!$F$15,MAX(0,B319-MAX(0,E319-D319)),0)</x:f>
      </x:c>
      <x:c r="G319" s="32" t="e">
        <x:f>IF(A319=1,D319,G318+D319)</x:f>
      </x:c>
      <x:c r="H319" s="32"/>
      <x:c r="I319" s="32" t="e">
        <x:f>IF(A319=1,Dashboard!$F$14,M318)</x:f>
      </x:c>
      <x:c r="J319" s="32" t="e">
        <x:f>IF(A319&lt;=Dashboard!$F$17,MIN(I319,$B$5),0)</x:f>
      </x:c>
      <x:c r="K319" s="32" t="e">
        <x:f>IF(A319&lt;=Dashboard!$F$17,MAX(0,I319-J319)*Dashboard!$F$6,0)</x:f>
      </x:c>
      <x:c r="L319" s="32" t="e">
        <x:f>IF(A319&lt;=Dashboard!$F$17,MIN(Dashboard!$F$10,MAX(0,I319-J319)+K319),0)</x:f>
      </x:c>
      <x:c r="M319" s="32" t="e">
        <x:f>IF(A319&lt;=Dashboard!$F$17,MAX(0,I319-J319-MAX(0,L319-K319)),0)</x:f>
      </x:c>
      <x:c r="N319" s="32" t="e">
        <x:f>IF(A319=1,K319,N318+K319)</x:f>
      </x:c>
      <x:c r="O319" s="32"/>
      <x:c r="P319" s="32" t="e">
        <x:f>IF(A319=1,Dashboard!$F$14,T318)</x:f>
      </x:c>
      <x:c r="Q319" s="32" t="e">
        <x:f>IF(A319&lt;=Dashboard!$F$17,MIN(P319,$B$6*52/12),0)</x:f>
      </x:c>
      <x:c r="R319" s="32" t="e">
        <x:f>IF(A319&lt;=Dashboard!$F$17,MAX(0,P319-Q319)*Dashboard!$F$6,0)</x:f>
      </x:c>
      <x:c r="S319" s="32" t="e">
        <x:f>IF(A319&lt;=Dashboard!$F$17,MIN(Dashboard!$F$10,MAX(0,P319-Q319)+R319),0)</x:f>
      </x:c>
      <x:c r="T319" s="32" t="e">
        <x:f>IF(A319&lt;=Dashboard!$F$17,MAX(0,P319-Q319-MAX(0,S319-R319)),0)</x:f>
      </x:c>
      <x:c r="U319" s="32" t="e">
        <x:f>IF(A319=1,R319,U318+R319)</x:f>
      </x:c>
      <x:c r="V319" s="32"/>
      <x:c r="W319" s="32" t="e">
        <x:f>IF(A319=1,Dashboard!$F$14,AA318)</x:f>
      </x:c>
      <x:c r="X319" s="32" t="e">
        <x:f>IF(AND(A319&lt;=Dashboard!$F$17,MOD(A319-1,12)=0),MIN(W319,$B$7),0)</x:f>
      </x:c>
      <x:c r="Y319" s="32" t="e">
        <x:f>IF(A319&lt;=Dashboard!$F$17,MAX(0,W319-X319)*Dashboard!$F$6,0)</x:f>
      </x:c>
      <x:c r="Z319" s="32" t="e">
        <x:f>IF(A319&lt;=Dashboard!$F$17,MIN(Dashboard!$F$10,MAX(0,W319-X319)+Y319),0)</x:f>
      </x:c>
      <x:c r="AA319" s="32" t="e">
        <x:f>IF(A319&lt;=Dashboard!$F$17,MAX(0,W319-X319-MAX(0,Z319-Y319)),0)</x:f>
      </x:c>
      <x:c r="AB319" s="32" t="e">
        <x:f>IF(A319=1,Y319,AB318+Y319)</x:f>
      </x:c>
      <x:c r="AC319" s="32"/>
      <x:c r="AD319" s="32" t="e">
        <x:f>IF(A319=1,MAX(0,Dashboard!$F$14-$B$8),AG318)</x:f>
      </x:c>
      <x:c r="AE319" s="32" t="n">
        <x:f>0</x:f>
        <x:v>0</x:v>
      </x:c>
      <x:c r="AF319" s="32" t="e">
        <x:f>IF(A319&lt;=Dashboard!$F$17,AD319*Dashboard!$F$6,0)</x:f>
      </x:c>
      <x:c r="AG319" s="32" t="e">
        <x:f>IF(A319&lt;=Dashboard!$F$17,MIN(Dashboard!$F$10,AD319+AF319),0)</x:f>
      </x:c>
      <x:c r="AH319" s="32" t="e">
        <x:f>IF(A319&lt;=Dashboard!$F$17,MAX(0,AD319-MAX(0,AG319-AF319)),0)</x:f>
      </x:c>
      <x:c r="AI319" s="32" t="e">
        <x:f>IF(A319=1,AF319,AI318+AF319)</x:f>
      </x:c>
      <x:c r="AJ319" s="33"/>
      <x:c r="AK319" s="33"/>
      <x:c r="AL319" s="33"/>
      <x:c r="AM319" s="33"/>
    </x:row>
    <x:row r="320">
      <x:c r="A320" s="33" t="n">
        <x:v>308</x:v>
      </x:c>
      <x:c r="B320" s="32" t="e">
        <x:f>IF(A320=1,Dashboard!$F$14,F319)</x:f>
      </x:c>
      <x:c r="C320" s="32" t="n">
        <x:f>0</x:f>
        <x:v>0</x:v>
      </x:c>
      <x:c r="D320" s="32" t="e">
        <x:f>IF(A320&lt;=Dashboard!$F$15,B320*Dashboard!$F$6,0)</x:f>
      </x:c>
      <x:c r="E320" s="32" t="e">
        <x:f>IF(A320&lt;=Dashboard!$F$15,MIN(Dashboard!$F$10,B320+D320),0)</x:f>
      </x:c>
      <x:c r="F320" s="32" t="e">
        <x:f>IF(A320&lt;=Dashboard!$F$15,MAX(0,B320-MAX(0,E320-D320)),0)</x:f>
      </x:c>
      <x:c r="G320" s="32" t="e">
        <x:f>IF(A320=1,D320,G319+D320)</x:f>
      </x:c>
      <x:c r="H320" s="32"/>
      <x:c r="I320" s="32" t="e">
        <x:f>IF(A320=1,Dashboard!$F$14,M319)</x:f>
      </x:c>
      <x:c r="J320" s="32" t="e">
        <x:f>IF(A320&lt;=Dashboard!$F$17,MIN(I320,$B$5),0)</x:f>
      </x:c>
      <x:c r="K320" s="32" t="e">
        <x:f>IF(A320&lt;=Dashboard!$F$17,MAX(0,I320-J320)*Dashboard!$F$6,0)</x:f>
      </x:c>
      <x:c r="L320" s="32" t="e">
        <x:f>IF(A320&lt;=Dashboard!$F$17,MIN(Dashboard!$F$10,MAX(0,I320-J320)+K320),0)</x:f>
      </x:c>
      <x:c r="M320" s="32" t="e">
        <x:f>IF(A320&lt;=Dashboard!$F$17,MAX(0,I320-J320-MAX(0,L320-K320)),0)</x:f>
      </x:c>
      <x:c r="N320" s="32" t="e">
        <x:f>IF(A320=1,K320,N319+K320)</x:f>
      </x:c>
      <x:c r="O320" s="32"/>
      <x:c r="P320" s="32" t="e">
        <x:f>IF(A320=1,Dashboard!$F$14,T319)</x:f>
      </x:c>
      <x:c r="Q320" s="32" t="e">
        <x:f>IF(A320&lt;=Dashboard!$F$17,MIN(P320,$B$6*52/12),0)</x:f>
      </x:c>
      <x:c r="R320" s="32" t="e">
        <x:f>IF(A320&lt;=Dashboard!$F$17,MAX(0,P320-Q320)*Dashboard!$F$6,0)</x:f>
      </x:c>
      <x:c r="S320" s="32" t="e">
        <x:f>IF(A320&lt;=Dashboard!$F$17,MIN(Dashboard!$F$10,MAX(0,P320-Q320)+R320),0)</x:f>
      </x:c>
      <x:c r="T320" s="32" t="e">
        <x:f>IF(A320&lt;=Dashboard!$F$17,MAX(0,P320-Q320-MAX(0,S320-R320)),0)</x:f>
      </x:c>
      <x:c r="U320" s="32" t="e">
        <x:f>IF(A320=1,R320,U319+R320)</x:f>
      </x:c>
      <x:c r="V320" s="32"/>
      <x:c r="W320" s="32" t="e">
        <x:f>IF(A320=1,Dashboard!$F$14,AA319)</x:f>
      </x:c>
      <x:c r="X320" s="32" t="e">
        <x:f>IF(AND(A320&lt;=Dashboard!$F$17,MOD(A320-1,12)=0),MIN(W320,$B$7),0)</x:f>
      </x:c>
      <x:c r="Y320" s="32" t="e">
        <x:f>IF(A320&lt;=Dashboard!$F$17,MAX(0,W320-X320)*Dashboard!$F$6,0)</x:f>
      </x:c>
      <x:c r="Z320" s="32" t="e">
        <x:f>IF(A320&lt;=Dashboard!$F$17,MIN(Dashboard!$F$10,MAX(0,W320-X320)+Y320),0)</x:f>
      </x:c>
      <x:c r="AA320" s="32" t="e">
        <x:f>IF(A320&lt;=Dashboard!$F$17,MAX(0,W320-X320-MAX(0,Z320-Y320)),0)</x:f>
      </x:c>
      <x:c r="AB320" s="32" t="e">
        <x:f>IF(A320=1,Y320,AB319+Y320)</x:f>
      </x:c>
      <x:c r="AC320" s="32"/>
      <x:c r="AD320" s="32" t="e">
        <x:f>IF(A320=1,MAX(0,Dashboard!$F$14-$B$8),AG319)</x:f>
      </x:c>
      <x:c r="AE320" s="32" t="n">
        <x:f>0</x:f>
        <x:v>0</x:v>
      </x:c>
      <x:c r="AF320" s="32" t="e">
        <x:f>IF(A320&lt;=Dashboard!$F$17,AD320*Dashboard!$F$6,0)</x:f>
      </x:c>
      <x:c r="AG320" s="32" t="e">
        <x:f>IF(A320&lt;=Dashboard!$F$17,MIN(Dashboard!$F$10,AD320+AF320),0)</x:f>
      </x:c>
      <x:c r="AH320" s="32" t="e">
        <x:f>IF(A320&lt;=Dashboard!$F$17,MAX(0,AD320-MAX(0,AG320-AF320)),0)</x:f>
      </x:c>
      <x:c r="AI320" s="32" t="e">
        <x:f>IF(A320=1,AF320,AI319+AF320)</x:f>
      </x:c>
      <x:c r="AJ320" s="33"/>
      <x:c r="AK320" s="33"/>
      <x:c r="AL320" s="33"/>
      <x:c r="AM320" s="33"/>
    </x:row>
    <x:row r="321">
      <x:c r="A321" s="33" t="n">
        <x:v>309</x:v>
      </x:c>
      <x:c r="B321" s="32" t="e">
        <x:f>IF(A321=1,Dashboard!$F$14,F320)</x:f>
      </x:c>
      <x:c r="C321" s="32" t="n">
        <x:f>0</x:f>
        <x:v>0</x:v>
      </x:c>
      <x:c r="D321" s="32" t="e">
        <x:f>IF(A321&lt;=Dashboard!$F$15,B321*Dashboard!$F$6,0)</x:f>
      </x:c>
      <x:c r="E321" s="32" t="e">
        <x:f>IF(A321&lt;=Dashboard!$F$15,MIN(Dashboard!$F$10,B321+D321),0)</x:f>
      </x:c>
      <x:c r="F321" s="32" t="e">
        <x:f>IF(A321&lt;=Dashboard!$F$15,MAX(0,B321-MAX(0,E321-D321)),0)</x:f>
      </x:c>
      <x:c r="G321" s="32" t="e">
        <x:f>IF(A321=1,D321,G320+D321)</x:f>
      </x:c>
      <x:c r="H321" s="32"/>
      <x:c r="I321" s="32" t="e">
        <x:f>IF(A321=1,Dashboard!$F$14,M320)</x:f>
      </x:c>
      <x:c r="J321" s="32" t="e">
        <x:f>IF(A321&lt;=Dashboard!$F$17,MIN(I321,$B$5),0)</x:f>
      </x:c>
      <x:c r="K321" s="32" t="e">
        <x:f>IF(A321&lt;=Dashboard!$F$17,MAX(0,I321-J321)*Dashboard!$F$6,0)</x:f>
      </x:c>
      <x:c r="L321" s="32" t="e">
        <x:f>IF(A321&lt;=Dashboard!$F$17,MIN(Dashboard!$F$10,MAX(0,I321-J321)+K321),0)</x:f>
      </x:c>
      <x:c r="M321" s="32" t="e">
        <x:f>IF(A321&lt;=Dashboard!$F$17,MAX(0,I321-J321-MAX(0,L321-K321)),0)</x:f>
      </x:c>
      <x:c r="N321" s="32" t="e">
        <x:f>IF(A321=1,K321,N320+K321)</x:f>
      </x:c>
      <x:c r="O321" s="32"/>
      <x:c r="P321" s="32" t="e">
        <x:f>IF(A321=1,Dashboard!$F$14,T320)</x:f>
      </x:c>
      <x:c r="Q321" s="32" t="e">
        <x:f>IF(A321&lt;=Dashboard!$F$17,MIN(P321,$B$6*52/12),0)</x:f>
      </x:c>
      <x:c r="R321" s="32" t="e">
        <x:f>IF(A321&lt;=Dashboard!$F$17,MAX(0,P321-Q321)*Dashboard!$F$6,0)</x:f>
      </x:c>
      <x:c r="S321" s="32" t="e">
        <x:f>IF(A321&lt;=Dashboard!$F$17,MIN(Dashboard!$F$10,MAX(0,P321-Q321)+R321),0)</x:f>
      </x:c>
      <x:c r="T321" s="32" t="e">
        <x:f>IF(A321&lt;=Dashboard!$F$17,MAX(0,P321-Q321-MAX(0,S321-R321)),0)</x:f>
      </x:c>
      <x:c r="U321" s="32" t="e">
        <x:f>IF(A321=1,R321,U320+R321)</x:f>
      </x:c>
      <x:c r="V321" s="32"/>
      <x:c r="W321" s="32" t="e">
        <x:f>IF(A321=1,Dashboard!$F$14,AA320)</x:f>
      </x:c>
      <x:c r="X321" s="32" t="e">
        <x:f>IF(AND(A321&lt;=Dashboard!$F$17,MOD(A321-1,12)=0),MIN(W321,$B$7),0)</x:f>
      </x:c>
      <x:c r="Y321" s="32" t="e">
        <x:f>IF(A321&lt;=Dashboard!$F$17,MAX(0,W321-X321)*Dashboard!$F$6,0)</x:f>
      </x:c>
      <x:c r="Z321" s="32" t="e">
        <x:f>IF(A321&lt;=Dashboard!$F$17,MIN(Dashboard!$F$10,MAX(0,W321-X321)+Y321),0)</x:f>
      </x:c>
      <x:c r="AA321" s="32" t="e">
        <x:f>IF(A321&lt;=Dashboard!$F$17,MAX(0,W321-X321-MAX(0,Z321-Y321)),0)</x:f>
      </x:c>
      <x:c r="AB321" s="32" t="e">
        <x:f>IF(A321=1,Y321,AB320+Y321)</x:f>
      </x:c>
      <x:c r="AC321" s="32"/>
      <x:c r="AD321" s="32" t="e">
        <x:f>IF(A321=1,MAX(0,Dashboard!$F$14-$B$8),AG320)</x:f>
      </x:c>
      <x:c r="AE321" s="32" t="n">
        <x:f>0</x:f>
        <x:v>0</x:v>
      </x:c>
      <x:c r="AF321" s="32" t="e">
        <x:f>IF(A321&lt;=Dashboard!$F$17,AD321*Dashboard!$F$6,0)</x:f>
      </x:c>
      <x:c r="AG321" s="32" t="e">
        <x:f>IF(A321&lt;=Dashboard!$F$17,MIN(Dashboard!$F$10,AD321+AF321),0)</x:f>
      </x:c>
      <x:c r="AH321" s="32" t="e">
        <x:f>IF(A321&lt;=Dashboard!$F$17,MAX(0,AD321-MAX(0,AG321-AF321)),0)</x:f>
      </x:c>
      <x:c r="AI321" s="32" t="e">
        <x:f>IF(A321=1,AF321,AI320+AF321)</x:f>
      </x:c>
      <x:c r="AJ321" s="33"/>
      <x:c r="AK321" s="33"/>
      <x:c r="AL321" s="33"/>
      <x:c r="AM321" s="33"/>
    </x:row>
    <x:row r="322">
      <x:c r="A322" s="33" t="n">
        <x:v>310</x:v>
      </x:c>
      <x:c r="B322" s="32" t="e">
        <x:f>IF(A322=1,Dashboard!$F$14,F321)</x:f>
      </x:c>
      <x:c r="C322" s="32" t="n">
        <x:f>0</x:f>
        <x:v>0</x:v>
      </x:c>
      <x:c r="D322" s="32" t="e">
        <x:f>IF(A322&lt;=Dashboard!$F$15,B322*Dashboard!$F$6,0)</x:f>
      </x:c>
      <x:c r="E322" s="32" t="e">
        <x:f>IF(A322&lt;=Dashboard!$F$15,MIN(Dashboard!$F$10,B322+D322),0)</x:f>
      </x:c>
      <x:c r="F322" s="32" t="e">
        <x:f>IF(A322&lt;=Dashboard!$F$15,MAX(0,B322-MAX(0,E322-D322)),0)</x:f>
      </x:c>
      <x:c r="G322" s="32" t="e">
        <x:f>IF(A322=1,D322,G321+D322)</x:f>
      </x:c>
      <x:c r="H322" s="32"/>
      <x:c r="I322" s="32" t="e">
        <x:f>IF(A322=1,Dashboard!$F$14,M321)</x:f>
      </x:c>
      <x:c r="J322" s="32" t="e">
        <x:f>IF(A322&lt;=Dashboard!$F$17,MIN(I322,$B$5),0)</x:f>
      </x:c>
      <x:c r="K322" s="32" t="e">
        <x:f>IF(A322&lt;=Dashboard!$F$17,MAX(0,I322-J322)*Dashboard!$F$6,0)</x:f>
      </x:c>
      <x:c r="L322" s="32" t="e">
        <x:f>IF(A322&lt;=Dashboard!$F$17,MIN(Dashboard!$F$10,MAX(0,I322-J322)+K322),0)</x:f>
      </x:c>
      <x:c r="M322" s="32" t="e">
        <x:f>IF(A322&lt;=Dashboard!$F$17,MAX(0,I322-J322-MAX(0,L322-K322)),0)</x:f>
      </x:c>
      <x:c r="N322" s="32" t="e">
        <x:f>IF(A322=1,K322,N321+K322)</x:f>
      </x:c>
      <x:c r="O322" s="32"/>
      <x:c r="P322" s="32" t="e">
        <x:f>IF(A322=1,Dashboard!$F$14,T321)</x:f>
      </x:c>
      <x:c r="Q322" s="32" t="e">
        <x:f>IF(A322&lt;=Dashboard!$F$17,MIN(P322,$B$6*52/12),0)</x:f>
      </x:c>
      <x:c r="R322" s="32" t="e">
        <x:f>IF(A322&lt;=Dashboard!$F$17,MAX(0,P322-Q322)*Dashboard!$F$6,0)</x:f>
      </x:c>
      <x:c r="S322" s="32" t="e">
        <x:f>IF(A322&lt;=Dashboard!$F$17,MIN(Dashboard!$F$10,MAX(0,P322-Q322)+R322),0)</x:f>
      </x:c>
      <x:c r="T322" s="32" t="e">
        <x:f>IF(A322&lt;=Dashboard!$F$17,MAX(0,P322-Q322-MAX(0,S322-R322)),0)</x:f>
      </x:c>
      <x:c r="U322" s="32" t="e">
        <x:f>IF(A322=1,R322,U321+R322)</x:f>
      </x:c>
      <x:c r="V322" s="32"/>
      <x:c r="W322" s="32" t="e">
        <x:f>IF(A322=1,Dashboard!$F$14,AA321)</x:f>
      </x:c>
      <x:c r="X322" s="32" t="e">
        <x:f>IF(AND(A322&lt;=Dashboard!$F$17,MOD(A322-1,12)=0),MIN(W322,$B$7),0)</x:f>
      </x:c>
      <x:c r="Y322" s="32" t="e">
        <x:f>IF(A322&lt;=Dashboard!$F$17,MAX(0,W322-X322)*Dashboard!$F$6,0)</x:f>
      </x:c>
      <x:c r="Z322" s="32" t="e">
        <x:f>IF(A322&lt;=Dashboard!$F$17,MIN(Dashboard!$F$10,MAX(0,W322-X322)+Y322),0)</x:f>
      </x:c>
      <x:c r="AA322" s="32" t="e">
        <x:f>IF(A322&lt;=Dashboard!$F$17,MAX(0,W322-X322-MAX(0,Z322-Y322)),0)</x:f>
      </x:c>
      <x:c r="AB322" s="32" t="e">
        <x:f>IF(A322=1,Y322,AB321+Y322)</x:f>
      </x:c>
      <x:c r="AC322" s="32"/>
      <x:c r="AD322" s="32" t="e">
        <x:f>IF(A322=1,MAX(0,Dashboard!$F$14-$B$8),AG321)</x:f>
      </x:c>
      <x:c r="AE322" s="32" t="n">
        <x:f>0</x:f>
        <x:v>0</x:v>
      </x:c>
      <x:c r="AF322" s="32" t="e">
        <x:f>IF(A322&lt;=Dashboard!$F$17,AD322*Dashboard!$F$6,0)</x:f>
      </x:c>
      <x:c r="AG322" s="32" t="e">
        <x:f>IF(A322&lt;=Dashboard!$F$17,MIN(Dashboard!$F$10,AD322+AF322),0)</x:f>
      </x:c>
      <x:c r="AH322" s="32" t="e">
        <x:f>IF(A322&lt;=Dashboard!$F$17,MAX(0,AD322-MAX(0,AG322-AF322)),0)</x:f>
      </x:c>
      <x:c r="AI322" s="32" t="e">
        <x:f>IF(A322=1,AF322,AI321+AF322)</x:f>
      </x:c>
      <x:c r="AJ322" s="33"/>
      <x:c r="AK322" s="33"/>
      <x:c r="AL322" s="33"/>
      <x:c r="AM322" s="33"/>
    </x:row>
    <x:row r="323">
      <x:c r="A323" s="33" t="n">
        <x:v>311</x:v>
      </x:c>
      <x:c r="B323" s="32" t="e">
        <x:f>IF(A323=1,Dashboard!$F$14,F322)</x:f>
      </x:c>
      <x:c r="C323" s="32" t="n">
        <x:f>0</x:f>
        <x:v>0</x:v>
      </x:c>
      <x:c r="D323" s="32" t="e">
        <x:f>IF(A323&lt;=Dashboard!$F$15,B323*Dashboard!$F$6,0)</x:f>
      </x:c>
      <x:c r="E323" s="32" t="e">
        <x:f>IF(A323&lt;=Dashboard!$F$15,MIN(Dashboard!$F$10,B323+D323),0)</x:f>
      </x:c>
      <x:c r="F323" s="32" t="e">
        <x:f>IF(A323&lt;=Dashboard!$F$15,MAX(0,B323-MAX(0,E323-D323)),0)</x:f>
      </x:c>
      <x:c r="G323" s="32" t="e">
        <x:f>IF(A323=1,D323,G322+D323)</x:f>
      </x:c>
      <x:c r="H323" s="32"/>
      <x:c r="I323" s="32" t="e">
        <x:f>IF(A323=1,Dashboard!$F$14,M322)</x:f>
      </x:c>
      <x:c r="J323" s="32" t="e">
        <x:f>IF(A323&lt;=Dashboard!$F$17,MIN(I323,$B$5),0)</x:f>
      </x:c>
      <x:c r="K323" s="32" t="e">
        <x:f>IF(A323&lt;=Dashboard!$F$17,MAX(0,I323-J323)*Dashboard!$F$6,0)</x:f>
      </x:c>
      <x:c r="L323" s="32" t="e">
        <x:f>IF(A323&lt;=Dashboard!$F$17,MIN(Dashboard!$F$10,MAX(0,I323-J323)+K323),0)</x:f>
      </x:c>
      <x:c r="M323" s="32" t="e">
        <x:f>IF(A323&lt;=Dashboard!$F$17,MAX(0,I323-J323-MAX(0,L323-K323)),0)</x:f>
      </x:c>
      <x:c r="N323" s="32" t="e">
        <x:f>IF(A323=1,K323,N322+K323)</x:f>
      </x:c>
      <x:c r="O323" s="32"/>
      <x:c r="P323" s="32" t="e">
        <x:f>IF(A323=1,Dashboard!$F$14,T322)</x:f>
      </x:c>
      <x:c r="Q323" s="32" t="e">
        <x:f>IF(A323&lt;=Dashboard!$F$17,MIN(P323,$B$6*52/12),0)</x:f>
      </x:c>
      <x:c r="R323" s="32" t="e">
        <x:f>IF(A323&lt;=Dashboard!$F$17,MAX(0,P323-Q323)*Dashboard!$F$6,0)</x:f>
      </x:c>
      <x:c r="S323" s="32" t="e">
        <x:f>IF(A323&lt;=Dashboard!$F$17,MIN(Dashboard!$F$10,MAX(0,P323-Q323)+R323),0)</x:f>
      </x:c>
      <x:c r="T323" s="32" t="e">
        <x:f>IF(A323&lt;=Dashboard!$F$17,MAX(0,P323-Q323-MAX(0,S323-R323)),0)</x:f>
      </x:c>
      <x:c r="U323" s="32" t="e">
        <x:f>IF(A323=1,R323,U322+R323)</x:f>
      </x:c>
      <x:c r="V323" s="32"/>
      <x:c r="W323" s="32" t="e">
        <x:f>IF(A323=1,Dashboard!$F$14,AA322)</x:f>
      </x:c>
      <x:c r="X323" s="32" t="e">
        <x:f>IF(AND(A323&lt;=Dashboard!$F$17,MOD(A323-1,12)=0),MIN(W323,$B$7),0)</x:f>
      </x:c>
      <x:c r="Y323" s="32" t="e">
        <x:f>IF(A323&lt;=Dashboard!$F$17,MAX(0,W323-X323)*Dashboard!$F$6,0)</x:f>
      </x:c>
      <x:c r="Z323" s="32" t="e">
        <x:f>IF(A323&lt;=Dashboard!$F$17,MIN(Dashboard!$F$10,MAX(0,W323-X323)+Y323),0)</x:f>
      </x:c>
      <x:c r="AA323" s="32" t="e">
        <x:f>IF(A323&lt;=Dashboard!$F$17,MAX(0,W323-X323-MAX(0,Z323-Y323)),0)</x:f>
      </x:c>
      <x:c r="AB323" s="32" t="e">
        <x:f>IF(A323=1,Y323,AB322+Y323)</x:f>
      </x:c>
      <x:c r="AC323" s="32"/>
      <x:c r="AD323" s="32" t="e">
        <x:f>IF(A323=1,MAX(0,Dashboard!$F$14-$B$8),AG322)</x:f>
      </x:c>
      <x:c r="AE323" s="32" t="n">
        <x:f>0</x:f>
        <x:v>0</x:v>
      </x:c>
      <x:c r="AF323" s="32" t="e">
        <x:f>IF(A323&lt;=Dashboard!$F$17,AD323*Dashboard!$F$6,0)</x:f>
      </x:c>
      <x:c r="AG323" s="32" t="e">
        <x:f>IF(A323&lt;=Dashboard!$F$17,MIN(Dashboard!$F$10,AD323+AF323),0)</x:f>
      </x:c>
      <x:c r="AH323" s="32" t="e">
        <x:f>IF(A323&lt;=Dashboard!$F$17,MAX(0,AD323-MAX(0,AG323-AF323)),0)</x:f>
      </x:c>
      <x:c r="AI323" s="32" t="e">
        <x:f>IF(A323=1,AF323,AI322+AF323)</x:f>
      </x:c>
      <x:c r="AJ323" s="33"/>
      <x:c r="AK323" s="33"/>
      <x:c r="AL323" s="33"/>
      <x:c r="AM323" s="33"/>
    </x:row>
    <x:row r="324">
      <x:c r="A324" s="33" t="n">
        <x:v>312</x:v>
      </x:c>
      <x:c r="B324" s="32" t="e">
        <x:f>IF(A324=1,Dashboard!$F$14,F323)</x:f>
      </x:c>
      <x:c r="C324" s="32" t="n">
        <x:f>0</x:f>
        <x:v>0</x:v>
      </x:c>
      <x:c r="D324" s="32" t="e">
        <x:f>IF(A324&lt;=Dashboard!$F$15,B324*Dashboard!$F$6,0)</x:f>
      </x:c>
      <x:c r="E324" s="32" t="e">
        <x:f>IF(A324&lt;=Dashboard!$F$15,MIN(Dashboard!$F$10,B324+D324),0)</x:f>
      </x:c>
      <x:c r="F324" s="32" t="e">
        <x:f>IF(A324&lt;=Dashboard!$F$15,MAX(0,B324-MAX(0,E324-D324)),0)</x:f>
      </x:c>
      <x:c r="G324" s="32" t="e">
        <x:f>IF(A324=1,D324,G323+D324)</x:f>
      </x:c>
      <x:c r="H324" s="32"/>
      <x:c r="I324" s="32" t="e">
        <x:f>IF(A324=1,Dashboard!$F$14,M323)</x:f>
      </x:c>
      <x:c r="J324" s="32" t="e">
        <x:f>IF(A324&lt;=Dashboard!$F$17,MIN(I324,$B$5),0)</x:f>
      </x:c>
      <x:c r="K324" s="32" t="e">
        <x:f>IF(A324&lt;=Dashboard!$F$17,MAX(0,I324-J324)*Dashboard!$F$6,0)</x:f>
      </x:c>
      <x:c r="L324" s="32" t="e">
        <x:f>IF(A324&lt;=Dashboard!$F$17,MIN(Dashboard!$F$10,MAX(0,I324-J324)+K324),0)</x:f>
      </x:c>
      <x:c r="M324" s="32" t="e">
        <x:f>IF(A324&lt;=Dashboard!$F$17,MAX(0,I324-J324-MAX(0,L324-K324)),0)</x:f>
      </x:c>
      <x:c r="N324" s="32" t="e">
        <x:f>IF(A324=1,K324,N323+K324)</x:f>
      </x:c>
      <x:c r="O324" s="32"/>
      <x:c r="P324" s="32" t="e">
        <x:f>IF(A324=1,Dashboard!$F$14,T323)</x:f>
      </x:c>
      <x:c r="Q324" s="32" t="e">
        <x:f>IF(A324&lt;=Dashboard!$F$17,MIN(P324,$B$6*52/12),0)</x:f>
      </x:c>
      <x:c r="R324" s="32" t="e">
        <x:f>IF(A324&lt;=Dashboard!$F$17,MAX(0,P324-Q324)*Dashboard!$F$6,0)</x:f>
      </x:c>
      <x:c r="S324" s="32" t="e">
        <x:f>IF(A324&lt;=Dashboard!$F$17,MIN(Dashboard!$F$10,MAX(0,P324-Q324)+R324),0)</x:f>
      </x:c>
      <x:c r="T324" s="32" t="e">
        <x:f>IF(A324&lt;=Dashboard!$F$17,MAX(0,P324-Q324-MAX(0,S324-R324)),0)</x:f>
      </x:c>
      <x:c r="U324" s="32" t="e">
        <x:f>IF(A324=1,R324,U323+R324)</x:f>
      </x:c>
      <x:c r="V324" s="32"/>
      <x:c r="W324" s="32" t="e">
        <x:f>IF(A324=1,Dashboard!$F$14,AA323)</x:f>
      </x:c>
      <x:c r="X324" s="32" t="e">
        <x:f>IF(AND(A324&lt;=Dashboard!$F$17,MOD(A324-1,12)=0),MIN(W324,$B$7),0)</x:f>
      </x:c>
      <x:c r="Y324" s="32" t="e">
        <x:f>IF(A324&lt;=Dashboard!$F$17,MAX(0,W324-X324)*Dashboard!$F$6,0)</x:f>
      </x:c>
      <x:c r="Z324" s="32" t="e">
        <x:f>IF(A324&lt;=Dashboard!$F$17,MIN(Dashboard!$F$10,MAX(0,W324-X324)+Y324),0)</x:f>
      </x:c>
      <x:c r="AA324" s="32" t="e">
        <x:f>IF(A324&lt;=Dashboard!$F$17,MAX(0,W324-X324-MAX(0,Z324-Y324)),0)</x:f>
      </x:c>
      <x:c r="AB324" s="32" t="e">
        <x:f>IF(A324=1,Y324,AB323+Y324)</x:f>
      </x:c>
      <x:c r="AC324" s="32"/>
      <x:c r="AD324" s="32" t="e">
        <x:f>IF(A324=1,MAX(0,Dashboard!$F$14-$B$8),AG323)</x:f>
      </x:c>
      <x:c r="AE324" s="32" t="n">
        <x:f>0</x:f>
        <x:v>0</x:v>
      </x:c>
      <x:c r="AF324" s="32" t="e">
        <x:f>IF(A324&lt;=Dashboard!$F$17,AD324*Dashboard!$F$6,0)</x:f>
      </x:c>
      <x:c r="AG324" s="32" t="e">
        <x:f>IF(A324&lt;=Dashboard!$F$17,MIN(Dashboard!$F$10,AD324+AF324),0)</x:f>
      </x:c>
      <x:c r="AH324" s="32" t="e">
        <x:f>IF(A324&lt;=Dashboard!$F$17,MAX(0,AD324-MAX(0,AG324-AF324)),0)</x:f>
      </x:c>
      <x:c r="AI324" s="32" t="e">
        <x:f>IF(A324=1,AF324,AI323+AF324)</x:f>
      </x:c>
      <x:c r="AJ324" s="33"/>
      <x:c r="AK324" s="33"/>
      <x:c r="AL324" s="33"/>
      <x:c r="AM324" s="33"/>
    </x:row>
    <x:row r="325">
      <x:c r="A325" s="33" t="n">
        <x:v>313</x:v>
      </x:c>
      <x:c r="B325" s="32" t="e">
        <x:f>IF(A325=1,Dashboard!$F$14,F324)</x:f>
      </x:c>
      <x:c r="C325" s="32" t="n">
        <x:f>0</x:f>
        <x:v>0</x:v>
      </x:c>
      <x:c r="D325" s="32" t="e">
        <x:f>IF(A325&lt;=Dashboard!$F$15,B325*Dashboard!$F$6,0)</x:f>
      </x:c>
      <x:c r="E325" s="32" t="e">
        <x:f>IF(A325&lt;=Dashboard!$F$15,MIN(Dashboard!$F$10,B325+D325),0)</x:f>
      </x:c>
      <x:c r="F325" s="32" t="e">
        <x:f>IF(A325&lt;=Dashboard!$F$15,MAX(0,B325-MAX(0,E325-D325)),0)</x:f>
      </x:c>
      <x:c r="G325" s="32" t="e">
        <x:f>IF(A325=1,D325,G324+D325)</x:f>
      </x:c>
      <x:c r="H325" s="32"/>
      <x:c r="I325" s="32" t="e">
        <x:f>IF(A325=1,Dashboard!$F$14,M324)</x:f>
      </x:c>
      <x:c r="J325" s="32" t="e">
        <x:f>IF(A325&lt;=Dashboard!$F$17,MIN(I325,$B$5),0)</x:f>
      </x:c>
      <x:c r="K325" s="32" t="e">
        <x:f>IF(A325&lt;=Dashboard!$F$17,MAX(0,I325-J325)*Dashboard!$F$6,0)</x:f>
      </x:c>
      <x:c r="L325" s="32" t="e">
        <x:f>IF(A325&lt;=Dashboard!$F$17,MIN(Dashboard!$F$10,MAX(0,I325-J325)+K325),0)</x:f>
      </x:c>
      <x:c r="M325" s="32" t="e">
        <x:f>IF(A325&lt;=Dashboard!$F$17,MAX(0,I325-J325-MAX(0,L325-K325)),0)</x:f>
      </x:c>
      <x:c r="N325" s="32" t="e">
        <x:f>IF(A325=1,K325,N324+K325)</x:f>
      </x:c>
      <x:c r="O325" s="32"/>
      <x:c r="P325" s="32" t="e">
        <x:f>IF(A325=1,Dashboard!$F$14,T324)</x:f>
      </x:c>
      <x:c r="Q325" s="32" t="e">
        <x:f>IF(A325&lt;=Dashboard!$F$17,MIN(P325,$B$6*52/12),0)</x:f>
      </x:c>
      <x:c r="R325" s="32" t="e">
        <x:f>IF(A325&lt;=Dashboard!$F$17,MAX(0,P325-Q325)*Dashboard!$F$6,0)</x:f>
      </x:c>
      <x:c r="S325" s="32" t="e">
        <x:f>IF(A325&lt;=Dashboard!$F$17,MIN(Dashboard!$F$10,MAX(0,P325-Q325)+R325),0)</x:f>
      </x:c>
      <x:c r="T325" s="32" t="e">
        <x:f>IF(A325&lt;=Dashboard!$F$17,MAX(0,P325-Q325-MAX(0,S325-R325)),0)</x:f>
      </x:c>
      <x:c r="U325" s="32" t="e">
        <x:f>IF(A325=1,R325,U324+R325)</x:f>
      </x:c>
      <x:c r="V325" s="32"/>
      <x:c r="W325" s="32" t="e">
        <x:f>IF(A325=1,Dashboard!$F$14,AA324)</x:f>
      </x:c>
      <x:c r="X325" s="32" t="e">
        <x:f>IF(AND(A325&lt;=Dashboard!$F$17,MOD(A325-1,12)=0),MIN(W325,$B$7),0)</x:f>
      </x:c>
      <x:c r="Y325" s="32" t="e">
        <x:f>IF(A325&lt;=Dashboard!$F$17,MAX(0,W325-X325)*Dashboard!$F$6,0)</x:f>
      </x:c>
      <x:c r="Z325" s="32" t="e">
        <x:f>IF(A325&lt;=Dashboard!$F$17,MIN(Dashboard!$F$10,MAX(0,W325-X325)+Y325),0)</x:f>
      </x:c>
      <x:c r="AA325" s="32" t="e">
        <x:f>IF(A325&lt;=Dashboard!$F$17,MAX(0,W325-X325-MAX(0,Z325-Y325)),0)</x:f>
      </x:c>
      <x:c r="AB325" s="32" t="e">
        <x:f>IF(A325=1,Y325,AB324+Y325)</x:f>
      </x:c>
      <x:c r="AC325" s="32"/>
      <x:c r="AD325" s="32" t="e">
        <x:f>IF(A325=1,MAX(0,Dashboard!$F$14-$B$8),AG324)</x:f>
      </x:c>
      <x:c r="AE325" s="32" t="n">
        <x:f>0</x:f>
        <x:v>0</x:v>
      </x:c>
      <x:c r="AF325" s="32" t="e">
        <x:f>IF(A325&lt;=Dashboard!$F$17,AD325*Dashboard!$F$6,0)</x:f>
      </x:c>
      <x:c r="AG325" s="32" t="e">
        <x:f>IF(A325&lt;=Dashboard!$F$17,MIN(Dashboard!$F$10,AD325+AF325),0)</x:f>
      </x:c>
      <x:c r="AH325" s="32" t="e">
        <x:f>IF(A325&lt;=Dashboard!$F$17,MAX(0,AD325-MAX(0,AG325-AF325)),0)</x:f>
      </x:c>
      <x:c r="AI325" s="32" t="e">
        <x:f>IF(A325=1,AF325,AI324+AF325)</x:f>
      </x:c>
      <x:c r="AJ325" s="33"/>
      <x:c r="AK325" s="33"/>
      <x:c r="AL325" s="33"/>
      <x:c r="AM325" s="33"/>
    </x:row>
    <x:row r="326">
      <x:c r="A326" s="33" t="n">
        <x:v>314</x:v>
      </x:c>
      <x:c r="B326" s="32" t="e">
        <x:f>IF(A326=1,Dashboard!$F$14,F325)</x:f>
      </x:c>
      <x:c r="C326" s="32" t="n">
        <x:f>0</x:f>
        <x:v>0</x:v>
      </x:c>
      <x:c r="D326" s="32" t="e">
        <x:f>IF(A326&lt;=Dashboard!$F$15,B326*Dashboard!$F$6,0)</x:f>
      </x:c>
      <x:c r="E326" s="32" t="e">
        <x:f>IF(A326&lt;=Dashboard!$F$15,MIN(Dashboard!$F$10,B326+D326),0)</x:f>
      </x:c>
      <x:c r="F326" s="32" t="e">
        <x:f>IF(A326&lt;=Dashboard!$F$15,MAX(0,B326-MAX(0,E326-D326)),0)</x:f>
      </x:c>
      <x:c r="G326" s="32" t="e">
        <x:f>IF(A326=1,D326,G325+D326)</x:f>
      </x:c>
      <x:c r="H326" s="32"/>
      <x:c r="I326" s="32" t="e">
        <x:f>IF(A326=1,Dashboard!$F$14,M325)</x:f>
      </x:c>
      <x:c r="J326" s="32" t="e">
        <x:f>IF(A326&lt;=Dashboard!$F$17,MIN(I326,$B$5),0)</x:f>
      </x:c>
      <x:c r="K326" s="32" t="e">
        <x:f>IF(A326&lt;=Dashboard!$F$17,MAX(0,I326-J326)*Dashboard!$F$6,0)</x:f>
      </x:c>
      <x:c r="L326" s="32" t="e">
        <x:f>IF(A326&lt;=Dashboard!$F$17,MIN(Dashboard!$F$10,MAX(0,I326-J326)+K326),0)</x:f>
      </x:c>
      <x:c r="M326" s="32" t="e">
        <x:f>IF(A326&lt;=Dashboard!$F$17,MAX(0,I326-J326-MAX(0,L326-K326)),0)</x:f>
      </x:c>
      <x:c r="N326" s="32" t="e">
        <x:f>IF(A326=1,K326,N325+K326)</x:f>
      </x:c>
      <x:c r="O326" s="32"/>
      <x:c r="P326" s="32" t="e">
        <x:f>IF(A326=1,Dashboard!$F$14,T325)</x:f>
      </x:c>
      <x:c r="Q326" s="32" t="e">
        <x:f>IF(A326&lt;=Dashboard!$F$17,MIN(P326,$B$6*52/12),0)</x:f>
      </x:c>
      <x:c r="R326" s="32" t="e">
        <x:f>IF(A326&lt;=Dashboard!$F$17,MAX(0,P326-Q326)*Dashboard!$F$6,0)</x:f>
      </x:c>
      <x:c r="S326" s="32" t="e">
        <x:f>IF(A326&lt;=Dashboard!$F$17,MIN(Dashboard!$F$10,MAX(0,P326-Q326)+R326),0)</x:f>
      </x:c>
      <x:c r="T326" s="32" t="e">
        <x:f>IF(A326&lt;=Dashboard!$F$17,MAX(0,P326-Q326-MAX(0,S326-R326)),0)</x:f>
      </x:c>
      <x:c r="U326" s="32" t="e">
        <x:f>IF(A326=1,R326,U325+R326)</x:f>
      </x:c>
      <x:c r="V326" s="32"/>
      <x:c r="W326" s="32" t="e">
        <x:f>IF(A326=1,Dashboard!$F$14,AA325)</x:f>
      </x:c>
      <x:c r="X326" s="32" t="e">
        <x:f>IF(AND(A326&lt;=Dashboard!$F$17,MOD(A326-1,12)=0),MIN(W326,$B$7),0)</x:f>
      </x:c>
      <x:c r="Y326" s="32" t="e">
        <x:f>IF(A326&lt;=Dashboard!$F$17,MAX(0,W326-X326)*Dashboard!$F$6,0)</x:f>
      </x:c>
      <x:c r="Z326" s="32" t="e">
        <x:f>IF(A326&lt;=Dashboard!$F$17,MIN(Dashboard!$F$10,MAX(0,W326-X326)+Y326),0)</x:f>
      </x:c>
      <x:c r="AA326" s="32" t="e">
        <x:f>IF(A326&lt;=Dashboard!$F$17,MAX(0,W326-X326-MAX(0,Z326-Y326)),0)</x:f>
      </x:c>
      <x:c r="AB326" s="32" t="e">
        <x:f>IF(A326=1,Y326,AB325+Y326)</x:f>
      </x:c>
      <x:c r="AC326" s="32"/>
      <x:c r="AD326" s="32" t="e">
        <x:f>IF(A326=1,MAX(0,Dashboard!$F$14-$B$8),AG325)</x:f>
      </x:c>
      <x:c r="AE326" s="32" t="n">
        <x:f>0</x:f>
        <x:v>0</x:v>
      </x:c>
      <x:c r="AF326" s="32" t="e">
        <x:f>IF(A326&lt;=Dashboard!$F$17,AD326*Dashboard!$F$6,0)</x:f>
      </x:c>
      <x:c r="AG326" s="32" t="e">
        <x:f>IF(A326&lt;=Dashboard!$F$17,MIN(Dashboard!$F$10,AD326+AF326),0)</x:f>
      </x:c>
      <x:c r="AH326" s="32" t="e">
        <x:f>IF(A326&lt;=Dashboard!$F$17,MAX(0,AD326-MAX(0,AG326-AF326)),0)</x:f>
      </x:c>
      <x:c r="AI326" s="32" t="e">
        <x:f>IF(A326=1,AF326,AI325+AF326)</x:f>
      </x:c>
      <x:c r="AJ326" s="33"/>
      <x:c r="AK326" s="33"/>
      <x:c r="AL326" s="33"/>
      <x:c r="AM326" s="33"/>
    </x:row>
    <x:row r="327">
      <x:c r="A327" s="33" t="n">
        <x:v>315</x:v>
      </x:c>
      <x:c r="B327" s="32" t="e">
        <x:f>IF(A327=1,Dashboard!$F$14,F326)</x:f>
      </x:c>
      <x:c r="C327" s="32" t="n">
        <x:f>0</x:f>
        <x:v>0</x:v>
      </x:c>
      <x:c r="D327" s="32" t="e">
        <x:f>IF(A327&lt;=Dashboard!$F$15,B327*Dashboard!$F$6,0)</x:f>
      </x:c>
      <x:c r="E327" s="32" t="e">
        <x:f>IF(A327&lt;=Dashboard!$F$15,MIN(Dashboard!$F$10,B327+D327),0)</x:f>
      </x:c>
      <x:c r="F327" s="32" t="e">
        <x:f>IF(A327&lt;=Dashboard!$F$15,MAX(0,B327-MAX(0,E327-D327)),0)</x:f>
      </x:c>
      <x:c r="G327" s="32" t="e">
        <x:f>IF(A327=1,D327,G326+D327)</x:f>
      </x:c>
      <x:c r="H327" s="32"/>
      <x:c r="I327" s="32" t="e">
        <x:f>IF(A327=1,Dashboard!$F$14,M326)</x:f>
      </x:c>
      <x:c r="J327" s="32" t="e">
        <x:f>IF(A327&lt;=Dashboard!$F$17,MIN(I327,$B$5),0)</x:f>
      </x:c>
      <x:c r="K327" s="32" t="e">
        <x:f>IF(A327&lt;=Dashboard!$F$17,MAX(0,I327-J327)*Dashboard!$F$6,0)</x:f>
      </x:c>
      <x:c r="L327" s="32" t="e">
        <x:f>IF(A327&lt;=Dashboard!$F$17,MIN(Dashboard!$F$10,MAX(0,I327-J327)+K327),0)</x:f>
      </x:c>
      <x:c r="M327" s="32" t="e">
        <x:f>IF(A327&lt;=Dashboard!$F$17,MAX(0,I327-J327-MAX(0,L327-K327)),0)</x:f>
      </x:c>
      <x:c r="N327" s="32" t="e">
        <x:f>IF(A327=1,K327,N326+K327)</x:f>
      </x:c>
      <x:c r="O327" s="32"/>
      <x:c r="P327" s="32" t="e">
        <x:f>IF(A327=1,Dashboard!$F$14,T326)</x:f>
      </x:c>
      <x:c r="Q327" s="32" t="e">
        <x:f>IF(A327&lt;=Dashboard!$F$17,MIN(P327,$B$6*52/12),0)</x:f>
      </x:c>
      <x:c r="R327" s="32" t="e">
        <x:f>IF(A327&lt;=Dashboard!$F$17,MAX(0,P327-Q327)*Dashboard!$F$6,0)</x:f>
      </x:c>
      <x:c r="S327" s="32" t="e">
        <x:f>IF(A327&lt;=Dashboard!$F$17,MIN(Dashboard!$F$10,MAX(0,P327-Q327)+R327),0)</x:f>
      </x:c>
      <x:c r="T327" s="32" t="e">
        <x:f>IF(A327&lt;=Dashboard!$F$17,MAX(0,P327-Q327-MAX(0,S327-R327)),0)</x:f>
      </x:c>
      <x:c r="U327" s="32" t="e">
        <x:f>IF(A327=1,R327,U326+R327)</x:f>
      </x:c>
      <x:c r="V327" s="32"/>
      <x:c r="W327" s="32" t="e">
        <x:f>IF(A327=1,Dashboard!$F$14,AA326)</x:f>
      </x:c>
      <x:c r="X327" s="32" t="e">
        <x:f>IF(AND(A327&lt;=Dashboard!$F$17,MOD(A327-1,12)=0),MIN(W327,$B$7),0)</x:f>
      </x:c>
      <x:c r="Y327" s="32" t="e">
        <x:f>IF(A327&lt;=Dashboard!$F$17,MAX(0,W327-X327)*Dashboard!$F$6,0)</x:f>
      </x:c>
      <x:c r="Z327" s="32" t="e">
        <x:f>IF(A327&lt;=Dashboard!$F$17,MIN(Dashboard!$F$10,MAX(0,W327-X327)+Y327),0)</x:f>
      </x:c>
      <x:c r="AA327" s="32" t="e">
        <x:f>IF(A327&lt;=Dashboard!$F$17,MAX(0,W327-X327-MAX(0,Z327-Y327)),0)</x:f>
      </x:c>
      <x:c r="AB327" s="32" t="e">
        <x:f>IF(A327=1,Y327,AB326+Y327)</x:f>
      </x:c>
      <x:c r="AC327" s="32"/>
      <x:c r="AD327" s="32" t="e">
        <x:f>IF(A327=1,MAX(0,Dashboard!$F$14-$B$8),AG326)</x:f>
      </x:c>
      <x:c r="AE327" s="32" t="n">
        <x:f>0</x:f>
        <x:v>0</x:v>
      </x:c>
      <x:c r="AF327" s="32" t="e">
        <x:f>IF(A327&lt;=Dashboard!$F$17,AD327*Dashboard!$F$6,0)</x:f>
      </x:c>
      <x:c r="AG327" s="32" t="e">
        <x:f>IF(A327&lt;=Dashboard!$F$17,MIN(Dashboard!$F$10,AD327+AF327),0)</x:f>
      </x:c>
      <x:c r="AH327" s="32" t="e">
        <x:f>IF(A327&lt;=Dashboard!$F$17,MAX(0,AD327-MAX(0,AG327-AF327)),0)</x:f>
      </x:c>
      <x:c r="AI327" s="32" t="e">
        <x:f>IF(A327=1,AF327,AI326+AF327)</x:f>
      </x:c>
      <x:c r="AJ327" s="33"/>
      <x:c r="AK327" s="33"/>
      <x:c r="AL327" s="33"/>
      <x:c r="AM327" s="33"/>
    </x:row>
    <x:row r="328">
      <x:c r="A328" s="33" t="n">
        <x:v>316</x:v>
      </x:c>
      <x:c r="B328" s="32" t="e">
        <x:f>IF(A328=1,Dashboard!$F$14,F327)</x:f>
      </x:c>
      <x:c r="C328" s="32" t="n">
        <x:f>0</x:f>
        <x:v>0</x:v>
      </x:c>
      <x:c r="D328" s="32" t="e">
        <x:f>IF(A328&lt;=Dashboard!$F$15,B328*Dashboard!$F$6,0)</x:f>
      </x:c>
      <x:c r="E328" s="32" t="e">
        <x:f>IF(A328&lt;=Dashboard!$F$15,MIN(Dashboard!$F$10,B328+D328),0)</x:f>
      </x:c>
      <x:c r="F328" s="32" t="e">
        <x:f>IF(A328&lt;=Dashboard!$F$15,MAX(0,B328-MAX(0,E328-D328)),0)</x:f>
      </x:c>
      <x:c r="G328" s="32" t="e">
        <x:f>IF(A328=1,D328,G327+D328)</x:f>
      </x:c>
      <x:c r="H328" s="32"/>
      <x:c r="I328" s="32" t="e">
        <x:f>IF(A328=1,Dashboard!$F$14,M327)</x:f>
      </x:c>
      <x:c r="J328" s="32" t="e">
        <x:f>IF(A328&lt;=Dashboard!$F$17,MIN(I328,$B$5),0)</x:f>
      </x:c>
      <x:c r="K328" s="32" t="e">
        <x:f>IF(A328&lt;=Dashboard!$F$17,MAX(0,I328-J328)*Dashboard!$F$6,0)</x:f>
      </x:c>
      <x:c r="L328" s="32" t="e">
        <x:f>IF(A328&lt;=Dashboard!$F$17,MIN(Dashboard!$F$10,MAX(0,I328-J328)+K328),0)</x:f>
      </x:c>
      <x:c r="M328" s="32" t="e">
        <x:f>IF(A328&lt;=Dashboard!$F$17,MAX(0,I328-J328-MAX(0,L328-K328)),0)</x:f>
      </x:c>
      <x:c r="N328" s="32" t="e">
        <x:f>IF(A328=1,K328,N327+K328)</x:f>
      </x:c>
      <x:c r="O328" s="32"/>
      <x:c r="P328" s="32" t="e">
        <x:f>IF(A328=1,Dashboard!$F$14,T327)</x:f>
      </x:c>
      <x:c r="Q328" s="32" t="e">
        <x:f>IF(A328&lt;=Dashboard!$F$17,MIN(P328,$B$6*52/12),0)</x:f>
      </x:c>
      <x:c r="R328" s="32" t="e">
        <x:f>IF(A328&lt;=Dashboard!$F$17,MAX(0,P328-Q328)*Dashboard!$F$6,0)</x:f>
      </x:c>
      <x:c r="S328" s="32" t="e">
        <x:f>IF(A328&lt;=Dashboard!$F$17,MIN(Dashboard!$F$10,MAX(0,P328-Q328)+R328),0)</x:f>
      </x:c>
      <x:c r="T328" s="32" t="e">
        <x:f>IF(A328&lt;=Dashboard!$F$17,MAX(0,P328-Q328-MAX(0,S328-R328)),0)</x:f>
      </x:c>
      <x:c r="U328" s="32" t="e">
        <x:f>IF(A328=1,R328,U327+R328)</x:f>
      </x:c>
      <x:c r="V328" s="32"/>
      <x:c r="W328" s="32" t="e">
        <x:f>IF(A328=1,Dashboard!$F$14,AA327)</x:f>
      </x:c>
      <x:c r="X328" s="32" t="e">
        <x:f>IF(AND(A328&lt;=Dashboard!$F$17,MOD(A328-1,12)=0),MIN(W328,$B$7),0)</x:f>
      </x:c>
      <x:c r="Y328" s="32" t="e">
        <x:f>IF(A328&lt;=Dashboard!$F$17,MAX(0,W328-X328)*Dashboard!$F$6,0)</x:f>
      </x:c>
      <x:c r="Z328" s="32" t="e">
        <x:f>IF(A328&lt;=Dashboard!$F$17,MIN(Dashboard!$F$10,MAX(0,W328-X328)+Y328),0)</x:f>
      </x:c>
      <x:c r="AA328" s="32" t="e">
        <x:f>IF(A328&lt;=Dashboard!$F$17,MAX(0,W328-X328-MAX(0,Z328-Y328)),0)</x:f>
      </x:c>
      <x:c r="AB328" s="32" t="e">
        <x:f>IF(A328=1,Y328,AB327+Y328)</x:f>
      </x:c>
      <x:c r="AC328" s="32"/>
      <x:c r="AD328" s="32" t="e">
        <x:f>IF(A328=1,MAX(0,Dashboard!$F$14-$B$8),AG327)</x:f>
      </x:c>
      <x:c r="AE328" s="32" t="n">
        <x:f>0</x:f>
        <x:v>0</x:v>
      </x:c>
      <x:c r="AF328" s="32" t="e">
        <x:f>IF(A328&lt;=Dashboard!$F$17,AD328*Dashboard!$F$6,0)</x:f>
      </x:c>
      <x:c r="AG328" s="32" t="e">
        <x:f>IF(A328&lt;=Dashboard!$F$17,MIN(Dashboard!$F$10,AD328+AF328),0)</x:f>
      </x:c>
      <x:c r="AH328" s="32" t="e">
        <x:f>IF(A328&lt;=Dashboard!$F$17,MAX(0,AD328-MAX(0,AG328-AF328)),0)</x:f>
      </x:c>
      <x:c r="AI328" s="32" t="e">
        <x:f>IF(A328=1,AF328,AI327+AF328)</x:f>
      </x:c>
      <x:c r="AJ328" s="33"/>
      <x:c r="AK328" s="33"/>
      <x:c r="AL328" s="33"/>
      <x:c r="AM328" s="33"/>
    </x:row>
    <x:row r="329">
      <x:c r="A329" s="33" t="n">
        <x:v>317</x:v>
      </x:c>
      <x:c r="B329" s="32" t="e">
        <x:f>IF(A329=1,Dashboard!$F$14,F328)</x:f>
      </x:c>
      <x:c r="C329" s="32" t="n">
        <x:f>0</x:f>
        <x:v>0</x:v>
      </x:c>
      <x:c r="D329" s="32" t="e">
        <x:f>IF(A329&lt;=Dashboard!$F$15,B329*Dashboard!$F$6,0)</x:f>
      </x:c>
      <x:c r="E329" s="32" t="e">
        <x:f>IF(A329&lt;=Dashboard!$F$15,MIN(Dashboard!$F$10,B329+D329),0)</x:f>
      </x:c>
      <x:c r="F329" s="32" t="e">
        <x:f>IF(A329&lt;=Dashboard!$F$15,MAX(0,B329-MAX(0,E329-D329)),0)</x:f>
      </x:c>
      <x:c r="G329" s="32" t="e">
        <x:f>IF(A329=1,D329,G328+D329)</x:f>
      </x:c>
      <x:c r="H329" s="32"/>
      <x:c r="I329" s="32" t="e">
        <x:f>IF(A329=1,Dashboard!$F$14,M328)</x:f>
      </x:c>
      <x:c r="J329" s="32" t="e">
        <x:f>IF(A329&lt;=Dashboard!$F$17,MIN(I329,$B$5),0)</x:f>
      </x:c>
      <x:c r="K329" s="32" t="e">
        <x:f>IF(A329&lt;=Dashboard!$F$17,MAX(0,I329-J329)*Dashboard!$F$6,0)</x:f>
      </x:c>
      <x:c r="L329" s="32" t="e">
        <x:f>IF(A329&lt;=Dashboard!$F$17,MIN(Dashboard!$F$10,MAX(0,I329-J329)+K329),0)</x:f>
      </x:c>
      <x:c r="M329" s="32" t="e">
        <x:f>IF(A329&lt;=Dashboard!$F$17,MAX(0,I329-J329-MAX(0,L329-K329)),0)</x:f>
      </x:c>
      <x:c r="N329" s="32" t="e">
        <x:f>IF(A329=1,K329,N328+K329)</x:f>
      </x:c>
      <x:c r="O329" s="32"/>
      <x:c r="P329" s="32" t="e">
        <x:f>IF(A329=1,Dashboard!$F$14,T328)</x:f>
      </x:c>
      <x:c r="Q329" s="32" t="e">
        <x:f>IF(A329&lt;=Dashboard!$F$17,MIN(P329,$B$6*52/12),0)</x:f>
      </x:c>
      <x:c r="R329" s="32" t="e">
        <x:f>IF(A329&lt;=Dashboard!$F$17,MAX(0,P329-Q329)*Dashboard!$F$6,0)</x:f>
      </x:c>
      <x:c r="S329" s="32" t="e">
        <x:f>IF(A329&lt;=Dashboard!$F$17,MIN(Dashboard!$F$10,MAX(0,P329-Q329)+R329),0)</x:f>
      </x:c>
      <x:c r="T329" s="32" t="e">
        <x:f>IF(A329&lt;=Dashboard!$F$17,MAX(0,P329-Q329-MAX(0,S329-R329)),0)</x:f>
      </x:c>
      <x:c r="U329" s="32" t="e">
        <x:f>IF(A329=1,R329,U328+R329)</x:f>
      </x:c>
      <x:c r="V329" s="32"/>
      <x:c r="W329" s="32" t="e">
        <x:f>IF(A329=1,Dashboard!$F$14,AA328)</x:f>
      </x:c>
      <x:c r="X329" s="32" t="e">
        <x:f>IF(AND(A329&lt;=Dashboard!$F$17,MOD(A329-1,12)=0),MIN(W329,$B$7),0)</x:f>
      </x:c>
      <x:c r="Y329" s="32" t="e">
        <x:f>IF(A329&lt;=Dashboard!$F$17,MAX(0,W329-X329)*Dashboard!$F$6,0)</x:f>
      </x:c>
      <x:c r="Z329" s="32" t="e">
        <x:f>IF(A329&lt;=Dashboard!$F$17,MIN(Dashboard!$F$10,MAX(0,W329-X329)+Y329),0)</x:f>
      </x:c>
      <x:c r="AA329" s="32" t="e">
        <x:f>IF(A329&lt;=Dashboard!$F$17,MAX(0,W329-X329-MAX(0,Z329-Y329)),0)</x:f>
      </x:c>
      <x:c r="AB329" s="32" t="e">
        <x:f>IF(A329=1,Y329,AB328+Y329)</x:f>
      </x:c>
      <x:c r="AC329" s="32"/>
      <x:c r="AD329" s="32" t="e">
        <x:f>IF(A329=1,MAX(0,Dashboard!$F$14-$B$8),AG328)</x:f>
      </x:c>
      <x:c r="AE329" s="32" t="n">
        <x:f>0</x:f>
        <x:v>0</x:v>
      </x:c>
      <x:c r="AF329" s="32" t="e">
        <x:f>IF(A329&lt;=Dashboard!$F$17,AD329*Dashboard!$F$6,0)</x:f>
      </x:c>
      <x:c r="AG329" s="32" t="e">
        <x:f>IF(A329&lt;=Dashboard!$F$17,MIN(Dashboard!$F$10,AD329+AF329),0)</x:f>
      </x:c>
      <x:c r="AH329" s="32" t="e">
        <x:f>IF(A329&lt;=Dashboard!$F$17,MAX(0,AD329-MAX(0,AG329-AF329)),0)</x:f>
      </x:c>
      <x:c r="AI329" s="32" t="e">
        <x:f>IF(A329=1,AF329,AI328+AF329)</x:f>
      </x:c>
      <x:c r="AJ329" s="33"/>
      <x:c r="AK329" s="33"/>
      <x:c r="AL329" s="33"/>
      <x:c r="AM329" s="33"/>
    </x:row>
    <x:row r="330">
      <x:c r="A330" s="33" t="n">
        <x:v>318</x:v>
      </x:c>
      <x:c r="B330" s="32" t="e">
        <x:f>IF(A330=1,Dashboard!$F$14,F329)</x:f>
      </x:c>
      <x:c r="C330" s="32" t="n">
        <x:f>0</x:f>
        <x:v>0</x:v>
      </x:c>
      <x:c r="D330" s="32" t="e">
        <x:f>IF(A330&lt;=Dashboard!$F$15,B330*Dashboard!$F$6,0)</x:f>
      </x:c>
      <x:c r="E330" s="32" t="e">
        <x:f>IF(A330&lt;=Dashboard!$F$15,MIN(Dashboard!$F$10,B330+D330),0)</x:f>
      </x:c>
      <x:c r="F330" s="32" t="e">
        <x:f>IF(A330&lt;=Dashboard!$F$15,MAX(0,B330-MAX(0,E330-D330)),0)</x:f>
      </x:c>
      <x:c r="G330" s="32" t="e">
        <x:f>IF(A330=1,D330,G329+D330)</x:f>
      </x:c>
      <x:c r="H330" s="32"/>
      <x:c r="I330" s="32" t="e">
        <x:f>IF(A330=1,Dashboard!$F$14,M329)</x:f>
      </x:c>
      <x:c r="J330" s="32" t="e">
        <x:f>IF(A330&lt;=Dashboard!$F$17,MIN(I330,$B$5),0)</x:f>
      </x:c>
      <x:c r="K330" s="32" t="e">
        <x:f>IF(A330&lt;=Dashboard!$F$17,MAX(0,I330-J330)*Dashboard!$F$6,0)</x:f>
      </x:c>
      <x:c r="L330" s="32" t="e">
        <x:f>IF(A330&lt;=Dashboard!$F$17,MIN(Dashboard!$F$10,MAX(0,I330-J330)+K330),0)</x:f>
      </x:c>
      <x:c r="M330" s="32" t="e">
        <x:f>IF(A330&lt;=Dashboard!$F$17,MAX(0,I330-J330-MAX(0,L330-K330)),0)</x:f>
      </x:c>
      <x:c r="N330" s="32" t="e">
        <x:f>IF(A330=1,K330,N329+K330)</x:f>
      </x:c>
      <x:c r="O330" s="32"/>
      <x:c r="P330" s="32" t="e">
        <x:f>IF(A330=1,Dashboard!$F$14,T329)</x:f>
      </x:c>
      <x:c r="Q330" s="32" t="e">
        <x:f>IF(A330&lt;=Dashboard!$F$17,MIN(P330,$B$6*52/12),0)</x:f>
      </x:c>
      <x:c r="R330" s="32" t="e">
        <x:f>IF(A330&lt;=Dashboard!$F$17,MAX(0,P330-Q330)*Dashboard!$F$6,0)</x:f>
      </x:c>
      <x:c r="S330" s="32" t="e">
        <x:f>IF(A330&lt;=Dashboard!$F$17,MIN(Dashboard!$F$10,MAX(0,P330-Q330)+R330),0)</x:f>
      </x:c>
      <x:c r="T330" s="32" t="e">
        <x:f>IF(A330&lt;=Dashboard!$F$17,MAX(0,P330-Q330-MAX(0,S330-R330)),0)</x:f>
      </x:c>
      <x:c r="U330" s="32" t="e">
        <x:f>IF(A330=1,R330,U329+R330)</x:f>
      </x:c>
      <x:c r="V330" s="32"/>
      <x:c r="W330" s="32" t="e">
        <x:f>IF(A330=1,Dashboard!$F$14,AA329)</x:f>
      </x:c>
      <x:c r="X330" s="32" t="e">
        <x:f>IF(AND(A330&lt;=Dashboard!$F$17,MOD(A330-1,12)=0),MIN(W330,$B$7),0)</x:f>
      </x:c>
      <x:c r="Y330" s="32" t="e">
        <x:f>IF(A330&lt;=Dashboard!$F$17,MAX(0,W330-X330)*Dashboard!$F$6,0)</x:f>
      </x:c>
      <x:c r="Z330" s="32" t="e">
        <x:f>IF(A330&lt;=Dashboard!$F$17,MIN(Dashboard!$F$10,MAX(0,W330-X330)+Y330),0)</x:f>
      </x:c>
      <x:c r="AA330" s="32" t="e">
        <x:f>IF(A330&lt;=Dashboard!$F$17,MAX(0,W330-X330-MAX(0,Z330-Y330)),0)</x:f>
      </x:c>
      <x:c r="AB330" s="32" t="e">
        <x:f>IF(A330=1,Y330,AB329+Y330)</x:f>
      </x:c>
      <x:c r="AC330" s="32"/>
      <x:c r="AD330" s="32" t="e">
        <x:f>IF(A330=1,MAX(0,Dashboard!$F$14-$B$8),AG329)</x:f>
      </x:c>
      <x:c r="AE330" s="32" t="n">
        <x:f>0</x:f>
        <x:v>0</x:v>
      </x:c>
      <x:c r="AF330" s="32" t="e">
        <x:f>IF(A330&lt;=Dashboard!$F$17,AD330*Dashboard!$F$6,0)</x:f>
      </x:c>
      <x:c r="AG330" s="32" t="e">
        <x:f>IF(A330&lt;=Dashboard!$F$17,MIN(Dashboard!$F$10,AD330+AF330),0)</x:f>
      </x:c>
      <x:c r="AH330" s="32" t="e">
        <x:f>IF(A330&lt;=Dashboard!$F$17,MAX(0,AD330-MAX(0,AG330-AF330)),0)</x:f>
      </x:c>
      <x:c r="AI330" s="32" t="e">
        <x:f>IF(A330=1,AF330,AI329+AF330)</x:f>
      </x:c>
      <x:c r="AJ330" s="33"/>
      <x:c r="AK330" s="33"/>
      <x:c r="AL330" s="33"/>
      <x:c r="AM330" s="33"/>
    </x:row>
    <x:row r="331">
      <x:c r="A331" s="33" t="n">
        <x:v>319</x:v>
      </x:c>
      <x:c r="B331" s="32" t="e">
        <x:f>IF(A331=1,Dashboard!$F$14,F330)</x:f>
      </x:c>
      <x:c r="C331" s="32" t="n">
        <x:f>0</x:f>
        <x:v>0</x:v>
      </x:c>
      <x:c r="D331" s="32" t="e">
        <x:f>IF(A331&lt;=Dashboard!$F$15,B331*Dashboard!$F$6,0)</x:f>
      </x:c>
      <x:c r="E331" s="32" t="e">
        <x:f>IF(A331&lt;=Dashboard!$F$15,MIN(Dashboard!$F$10,B331+D331),0)</x:f>
      </x:c>
      <x:c r="F331" s="32" t="e">
        <x:f>IF(A331&lt;=Dashboard!$F$15,MAX(0,B331-MAX(0,E331-D331)),0)</x:f>
      </x:c>
      <x:c r="G331" s="32" t="e">
        <x:f>IF(A331=1,D331,G330+D331)</x:f>
      </x:c>
      <x:c r="H331" s="32"/>
      <x:c r="I331" s="32" t="e">
        <x:f>IF(A331=1,Dashboard!$F$14,M330)</x:f>
      </x:c>
      <x:c r="J331" s="32" t="e">
        <x:f>IF(A331&lt;=Dashboard!$F$17,MIN(I331,$B$5),0)</x:f>
      </x:c>
      <x:c r="K331" s="32" t="e">
        <x:f>IF(A331&lt;=Dashboard!$F$17,MAX(0,I331-J331)*Dashboard!$F$6,0)</x:f>
      </x:c>
      <x:c r="L331" s="32" t="e">
        <x:f>IF(A331&lt;=Dashboard!$F$17,MIN(Dashboard!$F$10,MAX(0,I331-J331)+K331),0)</x:f>
      </x:c>
      <x:c r="M331" s="32" t="e">
        <x:f>IF(A331&lt;=Dashboard!$F$17,MAX(0,I331-J331-MAX(0,L331-K331)),0)</x:f>
      </x:c>
      <x:c r="N331" s="32" t="e">
        <x:f>IF(A331=1,K331,N330+K331)</x:f>
      </x:c>
      <x:c r="O331" s="32"/>
      <x:c r="P331" s="32" t="e">
        <x:f>IF(A331=1,Dashboard!$F$14,T330)</x:f>
      </x:c>
      <x:c r="Q331" s="32" t="e">
        <x:f>IF(A331&lt;=Dashboard!$F$17,MIN(P331,$B$6*52/12),0)</x:f>
      </x:c>
      <x:c r="R331" s="32" t="e">
        <x:f>IF(A331&lt;=Dashboard!$F$17,MAX(0,P331-Q331)*Dashboard!$F$6,0)</x:f>
      </x:c>
      <x:c r="S331" s="32" t="e">
        <x:f>IF(A331&lt;=Dashboard!$F$17,MIN(Dashboard!$F$10,MAX(0,P331-Q331)+R331),0)</x:f>
      </x:c>
      <x:c r="T331" s="32" t="e">
        <x:f>IF(A331&lt;=Dashboard!$F$17,MAX(0,P331-Q331-MAX(0,S331-R331)),0)</x:f>
      </x:c>
      <x:c r="U331" s="32" t="e">
        <x:f>IF(A331=1,R331,U330+R331)</x:f>
      </x:c>
      <x:c r="V331" s="32"/>
      <x:c r="W331" s="32" t="e">
        <x:f>IF(A331=1,Dashboard!$F$14,AA330)</x:f>
      </x:c>
      <x:c r="X331" s="32" t="e">
        <x:f>IF(AND(A331&lt;=Dashboard!$F$17,MOD(A331-1,12)=0),MIN(W331,$B$7),0)</x:f>
      </x:c>
      <x:c r="Y331" s="32" t="e">
        <x:f>IF(A331&lt;=Dashboard!$F$17,MAX(0,W331-X331)*Dashboard!$F$6,0)</x:f>
      </x:c>
      <x:c r="Z331" s="32" t="e">
        <x:f>IF(A331&lt;=Dashboard!$F$17,MIN(Dashboard!$F$10,MAX(0,W331-X331)+Y331),0)</x:f>
      </x:c>
      <x:c r="AA331" s="32" t="e">
        <x:f>IF(A331&lt;=Dashboard!$F$17,MAX(0,W331-X331-MAX(0,Z331-Y331)),0)</x:f>
      </x:c>
      <x:c r="AB331" s="32" t="e">
        <x:f>IF(A331=1,Y331,AB330+Y331)</x:f>
      </x:c>
      <x:c r="AC331" s="32"/>
      <x:c r="AD331" s="32" t="e">
        <x:f>IF(A331=1,MAX(0,Dashboard!$F$14-$B$8),AG330)</x:f>
      </x:c>
      <x:c r="AE331" s="32" t="n">
        <x:f>0</x:f>
        <x:v>0</x:v>
      </x:c>
      <x:c r="AF331" s="32" t="e">
        <x:f>IF(A331&lt;=Dashboard!$F$17,AD331*Dashboard!$F$6,0)</x:f>
      </x:c>
      <x:c r="AG331" s="32" t="e">
        <x:f>IF(A331&lt;=Dashboard!$F$17,MIN(Dashboard!$F$10,AD331+AF331),0)</x:f>
      </x:c>
      <x:c r="AH331" s="32" t="e">
        <x:f>IF(A331&lt;=Dashboard!$F$17,MAX(0,AD331-MAX(0,AG331-AF331)),0)</x:f>
      </x:c>
      <x:c r="AI331" s="32" t="e">
        <x:f>IF(A331=1,AF331,AI330+AF331)</x:f>
      </x:c>
      <x:c r="AJ331" s="33"/>
      <x:c r="AK331" s="33"/>
      <x:c r="AL331" s="33"/>
      <x:c r="AM331" s="33"/>
    </x:row>
    <x:row r="332">
      <x:c r="A332" s="33" t="n">
        <x:v>320</x:v>
      </x:c>
      <x:c r="B332" s="32" t="e">
        <x:f>IF(A332=1,Dashboard!$F$14,F331)</x:f>
      </x:c>
      <x:c r="C332" s="32" t="n">
        <x:f>0</x:f>
        <x:v>0</x:v>
      </x:c>
      <x:c r="D332" s="32" t="e">
        <x:f>IF(A332&lt;=Dashboard!$F$15,B332*Dashboard!$F$6,0)</x:f>
      </x:c>
      <x:c r="E332" s="32" t="e">
        <x:f>IF(A332&lt;=Dashboard!$F$15,MIN(Dashboard!$F$10,B332+D332),0)</x:f>
      </x:c>
      <x:c r="F332" s="32" t="e">
        <x:f>IF(A332&lt;=Dashboard!$F$15,MAX(0,B332-MAX(0,E332-D332)),0)</x:f>
      </x:c>
      <x:c r="G332" s="32" t="e">
        <x:f>IF(A332=1,D332,G331+D332)</x:f>
      </x:c>
      <x:c r="H332" s="32"/>
      <x:c r="I332" s="32" t="e">
        <x:f>IF(A332=1,Dashboard!$F$14,M331)</x:f>
      </x:c>
      <x:c r="J332" s="32" t="e">
        <x:f>IF(A332&lt;=Dashboard!$F$17,MIN(I332,$B$5),0)</x:f>
      </x:c>
      <x:c r="K332" s="32" t="e">
        <x:f>IF(A332&lt;=Dashboard!$F$17,MAX(0,I332-J332)*Dashboard!$F$6,0)</x:f>
      </x:c>
      <x:c r="L332" s="32" t="e">
        <x:f>IF(A332&lt;=Dashboard!$F$17,MIN(Dashboard!$F$10,MAX(0,I332-J332)+K332),0)</x:f>
      </x:c>
      <x:c r="M332" s="32" t="e">
        <x:f>IF(A332&lt;=Dashboard!$F$17,MAX(0,I332-J332-MAX(0,L332-K332)),0)</x:f>
      </x:c>
      <x:c r="N332" s="32" t="e">
        <x:f>IF(A332=1,K332,N331+K332)</x:f>
      </x:c>
      <x:c r="O332" s="32"/>
      <x:c r="P332" s="32" t="e">
        <x:f>IF(A332=1,Dashboard!$F$14,T331)</x:f>
      </x:c>
      <x:c r="Q332" s="32" t="e">
        <x:f>IF(A332&lt;=Dashboard!$F$17,MIN(P332,$B$6*52/12),0)</x:f>
      </x:c>
      <x:c r="R332" s="32" t="e">
        <x:f>IF(A332&lt;=Dashboard!$F$17,MAX(0,P332-Q332)*Dashboard!$F$6,0)</x:f>
      </x:c>
      <x:c r="S332" s="32" t="e">
        <x:f>IF(A332&lt;=Dashboard!$F$17,MIN(Dashboard!$F$10,MAX(0,P332-Q332)+R332),0)</x:f>
      </x:c>
      <x:c r="T332" s="32" t="e">
        <x:f>IF(A332&lt;=Dashboard!$F$17,MAX(0,P332-Q332-MAX(0,S332-R332)),0)</x:f>
      </x:c>
      <x:c r="U332" s="32" t="e">
        <x:f>IF(A332=1,R332,U331+R332)</x:f>
      </x:c>
      <x:c r="V332" s="32"/>
      <x:c r="W332" s="32" t="e">
        <x:f>IF(A332=1,Dashboard!$F$14,AA331)</x:f>
      </x:c>
      <x:c r="X332" s="32" t="e">
        <x:f>IF(AND(A332&lt;=Dashboard!$F$17,MOD(A332-1,12)=0),MIN(W332,$B$7),0)</x:f>
      </x:c>
      <x:c r="Y332" s="32" t="e">
        <x:f>IF(A332&lt;=Dashboard!$F$17,MAX(0,W332-X332)*Dashboard!$F$6,0)</x:f>
      </x:c>
      <x:c r="Z332" s="32" t="e">
        <x:f>IF(A332&lt;=Dashboard!$F$17,MIN(Dashboard!$F$10,MAX(0,W332-X332)+Y332),0)</x:f>
      </x:c>
      <x:c r="AA332" s="32" t="e">
        <x:f>IF(A332&lt;=Dashboard!$F$17,MAX(0,W332-X332-MAX(0,Z332-Y332)),0)</x:f>
      </x:c>
      <x:c r="AB332" s="32" t="e">
        <x:f>IF(A332=1,Y332,AB331+Y332)</x:f>
      </x:c>
      <x:c r="AC332" s="32"/>
      <x:c r="AD332" s="32" t="e">
        <x:f>IF(A332=1,MAX(0,Dashboard!$F$14-$B$8),AG331)</x:f>
      </x:c>
      <x:c r="AE332" s="32" t="n">
        <x:f>0</x:f>
        <x:v>0</x:v>
      </x:c>
      <x:c r="AF332" s="32" t="e">
        <x:f>IF(A332&lt;=Dashboard!$F$17,AD332*Dashboard!$F$6,0)</x:f>
      </x:c>
      <x:c r="AG332" s="32" t="e">
        <x:f>IF(A332&lt;=Dashboard!$F$17,MIN(Dashboard!$F$10,AD332+AF332),0)</x:f>
      </x:c>
      <x:c r="AH332" s="32" t="e">
        <x:f>IF(A332&lt;=Dashboard!$F$17,MAX(0,AD332-MAX(0,AG332-AF332)),0)</x:f>
      </x:c>
      <x:c r="AI332" s="32" t="e">
        <x:f>IF(A332=1,AF332,AI331+AF332)</x:f>
      </x:c>
      <x:c r="AJ332" s="33"/>
      <x:c r="AK332" s="33"/>
      <x:c r="AL332" s="33"/>
      <x:c r="AM332" s="33"/>
    </x:row>
    <x:row r="333">
      <x:c r="A333" s="33" t="n">
        <x:v>321</x:v>
      </x:c>
      <x:c r="B333" s="32" t="e">
        <x:f>IF(A333=1,Dashboard!$F$14,F332)</x:f>
      </x:c>
      <x:c r="C333" s="32" t="n">
        <x:f>0</x:f>
        <x:v>0</x:v>
      </x:c>
      <x:c r="D333" s="32" t="e">
        <x:f>IF(A333&lt;=Dashboard!$F$15,B333*Dashboard!$F$6,0)</x:f>
      </x:c>
      <x:c r="E333" s="32" t="e">
        <x:f>IF(A333&lt;=Dashboard!$F$15,MIN(Dashboard!$F$10,B333+D333),0)</x:f>
      </x:c>
      <x:c r="F333" s="32" t="e">
        <x:f>IF(A333&lt;=Dashboard!$F$15,MAX(0,B333-MAX(0,E333-D333)),0)</x:f>
      </x:c>
      <x:c r="G333" s="32" t="e">
        <x:f>IF(A333=1,D333,G332+D333)</x:f>
      </x:c>
      <x:c r="H333" s="32"/>
      <x:c r="I333" s="32" t="e">
        <x:f>IF(A333=1,Dashboard!$F$14,M332)</x:f>
      </x:c>
      <x:c r="J333" s="32" t="e">
        <x:f>IF(A333&lt;=Dashboard!$F$17,MIN(I333,$B$5),0)</x:f>
      </x:c>
      <x:c r="K333" s="32" t="e">
        <x:f>IF(A333&lt;=Dashboard!$F$17,MAX(0,I333-J333)*Dashboard!$F$6,0)</x:f>
      </x:c>
      <x:c r="L333" s="32" t="e">
        <x:f>IF(A333&lt;=Dashboard!$F$17,MIN(Dashboard!$F$10,MAX(0,I333-J333)+K333),0)</x:f>
      </x:c>
      <x:c r="M333" s="32" t="e">
        <x:f>IF(A333&lt;=Dashboard!$F$17,MAX(0,I333-J333-MAX(0,L333-K333)),0)</x:f>
      </x:c>
      <x:c r="N333" s="32" t="e">
        <x:f>IF(A333=1,K333,N332+K333)</x:f>
      </x:c>
      <x:c r="O333" s="32"/>
      <x:c r="P333" s="32" t="e">
        <x:f>IF(A333=1,Dashboard!$F$14,T332)</x:f>
      </x:c>
      <x:c r="Q333" s="32" t="e">
        <x:f>IF(A333&lt;=Dashboard!$F$17,MIN(P333,$B$6*52/12),0)</x:f>
      </x:c>
      <x:c r="R333" s="32" t="e">
        <x:f>IF(A333&lt;=Dashboard!$F$17,MAX(0,P333-Q333)*Dashboard!$F$6,0)</x:f>
      </x:c>
      <x:c r="S333" s="32" t="e">
        <x:f>IF(A333&lt;=Dashboard!$F$17,MIN(Dashboard!$F$10,MAX(0,P333-Q333)+R333),0)</x:f>
      </x:c>
      <x:c r="T333" s="32" t="e">
        <x:f>IF(A333&lt;=Dashboard!$F$17,MAX(0,P333-Q333-MAX(0,S333-R333)),0)</x:f>
      </x:c>
      <x:c r="U333" s="32" t="e">
        <x:f>IF(A333=1,R333,U332+R333)</x:f>
      </x:c>
      <x:c r="V333" s="32"/>
      <x:c r="W333" s="32" t="e">
        <x:f>IF(A333=1,Dashboard!$F$14,AA332)</x:f>
      </x:c>
      <x:c r="X333" s="32" t="e">
        <x:f>IF(AND(A333&lt;=Dashboard!$F$17,MOD(A333-1,12)=0),MIN(W333,$B$7),0)</x:f>
      </x:c>
      <x:c r="Y333" s="32" t="e">
        <x:f>IF(A333&lt;=Dashboard!$F$17,MAX(0,W333-X333)*Dashboard!$F$6,0)</x:f>
      </x:c>
      <x:c r="Z333" s="32" t="e">
        <x:f>IF(A333&lt;=Dashboard!$F$17,MIN(Dashboard!$F$10,MAX(0,W333-X333)+Y333),0)</x:f>
      </x:c>
      <x:c r="AA333" s="32" t="e">
        <x:f>IF(A333&lt;=Dashboard!$F$17,MAX(0,W333-X333-MAX(0,Z333-Y333)),0)</x:f>
      </x:c>
      <x:c r="AB333" s="32" t="e">
        <x:f>IF(A333=1,Y333,AB332+Y333)</x:f>
      </x:c>
      <x:c r="AC333" s="32"/>
      <x:c r="AD333" s="32" t="e">
        <x:f>IF(A333=1,MAX(0,Dashboard!$F$14-$B$8),AG332)</x:f>
      </x:c>
      <x:c r="AE333" s="32" t="n">
        <x:f>0</x:f>
        <x:v>0</x:v>
      </x:c>
      <x:c r="AF333" s="32" t="e">
        <x:f>IF(A333&lt;=Dashboard!$F$17,AD333*Dashboard!$F$6,0)</x:f>
      </x:c>
      <x:c r="AG333" s="32" t="e">
        <x:f>IF(A333&lt;=Dashboard!$F$17,MIN(Dashboard!$F$10,AD333+AF333),0)</x:f>
      </x:c>
      <x:c r="AH333" s="32" t="e">
        <x:f>IF(A333&lt;=Dashboard!$F$17,MAX(0,AD333-MAX(0,AG333-AF333)),0)</x:f>
      </x:c>
      <x:c r="AI333" s="32" t="e">
        <x:f>IF(A333=1,AF333,AI332+AF333)</x:f>
      </x:c>
      <x:c r="AJ333" s="33"/>
      <x:c r="AK333" s="33"/>
      <x:c r="AL333" s="33"/>
      <x:c r="AM333" s="33"/>
    </x:row>
    <x:row r="334">
      <x:c r="A334" s="33" t="n">
        <x:v>322</x:v>
      </x:c>
      <x:c r="B334" s="32" t="e">
        <x:f>IF(A334=1,Dashboard!$F$14,F333)</x:f>
      </x:c>
      <x:c r="C334" s="32" t="n">
        <x:f>0</x:f>
        <x:v>0</x:v>
      </x:c>
      <x:c r="D334" s="32" t="e">
        <x:f>IF(A334&lt;=Dashboard!$F$15,B334*Dashboard!$F$6,0)</x:f>
      </x:c>
      <x:c r="E334" s="32" t="e">
        <x:f>IF(A334&lt;=Dashboard!$F$15,MIN(Dashboard!$F$10,B334+D334),0)</x:f>
      </x:c>
      <x:c r="F334" s="32" t="e">
        <x:f>IF(A334&lt;=Dashboard!$F$15,MAX(0,B334-MAX(0,E334-D334)),0)</x:f>
      </x:c>
      <x:c r="G334" s="32" t="e">
        <x:f>IF(A334=1,D334,G333+D334)</x:f>
      </x:c>
      <x:c r="H334" s="32"/>
      <x:c r="I334" s="32" t="e">
        <x:f>IF(A334=1,Dashboard!$F$14,M333)</x:f>
      </x:c>
      <x:c r="J334" s="32" t="e">
        <x:f>IF(A334&lt;=Dashboard!$F$17,MIN(I334,$B$5),0)</x:f>
      </x:c>
      <x:c r="K334" s="32" t="e">
        <x:f>IF(A334&lt;=Dashboard!$F$17,MAX(0,I334-J334)*Dashboard!$F$6,0)</x:f>
      </x:c>
      <x:c r="L334" s="32" t="e">
        <x:f>IF(A334&lt;=Dashboard!$F$17,MIN(Dashboard!$F$10,MAX(0,I334-J334)+K334),0)</x:f>
      </x:c>
      <x:c r="M334" s="32" t="e">
        <x:f>IF(A334&lt;=Dashboard!$F$17,MAX(0,I334-J334-MAX(0,L334-K334)),0)</x:f>
      </x:c>
      <x:c r="N334" s="32" t="e">
        <x:f>IF(A334=1,K334,N333+K334)</x:f>
      </x:c>
      <x:c r="O334" s="32"/>
      <x:c r="P334" s="32" t="e">
        <x:f>IF(A334=1,Dashboard!$F$14,T333)</x:f>
      </x:c>
      <x:c r="Q334" s="32" t="e">
        <x:f>IF(A334&lt;=Dashboard!$F$17,MIN(P334,$B$6*52/12),0)</x:f>
      </x:c>
      <x:c r="R334" s="32" t="e">
        <x:f>IF(A334&lt;=Dashboard!$F$17,MAX(0,P334-Q334)*Dashboard!$F$6,0)</x:f>
      </x:c>
      <x:c r="S334" s="32" t="e">
        <x:f>IF(A334&lt;=Dashboard!$F$17,MIN(Dashboard!$F$10,MAX(0,P334-Q334)+R334),0)</x:f>
      </x:c>
      <x:c r="T334" s="32" t="e">
        <x:f>IF(A334&lt;=Dashboard!$F$17,MAX(0,P334-Q334-MAX(0,S334-R334)),0)</x:f>
      </x:c>
      <x:c r="U334" s="32" t="e">
        <x:f>IF(A334=1,R334,U333+R334)</x:f>
      </x:c>
      <x:c r="V334" s="32"/>
      <x:c r="W334" s="32" t="e">
        <x:f>IF(A334=1,Dashboard!$F$14,AA333)</x:f>
      </x:c>
      <x:c r="X334" s="32" t="e">
        <x:f>IF(AND(A334&lt;=Dashboard!$F$17,MOD(A334-1,12)=0),MIN(W334,$B$7),0)</x:f>
      </x:c>
      <x:c r="Y334" s="32" t="e">
        <x:f>IF(A334&lt;=Dashboard!$F$17,MAX(0,W334-X334)*Dashboard!$F$6,0)</x:f>
      </x:c>
      <x:c r="Z334" s="32" t="e">
        <x:f>IF(A334&lt;=Dashboard!$F$17,MIN(Dashboard!$F$10,MAX(0,W334-X334)+Y334),0)</x:f>
      </x:c>
      <x:c r="AA334" s="32" t="e">
        <x:f>IF(A334&lt;=Dashboard!$F$17,MAX(0,W334-X334-MAX(0,Z334-Y334)),0)</x:f>
      </x:c>
      <x:c r="AB334" s="32" t="e">
        <x:f>IF(A334=1,Y334,AB333+Y334)</x:f>
      </x:c>
      <x:c r="AC334" s="32"/>
      <x:c r="AD334" s="32" t="e">
        <x:f>IF(A334=1,MAX(0,Dashboard!$F$14-$B$8),AG333)</x:f>
      </x:c>
      <x:c r="AE334" s="32" t="n">
        <x:f>0</x:f>
        <x:v>0</x:v>
      </x:c>
      <x:c r="AF334" s="32" t="e">
        <x:f>IF(A334&lt;=Dashboard!$F$17,AD334*Dashboard!$F$6,0)</x:f>
      </x:c>
      <x:c r="AG334" s="32" t="e">
        <x:f>IF(A334&lt;=Dashboard!$F$17,MIN(Dashboard!$F$10,AD334+AF334),0)</x:f>
      </x:c>
      <x:c r="AH334" s="32" t="e">
        <x:f>IF(A334&lt;=Dashboard!$F$17,MAX(0,AD334-MAX(0,AG334-AF334)),0)</x:f>
      </x:c>
      <x:c r="AI334" s="32" t="e">
        <x:f>IF(A334=1,AF334,AI333+AF334)</x:f>
      </x:c>
      <x:c r="AJ334" s="33"/>
      <x:c r="AK334" s="33"/>
      <x:c r="AL334" s="33"/>
      <x:c r="AM334" s="33"/>
    </x:row>
    <x:row r="335">
      <x:c r="A335" s="33" t="n">
        <x:v>323</x:v>
      </x:c>
      <x:c r="B335" s="32" t="e">
        <x:f>IF(A335=1,Dashboard!$F$14,F334)</x:f>
      </x:c>
      <x:c r="C335" s="32" t="n">
        <x:f>0</x:f>
        <x:v>0</x:v>
      </x:c>
      <x:c r="D335" s="32" t="e">
        <x:f>IF(A335&lt;=Dashboard!$F$15,B335*Dashboard!$F$6,0)</x:f>
      </x:c>
      <x:c r="E335" s="32" t="e">
        <x:f>IF(A335&lt;=Dashboard!$F$15,MIN(Dashboard!$F$10,B335+D335),0)</x:f>
      </x:c>
      <x:c r="F335" s="32" t="e">
        <x:f>IF(A335&lt;=Dashboard!$F$15,MAX(0,B335-MAX(0,E335-D335)),0)</x:f>
      </x:c>
      <x:c r="G335" s="32" t="e">
        <x:f>IF(A335=1,D335,G334+D335)</x:f>
      </x:c>
      <x:c r="H335" s="32"/>
      <x:c r="I335" s="32" t="e">
        <x:f>IF(A335=1,Dashboard!$F$14,M334)</x:f>
      </x:c>
      <x:c r="J335" s="32" t="e">
        <x:f>IF(A335&lt;=Dashboard!$F$17,MIN(I335,$B$5),0)</x:f>
      </x:c>
      <x:c r="K335" s="32" t="e">
        <x:f>IF(A335&lt;=Dashboard!$F$17,MAX(0,I335-J335)*Dashboard!$F$6,0)</x:f>
      </x:c>
      <x:c r="L335" s="32" t="e">
        <x:f>IF(A335&lt;=Dashboard!$F$17,MIN(Dashboard!$F$10,MAX(0,I335-J335)+K335),0)</x:f>
      </x:c>
      <x:c r="M335" s="32" t="e">
        <x:f>IF(A335&lt;=Dashboard!$F$17,MAX(0,I335-J335-MAX(0,L335-K335)),0)</x:f>
      </x:c>
      <x:c r="N335" s="32" t="e">
        <x:f>IF(A335=1,K335,N334+K335)</x:f>
      </x:c>
      <x:c r="O335" s="32"/>
      <x:c r="P335" s="32" t="e">
        <x:f>IF(A335=1,Dashboard!$F$14,T334)</x:f>
      </x:c>
      <x:c r="Q335" s="32" t="e">
        <x:f>IF(A335&lt;=Dashboard!$F$17,MIN(P335,$B$6*52/12),0)</x:f>
      </x:c>
      <x:c r="R335" s="32" t="e">
        <x:f>IF(A335&lt;=Dashboard!$F$17,MAX(0,P335-Q335)*Dashboard!$F$6,0)</x:f>
      </x:c>
      <x:c r="S335" s="32" t="e">
        <x:f>IF(A335&lt;=Dashboard!$F$17,MIN(Dashboard!$F$10,MAX(0,P335-Q335)+R335),0)</x:f>
      </x:c>
      <x:c r="T335" s="32" t="e">
        <x:f>IF(A335&lt;=Dashboard!$F$17,MAX(0,P335-Q335-MAX(0,S335-R335)),0)</x:f>
      </x:c>
      <x:c r="U335" s="32" t="e">
        <x:f>IF(A335=1,R335,U334+R335)</x:f>
      </x:c>
      <x:c r="V335" s="32"/>
      <x:c r="W335" s="32" t="e">
        <x:f>IF(A335=1,Dashboard!$F$14,AA334)</x:f>
      </x:c>
      <x:c r="X335" s="32" t="e">
        <x:f>IF(AND(A335&lt;=Dashboard!$F$17,MOD(A335-1,12)=0),MIN(W335,$B$7),0)</x:f>
      </x:c>
      <x:c r="Y335" s="32" t="e">
        <x:f>IF(A335&lt;=Dashboard!$F$17,MAX(0,W335-X335)*Dashboard!$F$6,0)</x:f>
      </x:c>
      <x:c r="Z335" s="32" t="e">
        <x:f>IF(A335&lt;=Dashboard!$F$17,MIN(Dashboard!$F$10,MAX(0,W335-X335)+Y335),0)</x:f>
      </x:c>
      <x:c r="AA335" s="32" t="e">
        <x:f>IF(A335&lt;=Dashboard!$F$17,MAX(0,W335-X335-MAX(0,Z335-Y335)),0)</x:f>
      </x:c>
      <x:c r="AB335" s="32" t="e">
        <x:f>IF(A335=1,Y335,AB334+Y335)</x:f>
      </x:c>
      <x:c r="AC335" s="32"/>
      <x:c r="AD335" s="32" t="e">
        <x:f>IF(A335=1,MAX(0,Dashboard!$F$14-$B$8),AG334)</x:f>
      </x:c>
      <x:c r="AE335" s="32" t="n">
        <x:f>0</x:f>
        <x:v>0</x:v>
      </x:c>
      <x:c r="AF335" s="32" t="e">
        <x:f>IF(A335&lt;=Dashboard!$F$17,AD335*Dashboard!$F$6,0)</x:f>
      </x:c>
      <x:c r="AG335" s="32" t="e">
        <x:f>IF(A335&lt;=Dashboard!$F$17,MIN(Dashboard!$F$10,AD335+AF335),0)</x:f>
      </x:c>
      <x:c r="AH335" s="32" t="e">
        <x:f>IF(A335&lt;=Dashboard!$F$17,MAX(0,AD335-MAX(0,AG335-AF335)),0)</x:f>
      </x:c>
      <x:c r="AI335" s="32" t="e">
        <x:f>IF(A335=1,AF335,AI334+AF335)</x:f>
      </x:c>
      <x:c r="AJ335" s="33"/>
      <x:c r="AK335" s="33"/>
      <x:c r="AL335" s="33"/>
      <x:c r="AM335" s="33"/>
    </x:row>
    <x:row r="336">
      <x:c r="A336" s="33" t="n">
        <x:v>324</x:v>
      </x:c>
      <x:c r="B336" s="32" t="e">
        <x:f>IF(A336=1,Dashboard!$F$14,F335)</x:f>
      </x:c>
      <x:c r="C336" s="32" t="n">
        <x:f>0</x:f>
        <x:v>0</x:v>
      </x:c>
      <x:c r="D336" s="32" t="e">
        <x:f>IF(A336&lt;=Dashboard!$F$15,B336*Dashboard!$F$6,0)</x:f>
      </x:c>
      <x:c r="E336" s="32" t="e">
        <x:f>IF(A336&lt;=Dashboard!$F$15,MIN(Dashboard!$F$10,B336+D336),0)</x:f>
      </x:c>
      <x:c r="F336" s="32" t="e">
        <x:f>IF(A336&lt;=Dashboard!$F$15,MAX(0,B336-MAX(0,E336-D336)),0)</x:f>
      </x:c>
      <x:c r="G336" s="32" t="e">
        <x:f>IF(A336=1,D336,G335+D336)</x:f>
      </x:c>
      <x:c r="H336" s="32"/>
      <x:c r="I336" s="32" t="e">
        <x:f>IF(A336=1,Dashboard!$F$14,M335)</x:f>
      </x:c>
      <x:c r="J336" s="32" t="e">
        <x:f>IF(A336&lt;=Dashboard!$F$17,MIN(I336,$B$5),0)</x:f>
      </x:c>
      <x:c r="K336" s="32" t="e">
        <x:f>IF(A336&lt;=Dashboard!$F$17,MAX(0,I336-J336)*Dashboard!$F$6,0)</x:f>
      </x:c>
      <x:c r="L336" s="32" t="e">
        <x:f>IF(A336&lt;=Dashboard!$F$17,MIN(Dashboard!$F$10,MAX(0,I336-J336)+K336),0)</x:f>
      </x:c>
      <x:c r="M336" s="32" t="e">
        <x:f>IF(A336&lt;=Dashboard!$F$17,MAX(0,I336-J336-MAX(0,L336-K336)),0)</x:f>
      </x:c>
      <x:c r="N336" s="32" t="e">
        <x:f>IF(A336=1,K336,N335+K336)</x:f>
      </x:c>
      <x:c r="O336" s="32"/>
      <x:c r="P336" s="32" t="e">
        <x:f>IF(A336=1,Dashboard!$F$14,T335)</x:f>
      </x:c>
      <x:c r="Q336" s="32" t="e">
        <x:f>IF(A336&lt;=Dashboard!$F$17,MIN(P336,$B$6*52/12),0)</x:f>
      </x:c>
      <x:c r="R336" s="32" t="e">
        <x:f>IF(A336&lt;=Dashboard!$F$17,MAX(0,P336-Q336)*Dashboard!$F$6,0)</x:f>
      </x:c>
      <x:c r="S336" s="32" t="e">
        <x:f>IF(A336&lt;=Dashboard!$F$17,MIN(Dashboard!$F$10,MAX(0,P336-Q336)+R336),0)</x:f>
      </x:c>
      <x:c r="T336" s="32" t="e">
        <x:f>IF(A336&lt;=Dashboard!$F$17,MAX(0,P336-Q336-MAX(0,S336-R336)),0)</x:f>
      </x:c>
      <x:c r="U336" s="32" t="e">
        <x:f>IF(A336=1,R336,U335+R336)</x:f>
      </x:c>
      <x:c r="V336" s="32"/>
      <x:c r="W336" s="32" t="e">
        <x:f>IF(A336=1,Dashboard!$F$14,AA335)</x:f>
      </x:c>
      <x:c r="X336" s="32" t="e">
        <x:f>IF(AND(A336&lt;=Dashboard!$F$17,MOD(A336-1,12)=0),MIN(W336,$B$7),0)</x:f>
      </x:c>
      <x:c r="Y336" s="32" t="e">
        <x:f>IF(A336&lt;=Dashboard!$F$17,MAX(0,W336-X336)*Dashboard!$F$6,0)</x:f>
      </x:c>
      <x:c r="Z336" s="32" t="e">
        <x:f>IF(A336&lt;=Dashboard!$F$17,MIN(Dashboard!$F$10,MAX(0,W336-X336)+Y336),0)</x:f>
      </x:c>
      <x:c r="AA336" s="32" t="e">
        <x:f>IF(A336&lt;=Dashboard!$F$17,MAX(0,W336-X336-MAX(0,Z336-Y336)),0)</x:f>
      </x:c>
      <x:c r="AB336" s="32" t="e">
        <x:f>IF(A336=1,Y336,AB335+Y336)</x:f>
      </x:c>
      <x:c r="AC336" s="32"/>
      <x:c r="AD336" s="32" t="e">
        <x:f>IF(A336=1,MAX(0,Dashboard!$F$14-$B$8),AG335)</x:f>
      </x:c>
      <x:c r="AE336" s="32" t="n">
        <x:f>0</x:f>
        <x:v>0</x:v>
      </x:c>
      <x:c r="AF336" s="32" t="e">
        <x:f>IF(A336&lt;=Dashboard!$F$17,AD336*Dashboard!$F$6,0)</x:f>
      </x:c>
      <x:c r="AG336" s="32" t="e">
        <x:f>IF(A336&lt;=Dashboard!$F$17,MIN(Dashboard!$F$10,AD336+AF336),0)</x:f>
      </x:c>
      <x:c r="AH336" s="32" t="e">
        <x:f>IF(A336&lt;=Dashboard!$F$17,MAX(0,AD336-MAX(0,AG336-AF336)),0)</x:f>
      </x:c>
      <x:c r="AI336" s="32" t="e">
        <x:f>IF(A336=1,AF336,AI335+AF336)</x:f>
      </x:c>
      <x:c r="AJ336" s="33"/>
      <x:c r="AK336" s="33"/>
      <x:c r="AL336" s="33"/>
      <x:c r="AM336" s="33"/>
    </x:row>
    <x:row r="337">
      <x:c r="A337" s="33" t="n">
        <x:v>325</x:v>
      </x:c>
      <x:c r="B337" s="32" t="e">
        <x:f>IF(A337=1,Dashboard!$F$14,F336)</x:f>
      </x:c>
      <x:c r="C337" s="32" t="n">
        <x:f>0</x:f>
        <x:v>0</x:v>
      </x:c>
      <x:c r="D337" s="32" t="e">
        <x:f>IF(A337&lt;=Dashboard!$F$15,B337*Dashboard!$F$6,0)</x:f>
      </x:c>
      <x:c r="E337" s="32" t="e">
        <x:f>IF(A337&lt;=Dashboard!$F$15,MIN(Dashboard!$F$10,B337+D337),0)</x:f>
      </x:c>
      <x:c r="F337" s="32" t="e">
        <x:f>IF(A337&lt;=Dashboard!$F$15,MAX(0,B337-MAX(0,E337-D337)),0)</x:f>
      </x:c>
      <x:c r="G337" s="32" t="e">
        <x:f>IF(A337=1,D337,G336+D337)</x:f>
      </x:c>
      <x:c r="H337" s="32"/>
      <x:c r="I337" s="32" t="e">
        <x:f>IF(A337=1,Dashboard!$F$14,M336)</x:f>
      </x:c>
      <x:c r="J337" s="32" t="e">
        <x:f>IF(A337&lt;=Dashboard!$F$17,MIN(I337,$B$5),0)</x:f>
      </x:c>
      <x:c r="K337" s="32" t="e">
        <x:f>IF(A337&lt;=Dashboard!$F$17,MAX(0,I337-J337)*Dashboard!$F$6,0)</x:f>
      </x:c>
      <x:c r="L337" s="32" t="e">
        <x:f>IF(A337&lt;=Dashboard!$F$17,MIN(Dashboard!$F$10,MAX(0,I337-J337)+K337),0)</x:f>
      </x:c>
      <x:c r="M337" s="32" t="e">
        <x:f>IF(A337&lt;=Dashboard!$F$17,MAX(0,I337-J337-MAX(0,L337-K337)),0)</x:f>
      </x:c>
      <x:c r="N337" s="32" t="e">
        <x:f>IF(A337=1,K337,N336+K337)</x:f>
      </x:c>
      <x:c r="O337" s="32"/>
      <x:c r="P337" s="32" t="e">
        <x:f>IF(A337=1,Dashboard!$F$14,T336)</x:f>
      </x:c>
      <x:c r="Q337" s="32" t="e">
        <x:f>IF(A337&lt;=Dashboard!$F$17,MIN(P337,$B$6*52/12),0)</x:f>
      </x:c>
      <x:c r="R337" s="32" t="e">
        <x:f>IF(A337&lt;=Dashboard!$F$17,MAX(0,P337-Q337)*Dashboard!$F$6,0)</x:f>
      </x:c>
      <x:c r="S337" s="32" t="e">
        <x:f>IF(A337&lt;=Dashboard!$F$17,MIN(Dashboard!$F$10,MAX(0,P337-Q337)+R337),0)</x:f>
      </x:c>
      <x:c r="T337" s="32" t="e">
        <x:f>IF(A337&lt;=Dashboard!$F$17,MAX(0,P337-Q337-MAX(0,S337-R337)),0)</x:f>
      </x:c>
      <x:c r="U337" s="32" t="e">
        <x:f>IF(A337=1,R337,U336+R337)</x:f>
      </x:c>
      <x:c r="V337" s="32"/>
      <x:c r="W337" s="32" t="e">
        <x:f>IF(A337=1,Dashboard!$F$14,AA336)</x:f>
      </x:c>
      <x:c r="X337" s="32" t="e">
        <x:f>IF(AND(A337&lt;=Dashboard!$F$17,MOD(A337-1,12)=0),MIN(W337,$B$7),0)</x:f>
      </x:c>
      <x:c r="Y337" s="32" t="e">
        <x:f>IF(A337&lt;=Dashboard!$F$17,MAX(0,W337-X337)*Dashboard!$F$6,0)</x:f>
      </x:c>
      <x:c r="Z337" s="32" t="e">
        <x:f>IF(A337&lt;=Dashboard!$F$17,MIN(Dashboard!$F$10,MAX(0,W337-X337)+Y337),0)</x:f>
      </x:c>
      <x:c r="AA337" s="32" t="e">
        <x:f>IF(A337&lt;=Dashboard!$F$17,MAX(0,W337-X337-MAX(0,Z337-Y337)),0)</x:f>
      </x:c>
      <x:c r="AB337" s="32" t="e">
        <x:f>IF(A337=1,Y337,AB336+Y337)</x:f>
      </x:c>
      <x:c r="AC337" s="32"/>
      <x:c r="AD337" s="32" t="e">
        <x:f>IF(A337=1,MAX(0,Dashboard!$F$14-$B$8),AG336)</x:f>
      </x:c>
      <x:c r="AE337" s="32" t="n">
        <x:f>0</x:f>
        <x:v>0</x:v>
      </x:c>
      <x:c r="AF337" s="32" t="e">
        <x:f>IF(A337&lt;=Dashboard!$F$17,AD337*Dashboard!$F$6,0)</x:f>
      </x:c>
      <x:c r="AG337" s="32" t="e">
        <x:f>IF(A337&lt;=Dashboard!$F$17,MIN(Dashboard!$F$10,AD337+AF337),0)</x:f>
      </x:c>
      <x:c r="AH337" s="32" t="e">
        <x:f>IF(A337&lt;=Dashboard!$F$17,MAX(0,AD337-MAX(0,AG337-AF337)),0)</x:f>
      </x:c>
      <x:c r="AI337" s="32" t="e">
        <x:f>IF(A337=1,AF337,AI336+AF337)</x:f>
      </x:c>
      <x:c r="AJ337" s="33"/>
      <x:c r="AK337" s="33"/>
      <x:c r="AL337" s="33"/>
      <x:c r="AM337" s="33"/>
    </x:row>
    <x:row r="338">
      <x:c r="A338" s="33" t="n">
        <x:v>326</x:v>
      </x:c>
      <x:c r="B338" s="32" t="e">
        <x:f>IF(A338=1,Dashboard!$F$14,F337)</x:f>
      </x:c>
      <x:c r="C338" s="32" t="n">
        <x:f>0</x:f>
        <x:v>0</x:v>
      </x:c>
      <x:c r="D338" s="32" t="e">
        <x:f>IF(A338&lt;=Dashboard!$F$15,B338*Dashboard!$F$6,0)</x:f>
      </x:c>
      <x:c r="E338" s="32" t="e">
        <x:f>IF(A338&lt;=Dashboard!$F$15,MIN(Dashboard!$F$10,B338+D338),0)</x:f>
      </x:c>
      <x:c r="F338" s="32" t="e">
        <x:f>IF(A338&lt;=Dashboard!$F$15,MAX(0,B338-MAX(0,E338-D338)),0)</x:f>
      </x:c>
      <x:c r="G338" s="32" t="e">
        <x:f>IF(A338=1,D338,G337+D338)</x:f>
      </x:c>
      <x:c r="H338" s="32"/>
      <x:c r="I338" s="32" t="e">
        <x:f>IF(A338=1,Dashboard!$F$14,M337)</x:f>
      </x:c>
      <x:c r="J338" s="32" t="e">
        <x:f>IF(A338&lt;=Dashboard!$F$17,MIN(I338,$B$5),0)</x:f>
      </x:c>
      <x:c r="K338" s="32" t="e">
        <x:f>IF(A338&lt;=Dashboard!$F$17,MAX(0,I338-J338)*Dashboard!$F$6,0)</x:f>
      </x:c>
      <x:c r="L338" s="32" t="e">
        <x:f>IF(A338&lt;=Dashboard!$F$17,MIN(Dashboard!$F$10,MAX(0,I338-J338)+K338),0)</x:f>
      </x:c>
      <x:c r="M338" s="32" t="e">
        <x:f>IF(A338&lt;=Dashboard!$F$17,MAX(0,I338-J338-MAX(0,L338-K338)),0)</x:f>
      </x:c>
      <x:c r="N338" s="32" t="e">
        <x:f>IF(A338=1,K338,N337+K338)</x:f>
      </x:c>
      <x:c r="O338" s="32"/>
      <x:c r="P338" s="32" t="e">
        <x:f>IF(A338=1,Dashboard!$F$14,T337)</x:f>
      </x:c>
      <x:c r="Q338" s="32" t="e">
        <x:f>IF(A338&lt;=Dashboard!$F$17,MIN(P338,$B$6*52/12),0)</x:f>
      </x:c>
      <x:c r="R338" s="32" t="e">
        <x:f>IF(A338&lt;=Dashboard!$F$17,MAX(0,P338-Q338)*Dashboard!$F$6,0)</x:f>
      </x:c>
      <x:c r="S338" s="32" t="e">
        <x:f>IF(A338&lt;=Dashboard!$F$17,MIN(Dashboard!$F$10,MAX(0,P338-Q338)+R338),0)</x:f>
      </x:c>
      <x:c r="T338" s="32" t="e">
        <x:f>IF(A338&lt;=Dashboard!$F$17,MAX(0,P338-Q338-MAX(0,S338-R338)),0)</x:f>
      </x:c>
      <x:c r="U338" s="32" t="e">
        <x:f>IF(A338=1,R338,U337+R338)</x:f>
      </x:c>
      <x:c r="V338" s="32"/>
      <x:c r="W338" s="32" t="e">
        <x:f>IF(A338=1,Dashboard!$F$14,AA337)</x:f>
      </x:c>
      <x:c r="X338" s="32" t="e">
        <x:f>IF(AND(A338&lt;=Dashboard!$F$17,MOD(A338-1,12)=0),MIN(W338,$B$7),0)</x:f>
      </x:c>
      <x:c r="Y338" s="32" t="e">
        <x:f>IF(A338&lt;=Dashboard!$F$17,MAX(0,W338-X338)*Dashboard!$F$6,0)</x:f>
      </x:c>
      <x:c r="Z338" s="32" t="e">
        <x:f>IF(A338&lt;=Dashboard!$F$17,MIN(Dashboard!$F$10,MAX(0,W338-X338)+Y338),0)</x:f>
      </x:c>
      <x:c r="AA338" s="32" t="e">
        <x:f>IF(A338&lt;=Dashboard!$F$17,MAX(0,W338-X338-MAX(0,Z338-Y338)),0)</x:f>
      </x:c>
      <x:c r="AB338" s="32" t="e">
        <x:f>IF(A338=1,Y338,AB337+Y338)</x:f>
      </x:c>
      <x:c r="AC338" s="32"/>
      <x:c r="AD338" s="32" t="e">
        <x:f>IF(A338=1,MAX(0,Dashboard!$F$14-$B$8),AG337)</x:f>
      </x:c>
      <x:c r="AE338" s="32" t="n">
        <x:f>0</x:f>
        <x:v>0</x:v>
      </x:c>
      <x:c r="AF338" s="32" t="e">
        <x:f>IF(A338&lt;=Dashboard!$F$17,AD338*Dashboard!$F$6,0)</x:f>
      </x:c>
      <x:c r="AG338" s="32" t="e">
        <x:f>IF(A338&lt;=Dashboard!$F$17,MIN(Dashboard!$F$10,AD338+AF338),0)</x:f>
      </x:c>
      <x:c r="AH338" s="32" t="e">
        <x:f>IF(A338&lt;=Dashboard!$F$17,MAX(0,AD338-MAX(0,AG338-AF338)),0)</x:f>
      </x:c>
      <x:c r="AI338" s="32" t="e">
        <x:f>IF(A338=1,AF338,AI337+AF338)</x:f>
      </x:c>
      <x:c r="AJ338" s="33"/>
      <x:c r="AK338" s="33"/>
      <x:c r="AL338" s="33"/>
      <x:c r="AM338" s="33"/>
    </x:row>
    <x:row r="339">
      <x:c r="A339" s="33" t="n">
        <x:v>327</x:v>
      </x:c>
      <x:c r="B339" s="32" t="e">
        <x:f>IF(A339=1,Dashboard!$F$14,F338)</x:f>
      </x:c>
      <x:c r="C339" s="32" t="n">
        <x:f>0</x:f>
        <x:v>0</x:v>
      </x:c>
      <x:c r="D339" s="32" t="e">
        <x:f>IF(A339&lt;=Dashboard!$F$15,B339*Dashboard!$F$6,0)</x:f>
      </x:c>
      <x:c r="E339" s="32" t="e">
        <x:f>IF(A339&lt;=Dashboard!$F$15,MIN(Dashboard!$F$10,B339+D339),0)</x:f>
      </x:c>
      <x:c r="F339" s="32" t="e">
        <x:f>IF(A339&lt;=Dashboard!$F$15,MAX(0,B339-MAX(0,E339-D339)),0)</x:f>
      </x:c>
      <x:c r="G339" s="32" t="e">
        <x:f>IF(A339=1,D339,G338+D339)</x:f>
      </x:c>
      <x:c r="H339" s="32"/>
      <x:c r="I339" s="32" t="e">
        <x:f>IF(A339=1,Dashboard!$F$14,M338)</x:f>
      </x:c>
      <x:c r="J339" s="32" t="e">
        <x:f>IF(A339&lt;=Dashboard!$F$17,MIN(I339,$B$5),0)</x:f>
      </x:c>
      <x:c r="K339" s="32" t="e">
        <x:f>IF(A339&lt;=Dashboard!$F$17,MAX(0,I339-J339)*Dashboard!$F$6,0)</x:f>
      </x:c>
      <x:c r="L339" s="32" t="e">
        <x:f>IF(A339&lt;=Dashboard!$F$17,MIN(Dashboard!$F$10,MAX(0,I339-J339)+K339),0)</x:f>
      </x:c>
      <x:c r="M339" s="32" t="e">
        <x:f>IF(A339&lt;=Dashboard!$F$17,MAX(0,I339-J339-MAX(0,L339-K339)),0)</x:f>
      </x:c>
      <x:c r="N339" s="32" t="e">
        <x:f>IF(A339=1,K339,N338+K339)</x:f>
      </x:c>
      <x:c r="O339" s="32"/>
      <x:c r="P339" s="32" t="e">
        <x:f>IF(A339=1,Dashboard!$F$14,T338)</x:f>
      </x:c>
      <x:c r="Q339" s="32" t="e">
        <x:f>IF(A339&lt;=Dashboard!$F$17,MIN(P339,$B$6*52/12),0)</x:f>
      </x:c>
      <x:c r="R339" s="32" t="e">
        <x:f>IF(A339&lt;=Dashboard!$F$17,MAX(0,P339-Q339)*Dashboard!$F$6,0)</x:f>
      </x:c>
      <x:c r="S339" s="32" t="e">
        <x:f>IF(A339&lt;=Dashboard!$F$17,MIN(Dashboard!$F$10,MAX(0,P339-Q339)+R339),0)</x:f>
      </x:c>
      <x:c r="T339" s="32" t="e">
        <x:f>IF(A339&lt;=Dashboard!$F$17,MAX(0,P339-Q339-MAX(0,S339-R339)),0)</x:f>
      </x:c>
      <x:c r="U339" s="32" t="e">
        <x:f>IF(A339=1,R339,U338+R339)</x:f>
      </x:c>
      <x:c r="V339" s="32"/>
      <x:c r="W339" s="32" t="e">
        <x:f>IF(A339=1,Dashboard!$F$14,AA338)</x:f>
      </x:c>
      <x:c r="X339" s="32" t="e">
        <x:f>IF(AND(A339&lt;=Dashboard!$F$17,MOD(A339-1,12)=0),MIN(W339,$B$7),0)</x:f>
      </x:c>
      <x:c r="Y339" s="32" t="e">
        <x:f>IF(A339&lt;=Dashboard!$F$17,MAX(0,W339-X339)*Dashboard!$F$6,0)</x:f>
      </x:c>
      <x:c r="Z339" s="32" t="e">
        <x:f>IF(A339&lt;=Dashboard!$F$17,MIN(Dashboard!$F$10,MAX(0,W339-X339)+Y339),0)</x:f>
      </x:c>
      <x:c r="AA339" s="32" t="e">
        <x:f>IF(A339&lt;=Dashboard!$F$17,MAX(0,W339-X339-MAX(0,Z339-Y339)),0)</x:f>
      </x:c>
      <x:c r="AB339" s="32" t="e">
        <x:f>IF(A339=1,Y339,AB338+Y339)</x:f>
      </x:c>
      <x:c r="AC339" s="32"/>
      <x:c r="AD339" s="32" t="e">
        <x:f>IF(A339=1,MAX(0,Dashboard!$F$14-$B$8),AG338)</x:f>
      </x:c>
      <x:c r="AE339" s="32" t="n">
        <x:f>0</x:f>
        <x:v>0</x:v>
      </x:c>
      <x:c r="AF339" s="32" t="e">
        <x:f>IF(A339&lt;=Dashboard!$F$17,AD339*Dashboard!$F$6,0)</x:f>
      </x:c>
      <x:c r="AG339" s="32" t="e">
        <x:f>IF(A339&lt;=Dashboard!$F$17,MIN(Dashboard!$F$10,AD339+AF339),0)</x:f>
      </x:c>
      <x:c r="AH339" s="32" t="e">
        <x:f>IF(A339&lt;=Dashboard!$F$17,MAX(0,AD339-MAX(0,AG339-AF339)),0)</x:f>
      </x:c>
      <x:c r="AI339" s="32" t="e">
        <x:f>IF(A339=1,AF339,AI338+AF339)</x:f>
      </x:c>
      <x:c r="AJ339" s="33"/>
      <x:c r="AK339" s="33"/>
      <x:c r="AL339" s="33"/>
      <x:c r="AM339" s="33"/>
    </x:row>
    <x:row r="340">
      <x:c r="A340" s="33" t="n">
        <x:v>328</x:v>
      </x:c>
      <x:c r="B340" s="32" t="e">
        <x:f>IF(A340=1,Dashboard!$F$14,F339)</x:f>
      </x:c>
      <x:c r="C340" s="32" t="n">
        <x:f>0</x:f>
        <x:v>0</x:v>
      </x:c>
      <x:c r="D340" s="32" t="e">
        <x:f>IF(A340&lt;=Dashboard!$F$15,B340*Dashboard!$F$6,0)</x:f>
      </x:c>
      <x:c r="E340" s="32" t="e">
        <x:f>IF(A340&lt;=Dashboard!$F$15,MIN(Dashboard!$F$10,B340+D340),0)</x:f>
      </x:c>
      <x:c r="F340" s="32" t="e">
        <x:f>IF(A340&lt;=Dashboard!$F$15,MAX(0,B340-MAX(0,E340-D340)),0)</x:f>
      </x:c>
      <x:c r="G340" s="32" t="e">
        <x:f>IF(A340=1,D340,G339+D340)</x:f>
      </x:c>
      <x:c r="H340" s="32"/>
      <x:c r="I340" s="32" t="e">
        <x:f>IF(A340=1,Dashboard!$F$14,M339)</x:f>
      </x:c>
      <x:c r="J340" s="32" t="e">
        <x:f>IF(A340&lt;=Dashboard!$F$17,MIN(I340,$B$5),0)</x:f>
      </x:c>
      <x:c r="K340" s="32" t="e">
        <x:f>IF(A340&lt;=Dashboard!$F$17,MAX(0,I340-J340)*Dashboard!$F$6,0)</x:f>
      </x:c>
      <x:c r="L340" s="32" t="e">
        <x:f>IF(A340&lt;=Dashboard!$F$17,MIN(Dashboard!$F$10,MAX(0,I340-J340)+K340),0)</x:f>
      </x:c>
      <x:c r="M340" s="32" t="e">
        <x:f>IF(A340&lt;=Dashboard!$F$17,MAX(0,I340-J340-MAX(0,L340-K340)),0)</x:f>
      </x:c>
      <x:c r="N340" s="32" t="e">
        <x:f>IF(A340=1,K340,N339+K340)</x:f>
      </x:c>
      <x:c r="O340" s="32"/>
      <x:c r="P340" s="32" t="e">
        <x:f>IF(A340=1,Dashboard!$F$14,T339)</x:f>
      </x:c>
      <x:c r="Q340" s="32" t="e">
        <x:f>IF(A340&lt;=Dashboard!$F$17,MIN(P340,$B$6*52/12),0)</x:f>
      </x:c>
      <x:c r="R340" s="32" t="e">
        <x:f>IF(A340&lt;=Dashboard!$F$17,MAX(0,P340-Q340)*Dashboard!$F$6,0)</x:f>
      </x:c>
      <x:c r="S340" s="32" t="e">
        <x:f>IF(A340&lt;=Dashboard!$F$17,MIN(Dashboard!$F$10,MAX(0,P340-Q340)+R340),0)</x:f>
      </x:c>
      <x:c r="T340" s="32" t="e">
        <x:f>IF(A340&lt;=Dashboard!$F$17,MAX(0,P340-Q340-MAX(0,S340-R340)),0)</x:f>
      </x:c>
      <x:c r="U340" s="32" t="e">
        <x:f>IF(A340=1,R340,U339+R340)</x:f>
      </x:c>
      <x:c r="V340" s="32"/>
      <x:c r="W340" s="32" t="e">
        <x:f>IF(A340=1,Dashboard!$F$14,AA339)</x:f>
      </x:c>
      <x:c r="X340" s="32" t="e">
        <x:f>IF(AND(A340&lt;=Dashboard!$F$17,MOD(A340-1,12)=0),MIN(W340,$B$7),0)</x:f>
      </x:c>
      <x:c r="Y340" s="32" t="e">
        <x:f>IF(A340&lt;=Dashboard!$F$17,MAX(0,W340-X340)*Dashboard!$F$6,0)</x:f>
      </x:c>
      <x:c r="Z340" s="32" t="e">
        <x:f>IF(A340&lt;=Dashboard!$F$17,MIN(Dashboard!$F$10,MAX(0,W340-X340)+Y340),0)</x:f>
      </x:c>
      <x:c r="AA340" s="32" t="e">
        <x:f>IF(A340&lt;=Dashboard!$F$17,MAX(0,W340-X340-MAX(0,Z340-Y340)),0)</x:f>
      </x:c>
      <x:c r="AB340" s="32" t="e">
        <x:f>IF(A340=1,Y340,AB339+Y340)</x:f>
      </x:c>
      <x:c r="AC340" s="32"/>
      <x:c r="AD340" s="32" t="e">
        <x:f>IF(A340=1,MAX(0,Dashboard!$F$14-$B$8),AG339)</x:f>
      </x:c>
      <x:c r="AE340" s="32" t="n">
        <x:f>0</x:f>
        <x:v>0</x:v>
      </x:c>
      <x:c r="AF340" s="32" t="e">
        <x:f>IF(A340&lt;=Dashboard!$F$17,AD340*Dashboard!$F$6,0)</x:f>
      </x:c>
      <x:c r="AG340" s="32" t="e">
        <x:f>IF(A340&lt;=Dashboard!$F$17,MIN(Dashboard!$F$10,AD340+AF340),0)</x:f>
      </x:c>
      <x:c r="AH340" s="32" t="e">
        <x:f>IF(A340&lt;=Dashboard!$F$17,MAX(0,AD340-MAX(0,AG340-AF340)),0)</x:f>
      </x:c>
      <x:c r="AI340" s="32" t="e">
        <x:f>IF(A340=1,AF340,AI339+AF340)</x:f>
      </x:c>
      <x:c r="AJ340" s="33"/>
      <x:c r="AK340" s="33"/>
      <x:c r="AL340" s="33"/>
      <x:c r="AM340" s="33"/>
    </x:row>
    <x:row r="341">
      <x:c r="A341" s="33" t="n">
        <x:v>329</x:v>
      </x:c>
      <x:c r="B341" s="32" t="e">
        <x:f>IF(A341=1,Dashboard!$F$14,F340)</x:f>
      </x:c>
      <x:c r="C341" s="32" t="n">
        <x:f>0</x:f>
        <x:v>0</x:v>
      </x:c>
      <x:c r="D341" s="32" t="e">
        <x:f>IF(A341&lt;=Dashboard!$F$15,B341*Dashboard!$F$6,0)</x:f>
      </x:c>
      <x:c r="E341" s="32" t="e">
        <x:f>IF(A341&lt;=Dashboard!$F$15,MIN(Dashboard!$F$10,B341+D341),0)</x:f>
      </x:c>
      <x:c r="F341" s="32" t="e">
        <x:f>IF(A341&lt;=Dashboard!$F$15,MAX(0,B341-MAX(0,E341-D341)),0)</x:f>
      </x:c>
      <x:c r="G341" s="32" t="e">
        <x:f>IF(A341=1,D341,G340+D341)</x:f>
      </x:c>
      <x:c r="H341" s="32"/>
      <x:c r="I341" s="32" t="e">
        <x:f>IF(A341=1,Dashboard!$F$14,M340)</x:f>
      </x:c>
      <x:c r="J341" s="32" t="e">
        <x:f>IF(A341&lt;=Dashboard!$F$17,MIN(I341,$B$5),0)</x:f>
      </x:c>
      <x:c r="K341" s="32" t="e">
        <x:f>IF(A341&lt;=Dashboard!$F$17,MAX(0,I341-J341)*Dashboard!$F$6,0)</x:f>
      </x:c>
      <x:c r="L341" s="32" t="e">
        <x:f>IF(A341&lt;=Dashboard!$F$17,MIN(Dashboard!$F$10,MAX(0,I341-J341)+K341),0)</x:f>
      </x:c>
      <x:c r="M341" s="32" t="e">
        <x:f>IF(A341&lt;=Dashboard!$F$17,MAX(0,I341-J341-MAX(0,L341-K341)),0)</x:f>
      </x:c>
      <x:c r="N341" s="32" t="e">
        <x:f>IF(A341=1,K341,N340+K341)</x:f>
      </x:c>
      <x:c r="O341" s="32"/>
      <x:c r="P341" s="32" t="e">
        <x:f>IF(A341=1,Dashboard!$F$14,T340)</x:f>
      </x:c>
      <x:c r="Q341" s="32" t="e">
        <x:f>IF(A341&lt;=Dashboard!$F$17,MIN(P341,$B$6*52/12),0)</x:f>
      </x:c>
      <x:c r="R341" s="32" t="e">
        <x:f>IF(A341&lt;=Dashboard!$F$17,MAX(0,P341-Q341)*Dashboard!$F$6,0)</x:f>
      </x:c>
      <x:c r="S341" s="32" t="e">
        <x:f>IF(A341&lt;=Dashboard!$F$17,MIN(Dashboard!$F$10,MAX(0,P341-Q341)+R341),0)</x:f>
      </x:c>
      <x:c r="T341" s="32" t="e">
        <x:f>IF(A341&lt;=Dashboard!$F$17,MAX(0,P341-Q341-MAX(0,S341-R341)),0)</x:f>
      </x:c>
      <x:c r="U341" s="32" t="e">
        <x:f>IF(A341=1,R341,U340+R341)</x:f>
      </x:c>
      <x:c r="V341" s="32"/>
      <x:c r="W341" s="32" t="e">
        <x:f>IF(A341=1,Dashboard!$F$14,AA340)</x:f>
      </x:c>
      <x:c r="X341" s="32" t="e">
        <x:f>IF(AND(A341&lt;=Dashboard!$F$17,MOD(A341-1,12)=0),MIN(W341,$B$7),0)</x:f>
      </x:c>
      <x:c r="Y341" s="32" t="e">
        <x:f>IF(A341&lt;=Dashboard!$F$17,MAX(0,W341-X341)*Dashboard!$F$6,0)</x:f>
      </x:c>
      <x:c r="Z341" s="32" t="e">
        <x:f>IF(A341&lt;=Dashboard!$F$17,MIN(Dashboard!$F$10,MAX(0,W341-X341)+Y341),0)</x:f>
      </x:c>
      <x:c r="AA341" s="32" t="e">
        <x:f>IF(A341&lt;=Dashboard!$F$17,MAX(0,W341-X341-MAX(0,Z341-Y341)),0)</x:f>
      </x:c>
      <x:c r="AB341" s="32" t="e">
        <x:f>IF(A341=1,Y341,AB340+Y341)</x:f>
      </x:c>
      <x:c r="AC341" s="32"/>
      <x:c r="AD341" s="32" t="e">
        <x:f>IF(A341=1,MAX(0,Dashboard!$F$14-$B$8),AG340)</x:f>
      </x:c>
      <x:c r="AE341" s="32" t="n">
        <x:f>0</x:f>
        <x:v>0</x:v>
      </x:c>
      <x:c r="AF341" s="32" t="e">
        <x:f>IF(A341&lt;=Dashboard!$F$17,AD341*Dashboard!$F$6,0)</x:f>
      </x:c>
      <x:c r="AG341" s="32" t="e">
        <x:f>IF(A341&lt;=Dashboard!$F$17,MIN(Dashboard!$F$10,AD341+AF341),0)</x:f>
      </x:c>
      <x:c r="AH341" s="32" t="e">
        <x:f>IF(A341&lt;=Dashboard!$F$17,MAX(0,AD341-MAX(0,AG341-AF341)),0)</x:f>
      </x:c>
      <x:c r="AI341" s="32" t="e">
        <x:f>IF(A341=1,AF341,AI340+AF341)</x:f>
      </x:c>
      <x:c r="AJ341" s="33"/>
      <x:c r="AK341" s="33"/>
      <x:c r="AL341" s="33"/>
      <x:c r="AM341" s="33"/>
    </x:row>
    <x:row r="342">
      <x:c r="A342" s="33" t="n">
        <x:v>330</x:v>
      </x:c>
      <x:c r="B342" s="32" t="e">
        <x:f>IF(A342=1,Dashboard!$F$14,F341)</x:f>
      </x:c>
      <x:c r="C342" s="32" t="n">
        <x:f>0</x:f>
        <x:v>0</x:v>
      </x:c>
      <x:c r="D342" s="32" t="e">
        <x:f>IF(A342&lt;=Dashboard!$F$15,B342*Dashboard!$F$6,0)</x:f>
      </x:c>
      <x:c r="E342" s="32" t="e">
        <x:f>IF(A342&lt;=Dashboard!$F$15,MIN(Dashboard!$F$10,B342+D342),0)</x:f>
      </x:c>
      <x:c r="F342" s="32" t="e">
        <x:f>IF(A342&lt;=Dashboard!$F$15,MAX(0,B342-MAX(0,E342-D342)),0)</x:f>
      </x:c>
      <x:c r="G342" s="32" t="e">
        <x:f>IF(A342=1,D342,G341+D342)</x:f>
      </x:c>
      <x:c r="H342" s="32"/>
      <x:c r="I342" s="32" t="e">
        <x:f>IF(A342=1,Dashboard!$F$14,M341)</x:f>
      </x:c>
      <x:c r="J342" s="32" t="e">
        <x:f>IF(A342&lt;=Dashboard!$F$17,MIN(I342,$B$5),0)</x:f>
      </x:c>
      <x:c r="K342" s="32" t="e">
        <x:f>IF(A342&lt;=Dashboard!$F$17,MAX(0,I342-J342)*Dashboard!$F$6,0)</x:f>
      </x:c>
      <x:c r="L342" s="32" t="e">
        <x:f>IF(A342&lt;=Dashboard!$F$17,MIN(Dashboard!$F$10,MAX(0,I342-J342)+K342),0)</x:f>
      </x:c>
      <x:c r="M342" s="32" t="e">
        <x:f>IF(A342&lt;=Dashboard!$F$17,MAX(0,I342-J342-MAX(0,L342-K342)),0)</x:f>
      </x:c>
      <x:c r="N342" s="32" t="e">
        <x:f>IF(A342=1,K342,N341+K342)</x:f>
      </x:c>
      <x:c r="O342" s="32"/>
      <x:c r="P342" s="32" t="e">
        <x:f>IF(A342=1,Dashboard!$F$14,T341)</x:f>
      </x:c>
      <x:c r="Q342" s="32" t="e">
        <x:f>IF(A342&lt;=Dashboard!$F$17,MIN(P342,$B$6*52/12),0)</x:f>
      </x:c>
      <x:c r="R342" s="32" t="e">
        <x:f>IF(A342&lt;=Dashboard!$F$17,MAX(0,P342-Q342)*Dashboard!$F$6,0)</x:f>
      </x:c>
      <x:c r="S342" s="32" t="e">
        <x:f>IF(A342&lt;=Dashboard!$F$17,MIN(Dashboard!$F$10,MAX(0,P342-Q342)+R342),0)</x:f>
      </x:c>
      <x:c r="T342" s="32" t="e">
        <x:f>IF(A342&lt;=Dashboard!$F$17,MAX(0,P342-Q342-MAX(0,S342-R342)),0)</x:f>
      </x:c>
      <x:c r="U342" s="32" t="e">
        <x:f>IF(A342=1,R342,U341+R342)</x:f>
      </x:c>
      <x:c r="V342" s="32"/>
      <x:c r="W342" s="32" t="e">
        <x:f>IF(A342=1,Dashboard!$F$14,AA341)</x:f>
      </x:c>
      <x:c r="X342" s="32" t="e">
        <x:f>IF(AND(A342&lt;=Dashboard!$F$17,MOD(A342-1,12)=0),MIN(W342,$B$7),0)</x:f>
      </x:c>
      <x:c r="Y342" s="32" t="e">
        <x:f>IF(A342&lt;=Dashboard!$F$17,MAX(0,W342-X342)*Dashboard!$F$6,0)</x:f>
      </x:c>
      <x:c r="Z342" s="32" t="e">
        <x:f>IF(A342&lt;=Dashboard!$F$17,MIN(Dashboard!$F$10,MAX(0,W342-X342)+Y342),0)</x:f>
      </x:c>
      <x:c r="AA342" s="32" t="e">
        <x:f>IF(A342&lt;=Dashboard!$F$17,MAX(0,W342-X342-MAX(0,Z342-Y342)),0)</x:f>
      </x:c>
      <x:c r="AB342" s="32" t="e">
        <x:f>IF(A342=1,Y342,AB341+Y342)</x:f>
      </x:c>
      <x:c r="AC342" s="32"/>
      <x:c r="AD342" s="32" t="e">
        <x:f>IF(A342=1,MAX(0,Dashboard!$F$14-$B$8),AG341)</x:f>
      </x:c>
      <x:c r="AE342" s="32" t="n">
        <x:f>0</x:f>
        <x:v>0</x:v>
      </x:c>
      <x:c r="AF342" s="32" t="e">
        <x:f>IF(A342&lt;=Dashboard!$F$17,AD342*Dashboard!$F$6,0)</x:f>
      </x:c>
      <x:c r="AG342" s="32" t="e">
        <x:f>IF(A342&lt;=Dashboard!$F$17,MIN(Dashboard!$F$10,AD342+AF342),0)</x:f>
      </x:c>
      <x:c r="AH342" s="32" t="e">
        <x:f>IF(A342&lt;=Dashboard!$F$17,MAX(0,AD342-MAX(0,AG342-AF342)),0)</x:f>
      </x:c>
      <x:c r="AI342" s="32" t="e">
        <x:f>IF(A342=1,AF342,AI341+AF342)</x:f>
      </x:c>
      <x:c r="AJ342" s="33"/>
      <x:c r="AK342" s="33"/>
      <x:c r="AL342" s="33"/>
      <x:c r="AM342" s="33"/>
    </x:row>
    <x:row r="343">
      <x:c r="A343" s="33" t="n">
        <x:v>331</x:v>
      </x:c>
      <x:c r="B343" s="32" t="e">
        <x:f>IF(A343=1,Dashboard!$F$14,F342)</x:f>
      </x:c>
      <x:c r="C343" s="32" t="n">
        <x:f>0</x:f>
        <x:v>0</x:v>
      </x:c>
      <x:c r="D343" s="32" t="e">
        <x:f>IF(A343&lt;=Dashboard!$F$15,B343*Dashboard!$F$6,0)</x:f>
      </x:c>
      <x:c r="E343" s="32" t="e">
        <x:f>IF(A343&lt;=Dashboard!$F$15,MIN(Dashboard!$F$10,B343+D343),0)</x:f>
      </x:c>
      <x:c r="F343" s="32" t="e">
        <x:f>IF(A343&lt;=Dashboard!$F$15,MAX(0,B343-MAX(0,E343-D343)),0)</x:f>
      </x:c>
      <x:c r="G343" s="32" t="e">
        <x:f>IF(A343=1,D343,G342+D343)</x:f>
      </x:c>
      <x:c r="H343" s="32"/>
      <x:c r="I343" s="32" t="e">
        <x:f>IF(A343=1,Dashboard!$F$14,M342)</x:f>
      </x:c>
      <x:c r="J343" s="32" t="e">
        <x:f>IF(A343&lt;=Dashboard!$F$17,MIN(I343,$B$5),0)</x:f>
      </x:c>
      <x:c r="K343" s="32" t="e">
        <x:f>IF(A343&lt;=Dashboard!$F$17,MAX(0,I343-J343)*Dashboard!$F$6,0)</x:f>
      </x:c>
      <x:c r="L343" s="32" t="e">
        <x:f>IF(A343&lt;=Dashboard!$F$17,MIN(Dashboard!$F$10,MAX(0,I343-J343)+K343),0)</x:f>
      </x:c>
      <x:c r="M343" s="32" t="e">
        <x:f>IF(A343&lt;=Dashboard!$F$17,MAX(0,I343-J343-MAX(0,L343-K343)),0)</x:f>
      </x:c>
      <x:c r="N343" s="32" t="e">
        <x:f>IF(A343=1,K343,N342+K343)</x:f>
      </x:c>
      <x:c r="O343" s="32"/>
      <x:c r="P343" s="32" t="e">
        <x:f>IF(A343=1,Dashboard!$F$14,T342)</x:f>
      </x:c>
      <x:c r="Q343" s="32" t="e">
        <x:f>IF(A343&lt;=Dashboard!$F$17,MIN(P343,$B$6*52/12),0)</x:f>
      </x:c>
      <x:c r="R343" s="32" t="e">
        <x:f>IF(A343&lt;=Dashboard!$F$17,MAX(0,P343-Q343)*Dashboard!$F$6,0)</x:f>
      </x:c>
      <x:c r="S343" s="32" t="e">
        <x:f>IF(A343&lt;=Dashboard!$F$17,MIN(Dashboard!$F$10,MAX(0,P343-Q343)+R343),0)</x:f>
      </x:c>
      <x:c r="T343" s="32" t="e">
        <x:f>IF(A343&lt;=Dashboard!$F$17,MAX(0,P343-Q343-MAX(0,S343-R343)),0)</x:f>
      </x:c>
      <x:c r="U343" s="32" t="e">
        <x:f>IF(A343=1,R343,U342+R343)</x:f>
      </x:c>
      <x:c r="V343" s="32"/>
      <x:c r="W343" s="32" t="e">
        <x:f>IF(A343=1,Dashboard!$F$14,AA342)</x:f>
      </x:c>
      <x:c r="X343" s="32" t="e">
        <x:f>IF(AND(A343&lt;=Dashboard!$F$17,MOD(A343-1,12)=0),MIN(W343,$B$7),0)</x:f>
      </x:c>
      <x:c r="Y343" s="32" t="e">
        <x:f>IF(A343&lt;=Dashboard!$F$17,MAX(0,W343-X343)*Dashboard!$F$6,0)</x:f>
      </x:c>
      <x:c r="Z343" s="32" t="e">
        <x:f>IF(A343&lt;=Dashboard!$F$17,MIN(Dashboard!$F$10,MAX(0,W343-X343)+Y343),0)</x:f>
      </x:c>
      <x:c r="AA343" s="32" t="e">
        <x:f>IF(A343&lt;=Dashboard!$F$17,MAX(0,W343-X343-MAX(0,Z343-Y343)),0)</x:f>
      </x:c>
      <x:c r="AB343" s="32" t="e">
        <x:f>IF(A343=1,Y343,AB342+Y343)</x:f>
      </x:c>
      <x:c r="AC343" s="32"/>
      <x:c r="AD343" s="32" t="e">
        <x:f>IF(A343=1,MAX(0,Dashboard!$F$14-$B$8),AG342)</x:f>
      </x:c>
      <x:c r="AE343" s="32" t="n">
        <x:f>0</x:f>
        <x:v>0</x:v>
      </x:c>
      <x:c r="AF343" s="32" t="e">
        <x:f>IF(A343&lt;=Dashboard!$F$17,AD343*Dashboard!$F$6,0)</x:f>
      </x:c>
      <x:c r="AG343" s="32" t="e">
        <x:f>IF(A343&lt;=Dashboard!$F$17,MIN(Dashboard!$F$10,AD343+AF343),0)</x:f>
      </x:c>
      <x:c r="AH343" s="32" t="e">
        <x:f>IF(A343&lt;=Dashboard!$F$17,MAX(0,AD343-MAX(0,AG343-AF343)),0)</x:f>
      </x:c>
      <x:c r="AI343" s="32" t="e">
        <x:f>IF(A343=1,AF343,AI342+AF343)</x:f>
      </x:c>
      <x:c r="AJ343" s="33"/>
      <x:c r="AK343" s="33"/>
      <x:c r="AL343" s="33"/>
      <x:c r="AM343" s="33"/>
    </x:row>
    <x:row r="344">
      <x:c r="A344" s="33" t="n">
        <x:v>332</x:v>
      </x:c>
      <x:c r="B344" s="32" t="e">
        <x:f>IF(A344=1,Dashboard!$F$14,F343)</x:f>
      </x:c>
      <x:c r="C344" s="32" t="n">
        <x:f>0</x:f>
        <x:v>0</x:v>
      </x:c>
      <x:c r="D344" s="32" t="e">
        <x:f>IF(A344&lt;=Dashboard!$F$15,B344*Dashboard!$F$6,0)</x:f>
      </x:c>
      <x:c r="E344" s="32" t="e">
        <x:f>IF(A344&lt;=Dashboard!$F$15,MIN(Dashboard!$F$10,B344+D344),0)</x:f>
      </x:c>
      <x:c r="F344" s="32" t="e">
        <x:f>IF(A344&lt;=Dashboard!$F$15,MAX(0,B344-MAX(0,E344-D344)),0)</x:f>
      </x:c>
      <x:c r="G344" s="32" t="e">
        <x:f>IF(A344=1,D344,G343+D344)</x:f>
      </x:c>
      <x:c r="H344" s="32"/>
      <x:c r="I344" s="32" t="e">
        <x:f>IF(A344=1,Dashboard!$F$14,M343)</x:f>
      </x:c>
      <x:c r="J344" s="32" t="e">
        <x:f>IF(A344&lt;=Dashboard!$F$17,MIN(I344,$B$5),0)</x:f>
      </x:c>
      <x:c r="K344" s="32" t="e">
        <x:f>IF(A344&lt;=Dashboard!$F$17,MAX(0,I344-J344)*Dashboard!$F$6,0)</x:f>
      </x:c>
      <x:c r="L344" s="32" t="e">
        <x:f>IF(A344&lt;=Dashboard!$F$17,MIN(Dashboard!$F$10,MAX(0,I344-J344)+K344),0)</x:f>
      </x:c>
      <x:c r="M344" s="32" t="e">
        <x:f>IF(A344&lt;=Dashboard!$F$17,MAX(0,I344-J344-MAX(0,L344-K344)),0)</x:f>
      </x:c>
      <x:c r="N344" s="32" t="e">
        <x:f>IF(A344=1,K344,N343+K344)</x:f>
      </x:c>
      <x:c r="O344" s="32"/>
      <x:c r="P344" s="32" t="e">
        <x:f>IF(A344=1,Dashboard!$F$14,T343)</x:f>
      </x:c>
      <x:c r="Q344" s="32" t="e">
        <x:f>IF(A344&lt;=Dashboard!$F$17,MIN(P344,$B$6*52/12),0)</x:f>
      </x:c>
      <x:c r="R344" s="32" t="e">
        <x:f>IF(A344&lt;=Dashboard!$F$17,MAX(0,P344-Q344)*Dashboard!$F$6,0)</x:f>
      </x:c>
      <x:c r="S344" s="32" t="e">
        <x:f>IF(A344&lt;=Dashboard!$F$17,MIN(Dashboard!$F$10,MAX(0,P344-Q344)+R344),0)</x:f>
      </x:c>
      <x:c r="T344" s="32" t="e">
        <x:f>IF(A344&lt;=Dashboard!$F$17,MAX(0,P344-Q344-MAX(0,S344-R344)),0)</x:f>
      </x:c>
      <x:c r="U344" s="32" t="e">
        <x:f>IF(A344=1,R344,U343+R344)</x:f>
      </x:c>
      <x:c r="V344" s="32"/>
      <x:c r="W344" s="32" t="e">
        <x:f>IF(A344=1,Dashboard!$F$14,AA343)</x:f>
      </x:c>
      <x:c r="X344" s="32" t="e">
        <x:f>IF(AND(A344&lt;=Dashboard!$F$17,MOD(A344-1,12)=0),MIN(W344,$B$7),0)</x:f>
      </x:c>
      <x:c r="Y344" s="32" t="e">
        <x:f>IF(A344&lt;=Dashboard!$F$17,MAX(0,W344-X344)*Dashboard!$F$6,0)</x:f>
      </x:c>
      <x:c r="Z344" s="32" t="e">
        <x:f>IF(A344&lt;=Dashboard!$F$17,MIN(Dashboard!$F$10,MAX(0,W344-X344)+Y344),0)</x:f>
      </x:c>
      <x:c r="AA344" s="32" t="e">
        <x:f>IF(A344&lt;=Dashboard!$F$17,MAX(0,W344-X344-MAX(0,Z344-Y344)),0)</x:f>
      </x:c>
      <x:c r="AB344" s="32" t="e">
        <x:f>IF(A344=1,Y344,AB343+Y344)</x:f>
      </x:c>
      <x:c r="AC344" s="32"/>
      <x:c r="AD344" s="32" t="e">
        <x:f>IF(A344=1,MAX(0,Dashboard!$F$14-$B$8),AG343)</x:f>
      </x:c>
      <x:c r="AE344" s="32" t="n">
        <x:f>0</x:f>
        <x:v>0</x:v>
      </x:c>
      <x:c r="AF344" s="32" t="e">
        <x:f>IF(A344&lt;=Dashboard!$F$17,AD344*Dashboard!$F$6,0)</x:f>
      </x:c>
      <x:c r="AG344" s="32" t="e">
        <x:f>IF(A344&lt;=Dashboard!$F$17,MIN(Dashboard!$F$10,AD344+AF344),0)</x:f>
      </x:c>
      <x:c r="AH344" s="32" t="e">
        <x:f>IF(A344&lt;=Dashboard!$F$17,MAX(0,AD344-MAX(0,AG344-AF344)),0)</x:f>
      </x:c>
      <x:c r="AI344" s="32" t="e">
        <x:f>IF(A344=1,AF344,AI343+AF344)</x:f>
      </x:c>
      <x:c r="AJ344" s="33"/>
      <x:c r="AK344" s="33"/>
      <x:c r="AL344" s="33"/>
      <x:c r="AM344" s="33"/>
    </x:row>
    <x:row r="345">
      <x:c r="A345" s="33" t="n">
        <x:v>333</x:v>
      </x:c>
      <x:c r="B345" s="32" t="e">
        <x:f>IF(A345=1,Dashboard!$F$14,F344)</x:f>
      </x:c>
      <x:c r="C345" s="32" t="n">
        <x:f>0</x:f>
        <x:v>0</x:v>
      </x:c>
      <x:c r="D345" s="32" t="e">
        <x:f>IF(A345&lt;=Dashboard!$F$15,B345*Dashboard!$F$6,0)</x:f>
      </x:c>
      <x:c r="E345" s="32" t="e">
        <x:f>IF(A345&lt;=Dashboard!$F$15,MIN(Dashboard!$F$10,B345+D345),0)</x:f>
      </x:c>
      <x:c r="F345" s="32" t="e">
        <x:f>IF(A345&lt;=Dashboard!$F$15,MAX(0,B345-MAX(0,E345-D345)),0)</x:f>
      </x:c>
      <x:c r="G345" s="32" t="e">
        <x:f>IF(A345=1,D345,G344+D345)</x:f>
      </x:c>
      <x:c r="H345" s="32"/>
      <x:c r="I345" s="32" t="e">
        <x:f>IF(A345=1,Dashboard!$F$14,M344)</x:f>
      </x:c>
      <x:c r="J345" s="32" t="e">
        <x:f>IF(A345&lt;=Dashboard!$F$17,MIN(I345,$B$5),0)</x:f>
      </x:c>
      <x:c r="K345" s="32" t="e">
        <x:f>IF(A345&lt;=Dashboard!$F$17,MAX(0,I345-J345)*Dashboard!$F$6,0)</x:f>
      </x:c>
      <x:c r="L345" s="32" t="e">
        <x:f>IF(A345&lt;=Dashboard!$F$17,MIN(Dashboard!$F$10,MAX(0,I345-J345)+K345),0)</x:f>
      </x:c>
      <x:c r="M345" s="32" t="e">
        <x:f>IF(A345&lt;=Dashboard!$F$17,MAX(0,I345-J345-MAX(0,L345-K345)),0)</x:f>
      </x:c>
      <x:c r="N345" s="32" t="e">
        <x:f>IF(A345=1,K345,N344+K345)</x:f>
      </x:c>
      <x:c r="O345" s="32"/>
      <x:c r="P345" s="32" t="e">
        <x:f>IF(A345=1,Dashboard!$F$14,T344)</x:f>
      </x:c>
      <x:c r="Q345" s="32" t="e">
        <x:f>IF(A345&lt;=Dashboard!$F$17,MIN(P345,$B$6*52/12),0)</x:f>
      </x:c>
      <x:c r="R345" s="32" t="e">
        <x:f>IF(A345&lt;=Dashboard!$F$17,MAX(0,P345-Q345)*Dashboard!$F$6,0)</x:f>
      </x:c>
      <x:c r="S345" s="32" t="e">
        <x:f>IF(A345&lt;=Dashboard!$F$17,MIN(Dashboard!$F$10,MAX(0,P345-Q345)+R345),0)</x:f>
      </x:c>
      <x:c r="T345" s="32" t="e">
        <x:f>IF(A345&lt;=Dashboard!$F$17,MAX(0,P345-Q345-MAX(0,S345-R345)),0)</x:f>
      </x:c>
      <x:c r="U345" s="32" t="e">
        <x:f>IF(A345=1,R345,U344+R345)</x:f>
      </x:c>
      <x:c r="V345" s="32"/>
      <x:c r="W345" s="32" t="e">
        <x:f>IF(A345=1,Dashboard!$F$14,AA344)</x:f>
      </x:c>
      <x:c r="X345" s="32" t="e">
        <x:f>IF(AND(A345&lt;=Dashboard!$F$17,MOD(A345-1,12)=0),MIN(W345,$B$7),0)</x:f>
      </x:c>
      <x:c r="Y345" s="32" t="e">
        <x:f>IF(A345&lt;=Dashboard!$F$17,MAX(0,W345-X345)*Dashboard!$F$6,0)</x:f>
      </x:c>
      <x:c r="Z345" s="32" t="e">
        <x:f>IF(A345&lt;=Dashboard!$F$17,MIN(Dashboard!$F$10,MAX(0,W345-X345)+Y345),0)</x:f>
      </x:c>
      <x:c r="AA345" s="32" t="e">
        <x:f>IF(A345&lt;=Dashboard!$F$17,MAX(0,W345-X345-MAX(0,Z345-Y345)),0)</x:f>
      </x:c>
      <x:c r="AB345" s="32" t="e">
        <x:f>IF(A345=1,Y345,AB344+Y345)</x:f>
      </x:c>
      <x:c r="AC345" s="32"/>
      <x:c r="AD345" s="32" t="e">
        <x:f>IF(A345=1,MAX(0,Dashboard!$F$14-$B$8),AG344)</x:f>
      </x:c>
      <x:c r="AE345" s="32" t="n">
        <x:f>0</x:f>
        <x:v>0</x:v>
      </x:c>
      <x:c r="AF345" s="32" t="e">
        <x:f>IF(A345&lt;=Dashboard!$F$17,AD345*Dashboard!$F$6,0)</x:f>
      </x:c>
      <x:c r="AG345" s="32" t="e">
        <x:f>IF(A345&lt;=Dashboard!$F$17,MIN(Dashboard!$F$10,AD345+AF345),0)</x:f>
      </x:c>
      <x:c r="AH345" s="32" t="e">
        <x:f>IF(A345&lt;=Dashboard!$F$17,MAX(0,AD345-MAX(0,AG345-AF345)),0)</x:f>
      </x:c>
      <x:c r="AI345" s="32" t="e">
        <x:f>IF(A345=1,AF345,AI344+AF345)</x:f>
      </x:c>
      <x:c r="AJ345" s="33"/>
      <x:c r="AK345" s="33"/>
      <x:c r="AL345" s="33"/>
      <x:c r="AM345" s="33"/>
    </x:row>
    <x:row r="346">
      <x:c r="A346" s="33" t="n">
        <x:v>334</x:v>
      </x:c>
      <x:c r="B346" s="32" t="e">
        <x:f>IF(A346=1,Dashboard!$F$14,F345)</x:f>
      </x:c>
      <x:c r="C346" s="32" t="n">
        <x:f>0</x:f>
        <x:v>0</x:v>
      </x:c>
      <x:c r="D346" s="32" t="e">
        <x:f>IF(A346&lt;=Dashboard!$F$15,B346*Dashboard!$F$6,0)</x:f>
      </x:c>
      <x:c r="E346" s="32" t="e">
        <x:f>IF(A346&lt;=Dashboard!$F$15,MIN(Dashboard!$F$10,B346+D346),0)</x:f>
      </x:c>
      <x:c r="F346" s="32" t="e">
        <x:f>IF(A346&lt;=Dashboard!$F$15,MAX(0,B346-MAX(0,E346-D346)),0)</x:f>
      </x:c>
      <x:c r="G346" s="32" t="e">
        <x:f>IF(A346=1,D346,G345+D346)</x:f>
      </x:c>
      <x:c r="H346" s="32"/>
      <x:c r="I346" s="32" t="e">
        <x:f>IF(A346=1,Dashboard!$F$14,M345)</x:f>
      </x:c>
      <x:c r="J346" s="32" t="e">
        <x:f>IF(A346&lt;=Dashboard!$F$17,MIN(I346,$B$5),0)</x:f>
      </x:c>
      <x:c r="K346" s="32" t="e">
        <x:f>IF(A346&lt;=Dashboard!$F$17,MAX(0,I346-J346)*Dashboard!$F$6,0)</x:f>
      </x:c>
      <x:c r="L346" s="32" t="e">
        <x:f>IF(A346&lt;=Dashboard!$F$17,MIN(Dashboard!$F$10,MAX(0,I346-J346)+K346),0)</x:f>
      </x:c>
      <x:c r="M346" s="32" t="e">
        <x:f>IF(A346&lt;=Dashboard!$F$17,MAX(0,I346-J346-MAX(0,L346-K346)),0)</x:f>
      </x:c>
      <x:c r="N346" s="32" t="e">
        <x:f>IF(A346=1,K346,N345+K346)</x:f>
      </x:c>
      <x:c r="O346" s="32"/>
      <x:c r="P346" s="32" t="e">
        <x:f>IF(A346=1,Dashboard!$F$14,T345)</x:f>
      </x:c>
      <x:c r="Q346" s="32" t="e">
        <x:f>IF(A346&lt;=Dashboard!$F$17,MIN(P346,$B$6*52/12),0)</x:f>
      </x:c>
      <x:c r="R346" s="32" t="e">
        <x:f>IF(A346&lt;=Dashboard!$F$17,MAX(0,P346-Q346)*Dashboard!$F$6,0)</x:f>
      </x:c>
      <x:c r="S346" s="32" t="e">
        <x:f>IF(A346&lt;=Dashboard!$F$17,MIN(Dashboard!$F$10,MAX(0,P346-Q346)+R346),0)</x:f>
      </x:c>
      <x:c r="T346" s="32" t="e">
        <x:f>IF(A346&lt;=Dashboard!$F$17,MAX(0,P346-Q346-MAX(0,S346-R346)),0)</x:f>
      </x:c>
      <x:c r="U346" s="32" t="e">
        <x:f>IF(A346=1,R346,U345+R346)</x:f>
      </x:c>
      <x:c r="V346" s="32"/>
      <x:c r="W346" s="32" t="e">
        <x:f>IF(A346=1,Dashboard!$F$14,AA345)</x:f>
      </x:c>
      <x:c r="X346" s="32" t="e">
        <x:f>IF(AND(A346&lt;=Dashboard!$F$17,MOD(A346-1,12)=0),MIN(W346,$B$7),0)</x:f>
      </x:c>
      <x:c r="Y346" s="32" t="e">
        <x:f>IF(A346&lt;=Dashboard!$F$17,MAX(0,W346-X346)*Dashboard!$F$6,0)</x:f>
      </x:c>
      <x:c r="Z346" s="32" t="e">
        <x:f>IF(A346&lt;=Dashboard!$F$17,MIN(Dashboard!$F$10,MAX(0,W346-X346)+Y346),0)</x:f>
      </x:c>
      <x:c r="AA346" s="32" t="e">
        <x:f>IF(A346&lt;=Dashboard!$F$17,MAX(0,W346-X346-MAX(0,Z346-Y346)),0)</x:f>
      </x:c>
      <x:c r="AB346" s="32" t="e">
        <x:f>IF(A346=1,Y346,AB345+Y346)</x:f>
      </x:c>
      <x:c r="AC346" s="32"/>
      <x:c r="AD346" s="32" t="e">
        <x:f>IF(A346=1,MAX(0,Dashboard!$F$14-$B$8),AG345)</x:f>
      </x:c>
      <x:c r="AE346" s="32" t="n">
        <x:f>0</x:f>
        <x:v>0</x:v>
      </x:c>
      <x:c r="AF346" s="32" t="e">
        <x:f>IF(A346&lt;=Dashboard!$F$17,AD346*Dashboard!$F$6,0)</x:f>
      </x:c>
      <x:c r="AG346" s="32" t="e">
        <x:f>IF(A346&lt;=Dashboard!$F$17,MIN(Dashboard!$F$10,AD346+AF346),0)</x:f>
      </x:c>
      <x:c r="AH346" s="32" t="e">
        <x:f>IF(A346&lt;=Dashboard!$F$17,MAX(0,AD346-MAX(0,AG346-AF346)),0)</x:f>
      </x:c>
      <x:c r="AI346" s="32" t="e">
        <x:f>IF(A346=1,AF346,AI345+AF346)</x:f>
      </x:c>
      <x:c r="AJ346" s="33"/>
      <x:c r="AK346" s="33"/>
      <x:c r="AL346" s="33"/>
      <x:c r="AM346" s="33"/>
    </x:row>
    <x:row r="347">
      <x:c r="A347" s="33" t="n">
        <x:v>335</x:v>
      </x:c>
      <x:c r="B347" s="32" t="e">
        <x:f>IF(A347=1,Dashboard!$F$14,F346)</x:f>
      </x:c>
      <x:c r="C347" s="32" t="n">
        <x:f>0</x:f>
        <x:v>0</x:v>
      </x:c>
      <x:c r="D347" s="32" t="e">
        <x:f>IF(A347&lt;=Dashboard!$F$15,B347*Dashboard!$F$6,0)</x:f>
      </x:c>
      <x:c r="E347" s="32" t="e">
        <x:f>IF(A347&lt;=Dashboard!$F$15,MIN(Dashboard!$F$10,B347+D347),0)</x:f>
      </x:c>
      <x:c r="F347" s="32" t="e">
        <x:f>IF(A347&lt;=Dashboard!$F$15,MAX(0,B347-MAX(0,E347-D347)),0)</x:f>
      </x:c>
      <x:c r="G347" s="32" t="e">
        <x:f>IF(A347=1,D347,G346+D347)</x:f>
      </x:c>
      <x:c r="H347" s="32"/>
      <x:c r="I347" s="32" t="e">
        <x:f>IF(A347=1,Dashboard!$F$14,M346)</x:f>
      </x:c>
      <x:c r="J347" s="32" t="e">
        <x:f>IF(A347&lt;=Dashboard!$F$17,MIN(I347,$B$5),0)</x:f>
      </x:c>
      <x:c r="K347" s="32" t="e">
        <x:f>IF(A347&lt;=Dashboard!$F$17,MAX(0,I347-J347)*Dashboard!$F$6,0)</x:f>
      </x:c>
      <x:c r="L347" s="32" t="e">
        <x:f>IF(A347&lt;=Dashboard!$F$17,MIN(Dashboard!$F$10,MAX(0,I347-J347)+K347),0)</x:f>
      </x:c>
      <x:c r="M347" s="32" t="e">
        <x:f>IF(A347&lt;=Dashboard!$F$17,MAX(0,I347-J347-MAX(0,L347-K347)),0)</x:f>
      </x:c>
      <x:c r="N347" s="32" t="e">
        <x:f>IF(A347=1,K347,N346+K347)</x:f>
      </x:c>
      <x:c r="O347" s="32"/>
      <x:c r="P347" s="32" t="e">
        <x:f>IF(A347=1,Dashboard!$F$14,T346)</x:f>
      </x:c>
      <x:c r="Q347" s="32" t="e">
        <x:f>IF(A347&lt;=Dashboard!$F$17,MIN(P347,$B$6*52/12),0)</x:f>
      </x:c>
      <x:c r="R347" s="32" t="e">
        <x:f>IF(A347&lt;=Dashboard!$F$17,MAX(0,P347-Q347)*Dashboard!$F$6,0)</x:f>
      </x:c>
      <x:c r="S347" s="32" t="e">
        <x:f>IF(A347&lt;=Dashboard!$F$17,MIN(Dashboard!$F$10,MAX(0,P347-Q347)+R347),0)</x:f>
      </x:c>
      <x:c r="T347" s="32" t="e">
        <x:f>IF(A347&lt;=Dashboard!$F$17,MAX(0,P347-Q347-MAX(0,S347-R347)),0)</x:f>
      </x:c>
      <x:c r="U347" s="32" t="e">
        <x:f>IF(A347=1,R347,U346+R347)</x:f>
      </x:c>
      <x:c r="V347" s="32"/>
      <x:c r="W347" s="32" t="e">
        <x:f>IF(A347=1,Dashboard!$F$14,AA346)</x:f>
      </x:c>
      <x:c r="X347" s="32" t="e">
        <x:f>IF(AND(A347&lt;=Dashboard!$F$17,MOD(A347-1,12)=0),MIN(W347,$B$7),0)</x:f>
      </x:c>
      <x:c r="Y347" s="32" t="e">
        <x:f>IF(A347&lt;=Dashboard!$F$17,MAX(0,W347-X347)*Dashboard!$F$6,0)</x:f>
      </x:c>
      <x:c r="Z347" s="32" t="e">
        <x:f>IF(A347&lt;=Dashboard!$F$17,MIN(Dashboard!$F$10,MAX(0,W347-X347)+Y347),0)</x:f>
      </x:c>
      <x:c r="AA347" s="32" t="e">
        <x:f>IF(A347&lt;=Dashboard!$F$17,MAX(0,W347-X347-MAX(0,Z347-Y347)),0)</x:f>
      </x:c>
      <x:c r="AB347" s="32" t="e">
        <x:f>IF(A347=1,Y347,AB346+Y347)</x:f>
      </x:c>
      <x:c r="AC347" s="32"/>
      <x:c r="AD347" s="32" t="e">
        <x:f>IF(A347=1,MAX(0,Dashboard!$F$14-$B$8),AG346)</x:f>
      </x:c>
      <x:c r="AE347" s="32" t="n">
        <x:f>0</x:f>
        <x:v>0</x:v>
      </x:c>
      <x:c r="AF347" s="32" t="e">
        <x:f>IF(A347&lt;=Dashboard!$F$17,AD347*Dashboard!$F$6,0)</x:f>
      </x:c>
      <x:c r="AG347" s="32" t="e">
        <x:f>IF(A347&lt;=Dashboard!$F$17,MIN(Dashboard!$F$10,AD347+AF347),0)</x:f>
      </x:c>
      <x:c r="AH347" s="32" t="e">
        <x:f>IF(A347&lt;=Dashboard!$F$17,MAX(0,AD347-MAX(0,AG347-AF347)),0)</x:f>
      </x:c>
      <x:c r="AI347" s="32" t="e">
        <x:f>IF(A347=1,AF347,AI346+AF347)</x:f>
      </x:c>
      <x:c r="AJ347" s="33"/>
      <x:c r="AK347" s="33"/>
      <x:c r="AL347" s="33"/>
      <x:c r="AM347" s="33"/>
    </x:row>
    <x:row r="348">
      <x:c r="A348" s="33" t="n">
        <x:v>336</x:v>
      </x:c>
      <x:c r="B348" s="32" t="e">
        <x:f>IF(A348=1,Dashboard!$F$14,F347)</x:f>
      </x:c>
      <x:c r="C348" s="32" t="n">
        <x:f>0</x:f>
        <x:v>0</x:v>
      </x:c>
      <x:c r="D348" s="32" t="e">
        <x:f>IF(A348&lt;=Dashboard!$F$15,B348*Dashboard!$F$6,0)</x:f>
      </x:c>
      <x:c r="E348" s="32" t="e">
        <x:f>IF(A348&lt;=Dashboard!$F$15,MIN(Dashboard!$F$10,B348+D348),0)</x:f>
      </x:c>
      <x:c r="F348" s="32" t="e">
        <x:f>IF(A348&lt;=Dashboard!$F$15,MAX(0,B348-MAX(0,E348-D348)),0)</x:f>
      </x:c>
      <x:c r="G348" s="32" t="e">
        <x:f>IF(A348=1,D348,G347+D348)</x:f>
      </x:c>
      <x:c r="H348" s="32"/>
      <x:c r="I348" s="32" t="e">
        <x:f>IF(A348=1,Dashboard!$F$14,M347)</x:f>
      </x:c>
      <x:c r="J348" s="32" t="e">
        <x:f>IF(A348&lt;=Dashboard!$F$17,MIN(I348,$B$5),0)</x:f>
      </x:c>
      <x:c r="K348" s="32" t="e">
        <x:f>IF(A348&lt;=Dashboard!$F$17,MAX(0,I348-J348)*Dashboard!$F$6,0)</x:f>
      </x:c>
      <x:c r="L348" s="32" t="e">
        <x:f>IF(A348&lt;=Dashboard!$F$17,MIN(Dashboard!$F$10,MAX(0,I348-J348)+K348),0)</x:f>
      </x:c>
      <x:c r="M348" s="32" t="e">
        <x:f>IF(A348&lt;=Dashboard!$F$17,MAX(0,I348-J348-MAX(0,L348-K348)),0)</x:f>
      </x:c>
      <x:c r="N348" s="32" t="e">
        <x:f>IF(A348=1,K348,N347+K348)</x:f>
      </x:c>
      <x:c r="O348" s="32"/>
      <x:c r="P348" s="32" t="e">
        <x:f>IF(A348=1,Dashboard!$F$14,T347)</x:f>
      </x:c>
      <x:c r="Q348" s="32" t="e">
        <x:f>IF(A348&lt;=Dashboard!$F$17,MIN(P348,$B$6*52/12),0)</x:f>
      </x:c>
      <x:c r="R348" s="32" t="e">
        <x:f>IF(A348&lt;=Dashboard!$F$17,MAX(0,P348-Q348)*Dashboard!$F$6,0)</x:f>
      </x:c>
      <x:c r="S348" s="32" t="e">
        <x:f>IF(A348&lt;=Dashboard!$F$17,MIN(Dashboard!$F$10,MAX(0,P348-Q348)+R348),0)</x:f>
      </x:c>
      <x:c r="T348" s="32" t="e">
        <x:f>IF(A348&lt;=Dashboard!$F$17,MAX(0,P348-Q348-MAX(0,S348-R348)),0)</x:f>
      </x:c>
      <x:c r="U348" s="32" t="e">
        <x:f>IF(A348=1,R348,U347+R348)</x:f>
      </x:c>
      <x:c r="V348" s="32"/>
      <x:c r="W348" s="32" t="e">
        <x:f>IF(A348=1,Dashboard!$F$14,AA347)</x:f>
      </x:c>
      <x:c r="X348" s="32" t="e">
        <x:f>IF(AND(A348&lt;=Dashboard!$F$17,MOD(A348-1,12)=0),MIN(W348,$B$7),0)</x:f>
      </x:c>
      <x:c r="Y348" s="32" t="e">
        <x:f>IF(A348&lt;=Dashboard!$F$17,MAX(0,W348-X348)*Dashboard!$F$6,0)</x:f>
      </x:c>
      <x:c r="Z348" s="32" t="e">
        <x:f>IF(A348&lt;=Dashboard!$F$17,MIN(Dashboard!$F$10,MAX(0,W348-X348)+Y348),0)</x:f>
      </x:c>
      <x:c r="AA348" s="32" t="e">
        <x:f>IF(A348&lt;=Dashboard!$F$17,MAX(0,W348-X348-MAX(0,Z348-Y348)),0)</x:f>
      </x:c>
      <x:c r="AB348" s="32" t="e">
        <x:f>IF(A348=1,Y348,AB347+Y348)</x:f>
      </x:c>
      <x:c r="AC348" s="32"/>
      <x:c r="AD348" s="32" t="e">
        <x:f>IF(A348=1,MAX(0,Dashboard!$F$14-$B$8),AG347)</x:f>
      </x:c>
      <x:c r="AE348" s="32" t="n">
        <x:f>0</x:f>
        <x:v>0</x:v>
      </x:c>
      <x:c r="AF348" s="32" t="e">
        <x:f>IF(A348&lt;=Dashboard!$F$17,AD348*Dashboard!$F$6,0)</x:f>
      </x:c>
      <x:c r="AG348" s="32" t="e">
        <x:f>IF(A348&lt;=Dashboard!$F$17,MIN(Dashboard!$F$10,AD348+AF348),0)</x:f>
      </x:c>
      <x:c r="AH348" s="32" t="e">
        <x:f>IF(A348&lt;=Dashboard!$F$17,MAX(0,AD348-MAX(0,AG348-AF348)),0)</x:f>
      </x:c>
      <x:c r="AI348" s="32" t="e">
        <x:f>IF(A348=1,AF348,AI347+AF348)</x:f>
      </x:c>
      <x:c r="AJ348" s="33"/>
      <x:c r="AK348" s="33"/>
      <x:c r="AL348" s="33"/>
      <x:c r="AM348" s="33"/>
    </x:row>
    <x:row r="349">
      <x:c r="A349" s="33" t="n">
        <x:v>337</x:v>
      </x:c>
      <x:c r="B349" s="32" t="e">
        <x:f>IF(A349=1,Dashboard!$F$14,F348)</x:f>
      </x:c>
      <x:c r="C349" s="32" t="n">
        <x:f>0</x:f>
        <x:v>0</x:v>
      </x:c>
      <x:c r="D349" s="32" t="e">
        <x:f>IF(A349&lt;=Dashboard!$F$15,B349*Dashboard!$F$6,0)</x:f>
      </x:c>
      <x:c r="E349" s="32" t="e">
        <x:f>IF(A349&lt;=Dashboard!$F$15,MIN(Dashboard!$F$10,B349+D349),0)</x:f>
      </x:c>
      <x:c r="F349" s="32" t="e">
        <x:f>IF(A349&lt;=Dashboard!$F$15,MAX(0,B349-MAX(0,E349-D349)),0)</x:f>
      </x:c>
      <x:c r="G349" s="32" t="e">
        <x:f>IF(A349=1,D349,G348+D349)</x:f>
      </x:c>
      <x:c r="H349" s="32"/>
      <x:c r="I349" s="32" t="e">
        <x:f>IF(A349=1,Dashboard!$F$14,M348)</x:f>
      </x:c>
      <x:c r="J349" s="32" t="e">
        <x:f>IF(A349&lt;=Dashboard!$F$17,MIN(I349,$B$5),0)</x:f>
      </x:c>
      <x:c r="K349" s="32" t="e">
        <x:f>IF(A349&lt;=Dashboard!$F$17,MAX(0,I349-J349)*Dashboard!$F$6,0)</x:f>
      </x:c>
      <x:c r="L349" s="32" t="e">
        <x:f>IF(A349&lt;=Dashboard!$F$17,MIN(Dashboard!$F$10,MAX(0,I349-J349)+K349),0)</x:f>
      </x:c>
      <x:c r="M349" s="32" t="e">
        <x:f>IF(A349&lt;=Dashboard!$F$17,MAX(0,I349-J349-MAX(0,L349-K349)),0)</x:f>
      </x:c>
      <x:c r="N349" s="32" t="e">
        <x:f>IF(A349=1,K349,N348+K349)</x:f>
      </x:c>
      <x:c r="O349" s="32"/>
      <x:c r="P349" s="32" t="e">
        <x:f>IF(A349=1,Dashboard!$F$14,T348)</x:f>
      </x:c>
      <x:c r="Q349" s="32" t="e">
        <x:f>IF(A349&lt;=Dashboard!$F$17,MIN(P349,$B$6*52/12),0)</x:f>
      </x:c>
      <x:c r="R349" s="32" t="e">
        <x:f>IF(A349&lt;=Dashboard!$F$17,MAX(0,P349-Q349)*Dashboard!$F$6,0)</x:f>
      </x:c>
      <x:c r="S349" s="32" t="e">
        <x:f>IF(A349&lt;=Dashboard!$F$17,MIN(Dashboard!$F$10,MAX(0,P349-Q349)+R349),0)</x:f>
      </x:c>
      <x:c r="T349" s="32" t="e">
        <x:f>IF(A349&lt;=Dashboard!$F$17,MAX(0,P349-Q349-MAX(0,S349-R349)),0)</x:f>
      </x:c>
      <x:c r="U349" s="32" t="e">
        <x:f>IF(A349=1,R349,U348+R349)</x:f>
      </x:c>
      <x:c r="V349" s="32"/>
      <x:c r="W349" s="32" t="e">
        <x:f>IF(A349=1,Dashboard!$F$14,AA348)</x:f>
      </x:c>
      <x:c r="X349" s="32" t="e">
        <x:f>IF(AND(A349&lt;=Dashboard!$F$17,MOD(A349-1,12)=0),MIN(W349,$B$7),0)</x:f>
      </x:c>
      <x:c r="Y349" s="32" t="e">
        <x:f>IF(A349&lt;=Dashboard!$F$17,MAX(0,W349-X349)*Dashboard!$F$6,0)</x:f>
      </x:c>
      <x:c r="Z349" s="32" t="e">
        <x:f>IF(A349&lt;=Dashboard!$F$17,MIN(Dashboard!$F$10,MAX(0,W349-X349)+Y349),0)</x:f>
      </x:c>
      <x:c r="AA349" s="32" t="e">
        <x:f>IF(A349&lt;=Dashboard!$F$17,MAX(0,W349-X349-MAX(0,Z349-Y349)),0)</x:f>
      </x:c>
      <x:c r="AB349" s="32" t="e">
        <x:f>IF(A349=1,Y349,AB348+Y349)</x:f>
      </x:c>
      <x:c r="AC349" s="32"/>
      <x:c r="AD349" s="32" t="e">
        <x:f>IF(A349=1,MAX(0,Dashboard!$F$14-$B$8),AG348)</x:f>
      </x:c>
      <x:c r="AE349" s="32" t="n">
        <x:f>0</x:f>
        <x:v>0</x:v>
      </x:c>
      <x:c r="AF349" s="32" t="e">
        <x:f>IF(A349&lt;=Dashboard!$F$17,AD349*Dashboard!$F$6,0)</x:f>
      </x:c>
      <x:c r="AG349" s="32" t="e">
        <x:f>IF(A349&lt;=Dashboard!$F$17,MIN(Dashboard!$F$10,AD349+AF349),0)</x:f>
      </x:c>
      <x:c r="AH349" s="32" t="e">
        <x:f>IF(A349&lt;=Dashboard!$F$17,MAX(0,AD349-MAX(0,AG349-AF349)),0)</x:f>
      </x:c>
      <x:c r="AI349" s="32" t="e">
        <x:f>IF(A349=1,AF349,AI348+AF349)</x:f>
      </x:c>
      <x:c r="AJ349" s="33"/>
      <x:c r="AK349" s="33"/>
      <x:c r="AL349" s="33"/>
      <x:c r="AM349" s="33"/>
    </x:row>
    <x:row r="350">
      <x:c r="A350" s="33" t="n">
        <x:v>338</x:v>
      </x:c>
      <x:c r="B350" s="32" t="e">
        <x:f>IF(A350=1,Dashboard!$F$14,F349)</x:f>
      </x:c>
      <x:c r="C350" s="32" t="n">
        <x:f>0</x:f>
        <x:v>0</x:v>
      </x:c>
      <x:c r="D350" s="32" t="e">
        <x:f>IF(A350&lt;=Dashboard!$F$15,B350*Dashboard!$F$6,0)</x:f>
      </x:c>
      <x:c r="E350" s="32" t="e">
        <x:f>IF(A350&lt;=Dashboard!$F$15,MIN(Dashboard!$F$10,B350+D350),0)</x:f>
      </x:c>
      <x:c r="F350" s="32" t="e">
        <x:f>IF(A350&lt;=Dashboard!$F$15,MAX(0,B350-MAX(0,E350-D350)),0)</x:f>
      </x:c>
      <x:c r="G350" s="32" t="e">
        <x:f>IF(A350=1,D350,G349+D350)</x:f>
      </x:c>
      <x:c r="H350" s="32"/>
      <x:c r="I350" s="32" t="e">
        <x:f>IF(A350=1,Dashboard!$F$14,M349)</x:f>
      </x:c>
      <x:c r="J350" s="32" t="e">
        <x:f>IF(A350&lt;=Dashboard!$F$17,MIN(I350,$B$5),0)</x:f>
      </x:c>
      <x:c r="K350" s="32" t="e">
        <x:f>IF(A350&lt;=Dashboard!$F$17,MAX(0,I350-J350)*Dashboard!$F$6,0)</x:f>
      </x:c>
      <x:c r="L350" s="32" t="e">
        <x:f>IF(A350&lt;=Dashboard!$F$17,MIN(Dashboard!$F$10,MAX(0,I350-J350)+K350),0)</x:f>
      </x:c>
      <x:c r="M350" s="32" t="e">
        <x:f>IF(A350&lt;=Dashboard!$F$17,MAX(0,I350-J350-MAX(0,L350-K350)),0)</x:f>
      </x:c>
      <x:c r="N350" s="32" t="e">
        <x:f>IF(A350=1,K350,N349+K350)</x:f>
      </x:c>
      <x:c r="O350" s="32"/>
      <x:c r="P350" s="32" t="e">
        <x:f>IF(A350=1,Dashboard!$F$14,T349)</x:f>
      </x:c>
      <x:c r="Q350" s="32" t="e">
        <x:f>IF(A350&lt;=Dashboard!$F$17,MIN(P350,$B$6*52/12),0)</x:f>
      </x:c>
      <x:c r="R350" s="32" t="e">
        <x:f>IF(A350&lt;=Dashboard!$F$17,MAX(0,P350-Q350)*Dashboard!$F$6,0)</x:f>
      </x:c>
      <x:c r="S350" s="32" t="e">
        <x:f>IF(A350&lt;=Dashboard!$F$17,MIN(Dashboard!$F$10,MAX(0,P350-Q350)+R350),0)</x:f>
      </x:c>
      <x:c r="T350" s="32" t="e">
        <x:f>IF(A350&lt;=Dashboard!$F$17,MAX(0,P350-Q350-MAX(0,S350-R350)),0)</x:f>
      </x:c>
      <x:c r="U350" s="32" t="e">
        <x:f>IF(A350=1,R350,U349+R350)</x:f>
      </x:c>
      <x:c r="V350" s="32"/>
      <x:c r="W350" s="32" t="e">
        <x:f>IF(A350=1,Dashboard!$F$14,AA349)</x:f>
      </x:c>
      <x:c r="X350" s="32" t="e">
        <x:f>IF(AND(A350&lt;=Dashboard!$F$17,MOD(A350-1,12)=0),MIN(W350,$B$7),0)</x:f>
      </x:c>
      <x:c r="Y350" s="32" t="e">
        <x:f>IF(A350&lt;=Dashboard!$F$17,MAX(0,W350-X350)*Dashboard!$F$6,0)</x:f>
      </x:c>
      <x:c r="Z350" s="32" t="e">
        <x:f>IF(A350&lt;=Dashboard!$F$17,MIN(Dashboard!$F$10,MAX(0,W350-X350)+Y350),0)</x:f>
      </x:c>
      <x:c r="AA350" s="32" t="e">
        <x:f>IF(A350&lt;=Dashboard!$F$17,MAX(0,W350-X350-MAX(0,Z350-Y350)),0)</x:f>
      </x:c>
      <x:c r="AB350" s="32" t="e">
        <x:f>IF(A350=1,Y350,AB349+Y350)</x:f>
      </x:c>
      <x:c r="AC350" s="32"/>
      <x:c r="AD350" s="32" t="e">
        <x:f>IF(A350=1,MAX(0,Dashboard!$F$14-$B$8),AG349)</x:f>
      </x:c>
      <x:c r="AE350" s="32" t="n">
        <x:f>0</x:f>
        <x:v>0</x:v>
      </x:c>
      <x:c r="AF350" s="32" t="e">
        <x:f>IF(A350&lt;=Dashboard!$F$17,AD350*Dashboard!$F$6,0)</x:f>
      </x:c>
      <x:c r="AG350" s="32" t="e">
        <x:f>IF(A350&lt;=Dashboard!$F$17,MIN(Dashboard!$F$10,AD350+AF350),0)</x:f>
      </x:c>
      <x:c r="AH350" s="32" t="e">
        <x:f>IF(A350&lt;=Dashboard!$F$17,MAX(0,AD350-MAX(0,AG350-AF350)),0)</x:f>
      </x:c>
      <x:c r="AI350" s="32" t="e">
        <x:f>IF(A350=1,AF350,AI349+AF350)</x:f>
      </x:c>
      <x:c r="AJ350" s="33"/>
      <x:c r="AK350" s="33"/>
      <x:c r="AL350" s="33"/>
      <x:c r="AM350" s="33"/>
    </x:row>
    <x:row r="351">
      <x:c r="A351" s="33" t="n">
        <x:v>339</x:v>
      </x:c>
      <x:c r="B351" s="32" t="e">
        <x:f>IF(A351=1,Dashboard!$F$14,F350)</x:f>
      </x:c>
      <x:c r="C351" s="32" t="n">
        <x:f>0</x:f>
        <x:v>0</x:v>
      </x:c>
      <x:c r="D351" s="32" t="e">
        <x:f>IF(A351&lt;=Dashboard!$F$15,B351*Dashboard!$F$6,0)</x:f>
      </x:c>
      <x:c r="E351" s="32" t="e">
        <x:f>IF(A351&lt;=Dashboard!$F$15,MIN(Dashboard!$F$10,B351+D351),0)</x:f>
      </x:c>
      <x:c r="F351" s="32" t="e">
        <x:f>IF(A351&lt;=Dashboard!$F$15,MAX(0,B351-MAX(0,E351-D351)),0)</x:f>
      </x:c>
      <x:c r="G351" s="32" t="e">
        <x:f>IF(A351=1,D351,G350+D351)</x:f>
      </x:c>
      <x:c r="H351" s="32"/>
      <x:c r="I351" s="32" t="e">
        <x:f>IF(A351=1,Dashboard!$F$14,M350)</x:f>
      </x:c>
      <x:c r="J351" s="32" t="e">
        <x:f>IF(A351&lt;=Dashboard!$F$17,MIN(I351,$B$5),0)</x:f>
      </x:c>
      <x:c r="K351" s="32" t="e">
        <x:f>IF(A351&lt;=Dashboard!$F$17,MAX(0,I351-J351)*Dashboard!$F$6,0)</x:f>
      </x:c>
      <x:c r="L351" s="32" t="e">
        <x:f>IF(A351&lt;=Dashboard!$F$17,MIN(Dashboard!$F$10,MAX(0,I351-J351)+K351),0)</x:f>
      </x:c>
      <x:c r="M351" s="32" t="e">
        <x:f>IF(A351&lt;=Dashboard!$F$17,MAX(0,I351-J351-MAX(0,L351-K351)),0)</x:f>
      </x:c>
      <x:c r="N351" s="32" t="e">
        <x:f>IF(A351=1,K351,N350+K351)</x:f>
      </x:c>
      <x:c r="O351" s="32"/>
      <x:c r="P351" s="32" t="e">
        <x:f>IF(A351=1,Dashboard!$F$14,T350)</x:f>
      </x:c>
      <x:c r="Q351" s="32" t="e">
        <x:f>IF(A351&lt;=Dashboard!$F$17,MIN(P351,$B$6*52/12),0)</x:f>
      </x:c>
      <x:c r="R351" s="32" t="e">
        <x:f>IF(A351&lt;=Dashboard!$F$17,MAX(0,P351-Q351)*Dashboard!$F$6,0)</x:f>
      </x:c>
      <x:c r="S351" s="32" t="e">
        <x:f>IF(A351&lt;=Dashboard!$F$17,MIN(Dashboard!$F$10,MAX(0,P351-Q351)+R351),0)</x:f>
      </x:c>
      <x:c r="T351" s="32" t="e">
        <x:f>IF(A351&lt;=Dashboard!$F$17,MAX(0,P351-Q351-MAX(0,S351-R351)),0)</x:f>
      </x:c>
      <x:c r="U351" s="32" t="e">
        <x:f>IF(A351=1,R351,U350+R351)</x:f>
      </x:c>
      <x:c r="V351" s="32"/>
      <x:c r="W351" s="32" t="e">
        <x:f>IF(A351=1,Dashboard!$F$14,AA350)</x:f>
      </x:c>
      <x:c r="X351" s="32" t="e">
        <x:f>IF(AND(A351&lt;=Dashboard!$F$17,MOD(A351-1,12)=0),MIN(W351,$B$7),0)</x:f>
      </x:c>
      <x:c r="Y351" s="32" t="e">
        <x:f>IF(A351&lt;=Dashboard!$F$17,MAX(0,W351-X351)*Dashboard!$F$6,0)</x:f>
      </x:c>
      <x:c r="Z351" s="32" t="e">
        <x:f>IF(A351&lt;=Dashboard!$F$17,MIN(Dashboard!$F$10,MAX(0,W351-X351)+Y351),0)</x:f>
      </x:c>
      <x:c r="AA351" s="32" t="e">
        <x:f>IF(A351&lt;=Dashboard!$F$17,MAX(0,W351-X351-MAX(0,Z351-Y351)),0)</x:f>
      </x:c>
      <x:c r="AB351" s="32" t="e">
        <x:f>IF(A351=1,Y351,AB350+Y351)</x:f>
      </x:c>
      <x:c r="AC351" s="32"/>
      <x:c r="AD351" s="32" t="e">
        <x:f>IF(A351=1,MAX(0,Dashboard!$F$14-$B$8),AG350)</x:f>
      </x:c>
      <x:c r="AE351" s="32" t="n">
        <x:f>0</x:f>
        <x:v>0</x:v>
      </x:c>
      <x:c r="AF351" s="32" t="e">
        <x:f>IF(A351&lt;=Dashboard!$F$17,AD351*Dashboard!$F$6,0)</x:f>
      </x:c>
      <x:c r="AG351" s="32" t="e">
        <x:f>IF(A351&lt;=Dashboard!$F$17,MIN(Dashboard!$F$10,AD351+AF351),0)</x:f>
      </x:c>
      <x:c r="AH351" s="32" t="e">
        <x:f>IF(A351&lt;=Dashboard!$F$17,MAX(0,AD351-MAX(0,AG351-AF351)),0)</x:f>
      </x:c>
      <x:c r="AI351" s="32" t="e">
        <x:f>IF(A351=1,AF351,AI350+AF351)</x:f>
      </x:c>
      <x:c r="AJ351" s="33"/>
      <x:c r="AK351" s="33"/>
      <x:c r="AL351" s="33"/>
      <x:c r="AM351" s="33"/>
    </x:row>
    <x:row r="352">
      <x:c r="A352" s="33" t="n">
        <x:v>340</x:v>
      </x:c>
      <x:c r="B352" s="32" t="e">
        <x:f>IF(A352=1,Dashboard!$F$14,F351)</x:f>
      </x:c>
      <x:c r="C352" s="32" t="n">
        <x:f>0</x:f>
        <x:v>0</x:v>
      </x:c>
      <x:c r="D352" s="32" t="e">
        <x:f>IF(A352&lt;=Dashboard!$F$15,B352*Dashboard!$F$6,0)</x:f>
      </x:c>
      <x:c r="E352" s="32" t="e">
        <x:f>IF(A352&lt;=Dashboard!$F$15,MIN(Dashboard!$F$10,B352+D352),0)</x:f>
      </x:c>
      <x:c r="F352" s="32" t="e">
        <x:f>IF(A352&lt;=Dashboard!$F$15,MAX(0,B352-MAX(0,E352-D352)),0)</x:f>
      </x:c>
      <x:c r="G352" s="32" t="e">
        <x:f>IF(A352=1,D352,G351+D352)</x:f>
      </x:c>
      <x:c r="H352" s="32"/>
      <x:c r="I352" s="32" t="e">
        <x:f>IF(A352=1,Dashboard!$F$14,M351)</x:f>
      </x:c>
      <x:c r="J352" s="32" t="e">
        <x:f>IF(A352&lt;=Dashboard!$F$17,MIN(I352,$B$5),0)</x:f>
      </x:c>
      <x:c r="K352" s="32" t="e">
        <x:f>IF(A352&lt;=Dashboard!$F$17,MAX(0,I352-J352)*Dashboard!$F$6,0)</x:f>
      </x:c>
      <x:c r="L352" s="32" t="e">
        <x:f>IF(A352&lt;=Dashboard!$F$17,MIN(Dashboard!$F$10,MAX(0,I352-J352)+K352),0)</x:f>
      </x:c>
      <x:c r="M352" s="32" t="e">
        <x:f>IF(A352&lt;=Dashboard!$F$17,MAX(0,I352-J352-MAX(0,L352-K352)),0)</x:f>
      </x:c>
      <x:c r="N352" s="32" t="e">
        <x:f>IF(A352=1,K352,N351+K352)</x:f>
      </x:c>
      <x:c r="O352" s="32"/>
      <x:c r="P352" s="32" t="e">
        <x:f>IF(A352=1,Dashboard!$F$14,T351)</x:f>
      </x:c>
      <x:c r="Q352" s="32" t="e">
        <x:f>IF(A352&lt;=Dashboard!$F$17,MIN(P352,$B$6*52/12),0)</x:f>
      </x:c>
      <x:c r="R352" s="32" t="e">
        <x:f>IF(A352&lt;=Dashboard!$F$17,MAX(0,P352-Q352)*Dashboard!$F$6,0)</x:f>
      </x:c>
      <x:c r="S352" s="32" t="e">
        <x:f>IF(A352&lt;=Dashboard!$F$17,MIN(Dashboard!$F$10,MAX(0,P352-Q352)+R352),0)</x:f>
      </x:c>
      <x:c r="T352" s="32" t="e">
        <x:f>IF(A352&lt;=Dashboard!$F$17,MAX(0,P352-Q352-MAX(0,S352-R352)),0)</x:f>
      </x:c>
      <x:c r="U352" s="32" t="e">
        <x:f>IF(A352=1,R352,U351+R352)</x:f>
      </x:c>
      <x:c r="V352" s="32"/>
      <x:c r="W352" s="32" t="e">
        <x:f>IF(A352=1,Dashboard!$F$14,AA351)</x:f>
      </x:c>
      <x:c r="X352" s="32" t="e">
        <x:f>IF(AND(A352&lt;=Dashboard!$F$17,MOD(A352-1,12)=0),MIN(W352,$B$7),0)</x:f>
      </x:c>
      <x:c r="Y352" s="32" t="e">
        <x:f>IF(A352&lt;=Dashboard!$F$17,MAX(0,W352-X352)*Dashboard!$F$6,0)</x:f>
      </x:c>
      <x:c r="Z352" s="32" t="e">
        <x:f>IF(A352&lt;=Dashboard!$F$17,MIN(Dashboard!$F$10,MAX(0,W352-X352)+Y352),0)</x:f>
      </x:c>
      <x:c r="AA352" s="32" t="e">
        <x:f>IF(A352&lt;=Dashboard!$F$17,MAX(0,W352-X352-MAX(0,Z352-Y352)),0)</x:f>
      </x:c>
      <x:c r="AB352" s="32" t="e">
        <x:f>IF(A352=1,Y352,AB351+Y352)</x:f>
      </x:c>
      <x:c r="AC352" s="32"/>
      <x:c r="AD352" s="32" t="e">
        <x:f>IF(A352=1,MAX(0,Dashboard!$F$14-$B$8),AG351)</x:f>
      </x:c>
      <x:c r="AE352" s="32" t="n">
        <x:f>0</x:f>
        <x:v>0</x:v>
      </x:c>
      <x:c r="AF352" s="32" t="e">
        <x:f>IF(A352&lt;=Dashboard!$F$17,AD352*Dashboard!$F$6,0)</x:f>
      </x:c>
      <x:c r="AG352" s="32" t="e">
        <x:f>IF(A352&lt;=Dashboard!$F$17,MIN(Dashboard!$F$10,AD352+AF352),0)</x:f>
      </x:c>
      <x:c r="AH352" s="32" t="e">
        <x:f>IF(A352&lt;=Dashboard!$F$17,MAX(0,AD352-MAX(0,AG352-AF352)),0)</x:f>
      </x:c>
      <x:c r="AI352" s="32" t="e">
        <x:f>IF(A352=1,AF352,AI351+AF352)</x:f>
      </x:c>
      <x:c r="AJ352" s="33"/>
      <x:c r="AK352" s="33"/>
      <x:c r="AL352" s="33"/>
      <x:c r="AM352" s="33"/>
    </x:row>
    <x:row r="353">
      <x:c r="A353" s="33" t="n">
        <x:v>341</x:v>
      </x:c>
      <x:c r="B353" s="32" t="e">
        <x:f>IF(A353=1,Dashboard!$F$14,F352)</x:f>
      </x:c>
      <x:c r="C353" s="32" t="n">
        <x:f>0</x:f>
        <x:v>0</x:v>
      </x:c>
      <x:c r="D353" s="32" t="e">
        <x:f>IF(A353&lt;=Dashboard!$F$15,B353*Dashboard!$F$6,0)</x:f>
      </x:c>
      <x:c r="E353" s="32" t="e">
        <x:f>IF(A353&lt;=Dashboard!$F$15,MIN(Dashboard!$F$10,B353+D353),0)</x:f>
      </x:c>
      <x:c r="F353" s="32" t="e">
        <x:f>IF(A353&lt;=Dashboard!$F$15,MAX(0,B353-MAX(0,E353-D353)),0)</x:f>
      </x:c>
      <x:c r="G353" s="32" t="e">
        <x:f>IF(A353=1,D353,G352+D353)</x:f>
      </x:c>
      <x:c r="H353" s="32"/>
      <x:c r="I353" s="32" t="e">
        <x:f>IF(A353=1,Dashboard!$F$14,M352)</x:f>
      </x:c>
      <x:c r="J353" s="32" t="e">
        <x:f>IF(A353&lt;=Dashboard!$F$17,MIN(I353,$B$5),0)</x:f>
      </x:c>
      <x:c r="K353" s="32" t="e">
        <x:f>IF(A353&lt;=Dashboard!$F$17,MAX(0,I353-J353)*Dashboard!$F$6,0)</x:f>
      </x:c>
      <x:c r="L353" s="32" t="e">
        <x:f>IF(A353&lt;=Dashboard!$F$17,MIN(Dashboard!$F$10,MAX(0,I353-J353)+K353),0)</x:f>
      </x:c>
      <x:c r="M353" s="32" t="e">
        <x:f>IF(A353&lt;=Dashboard!$F$17,MAX(0,I353-J353-MAX(0,L353-K353)),0)</x:f>
      </x:c>
      <x:c r="N353" s="32" t="e">
        <x:f>IF(A353=1,K353,N352+K353)</x:f>
      </x:c>
      <x:c r="O353" s="32"/>
      <x:c r="P353" s="32" t="e">
        <x:f>IF(A353=1,Dashboard!$F$14,T352)</x:f>
      </x:c>
      <x:c r="Q353" s="32" t="e">
        <x:f>IF(A353&lt;=Dashboard!$F$17,MIN(P353,$B$6*52/12),0)</x:f>
      </x:c>
      <x:c r="R353" s="32" t="e">
        <x:f>IF(A353&lt;=Dashboard!$F$17,MAX(0,P353-Q353)*Dashboard!$F$6,0)</x:f>
      </x:c>
      <x:c r="S353" s="32" t="e">
        <x:f>IF(A353&lt;=Dashboard!$F$17,MIN(Dashboard!$F$10,MAX(0,P353-Q353)+R353),0)</x:f>
      </x:c>
      <x:c r="T353" s="32" t="e">
        <x:f>IF(A353&lt;=Dashboard!$F$17,MAX(0,P353-Q353-MAX(0,S353-R353)),0)</x:f>
      </x:c>
      <x:c r="U353" s="32" t="e">
        <x:f>IF(A353=1,R353,U352+R353)</x:f>
      </x:c>
      <x:c r="V353" s="32"/>
      <x:c r="W353" s="32" t="e">
        <x:f>IF(A353=1,Dashboard!$F$14,AA352)</x:f>
      </x:c>
      <x:c r="X353" s="32" t="e">
        <x:f>IF(AND(A353&lt;=Dashboard!$F$17,MOD(A353-1,12)=0),MIN(W353,$B$7),0)</x:f>
      </x:c>
      <x:c r="Y353" s="32" t="e">
        <x:f>IF(A353&lt;=Dashboard!$F$17,MAX(0,W353-X353)*Dashboard!$F$6,0)</x:f>
      </x:c>
      <x:c r="Z353" s="32" t="e">
        <x:f>IF(A353&lt;=Dashboard!$F$17,MIN(Dashboard!$F$10,MAX(0,W353-X353)+Y353),0)</x:f>
      </x:c>
      <x:c r="AA353" s="32" t="e">
        <x:f>IF(A353&lt;=Dashboard!$F$17,MAX(0,W353-X353-MAX(0,Z353-Y353)),0)</x:f>
      </x:c>
      <x:c r="AB353" s="32" t="e">
        <x:f>IF(A353=1,Y353,AB352+Y353)</x:f>
      </x:c>
      <x:c r="AC353" s="32"/>
      <x:c r="AD353" s="32" t="e">
        <x:f>IF(A353=1,MAX(0,Dashboard!$F$14-$B$8),AG352)</x:f>
      </x:c>
      <x:c r="AE353" s="32" t="n">
        <x:f>0</x:f>
        <x:v>0</x:v>
      </x:c>
      <x:c r="AF353" s="32" t="e">
        <x:f>IF(A353&lt;=Dashboard!$F$17,AD353*Dashboard!$F$6,0)</x:f>
      </x:c>
      <x:c r="AG353" s="32" t="e">
        <x:f>IF(A353&lt;=Dashboard!$F$17,MIN(Dashboard!$F$10,AD353+AF353),0)</x:f>
      </x:c>
      <x:c r="AH353" s="32" t="e">
        <x:f>IF(A353&lt;=Dashboard!$F$17,MAX(0,AD353-MAX(0,AG353-AF353)),0)</x:f>
      </x:c>
      <x:c r="AI353" s="32" t="e">
        <x:f>IF(A353=1,AF353,AI352+AF353)</x:f>
      </x:c>
      <x:c r="AJ353" s="33"/>
      <x:c r="AK353" s="33"/>
      <x:c r="AL353" s="33"/>
      <x:c r="AM353" s="33"/>
    </x:row>
    <x:row r="354">
      <x:c r="A354" s="33" t="n">
        <x:v>342</x:v>
      </x:c>
      <x:c r="B354" s="32" t="e">
        <x:f>IF(A354=1,Dashboard!$F$14,F353)</x:f>
      </x:c>
      <x:c r="C354" s="32" t="n">
        <x:f>0</x:f>
        <x:v>0</x:v>
      </x:c>
      <x:c r="D354" s="32" t="e">
        <x:f>IF(A354&lt;=Dashboard!$F$15,B354*Dashboard!$F$6,0)</x:f>
      </x:c>
      <x:c r="E354" s="32" t="e">
        <x:f>IF(A354&lt;=Dashboard!$F$15,MIN(Dashboard!$F$10,B354+D354),0)</x:f>
      </x:c>
      <x:c r="F354" s="32" t="e">
        <x:f>IF(A354&lt;=Dashboard!$F$15,MAX(0,B354-MAX(0,E354-D354)),0)</x:f>
      </x:c>
      <x:c r="G354" s="32" t="e">
        <x:f>IF(A354=1,D354,G353+D354)</x:f>
      </x:c>
      <x:c r="H354" s="32"/>
      <x:c r="I354" s="32" t="e">
        <x:f>IF(A354=1,Dashboard!$F$14,M353)</x:f>
      </x:c>
      <x:c r="J354" s="32" t="e">
        <x:f>IF(A354&lt;=Dashboard!$F$17,MIN(I354,$B$5),0)</x:f>
      </x:c>
      <x:c r="K354" s="32" t="e">
        <x:f>IF(A354&lt;=Dashboard!$F$17,MAX(0,I354-J354)*Dashboard!$F$6,0)</x:f>
      </x:c>
      <x:c r="L354" s="32" t="e">
        <x:f>IF(A354&lt;=Dashboard!$F$17,MIN(Dashboard!$F$10,MAX(0,I354-J354)+K354),0)</x:f>
      </x:c>
      <x:c r="M354" s="32" t="e">
        <x:f>IF(A354&lt;=Dashboard!$F$17,MAX(0,I354-J354-MAX(0,L354-K354)),0)</x:f>
      </x:c>
      <x:c r="N354" s="32" t="e">
        <x:f>IF(A354=1,K354,N353+K354)</x:f>
      </x:c>
      <x:c r="O354" s="32"/>
      <x:c r="P354" s="32" t="e">
        <x:f>IF(A354=1,Dashboard!$F$14,T353)</x:f>
      </x:c>
      <x:c r="Q354" s="32" t="e">
        <x:f>IF(A354&lt;=Dashboard!$F$17,MIN(P354,$B$6*52/12),0)</x:f>
      </x:c>
      <x:c r="R354" s="32" t="e">
        <x:f>IF(A354&lt;=Dashboard!$F$17,MAX(0,P354-Q354)*Dashboard!$F$6,0)</x:f>
      </x:c>
      <x:c r="S354" s="32" t="e">
        <x:f>IF(A354&lt;=Dashboard!$F$17,MIN(Dashboard!$F$10,MAX(0,P354-Q354)+R354),0)</x:f>
      </x:c>
      <x:c r="T354" s="32" t="e">
        <x:f>IF(A354&lt;=Dashboard!$F$17,MAX(0,P354-Q354-MAX(0,S354-R354)),0)</x:f>
      </x:c>
      <x:c r="U354" s="32" t="e">
        <x:f>IF(A354=1,R354,U353+R354)</x:f>
      </x:c>
      <x:c r="V354" s="32"/>
      <x:c r="W354" s="32" t="e">
        <x:f>IF(A354=1,Dashboard!$F$14,AA353)</x:f>
      </x:c>
      <x:c r="X354" s="32" t="e">
        <x:f>IF(AND(A354&lt;=Dashboard!$F$17,MOD(A354-1,12)=0),MIN(W354,$B$7),0)</x:f>
      </x:c>
      <x:c r="Y354" s="32" t="e">
        <x:f>IF(A354&lt;=Dashboard!$F$17,MAX(0,W354-X354)*Dashboard!$F$6,0)</x:f>
      </x:c>
      <x:c r="Z354" s="32" t="e">
        <x:f>IF(A354&lt;=Dashboard!$F$17,MIN(Dashboard!$F$10,MAX(0,W354-X354)+Y354),0)</x:f>
      </x:c>
      <x:c r="AA354" s="32" t="e">
        <x:f>IF(A354&lt;=Dashboard!$F$17,MAX(0,W354-X354-MAX(0,Z354-Y354)),0)</x:f>
      </x:c>
      <x:c r="AB354" s="32" t="e">
        <x:f>IF(A354=1,Y354,AB353+Y354)</x:f>
      </x:c>
      <x:c r="AC354" s="32"/>
      <x:c r="AD354" s="32" t="e">
        <x:f>IF(A354=1,MAX(0,Dashboard!$F$14-$B$8),AG353)</x:f>
      </x:c>
      <x:c r="AE354" s="32" t="n">
        <x:f>0</x:f>
        <x:v>0</x:v>
      </x:c>
      <x:c r="AF354" s="32" t="e">
        <x:f>IF(A354&lt;=Dashboard!$F$17,AD354*Dashboard!$F$6,0)</x:f>
      </x:c>
      <x:c r="AG354" s="32" t="e">
        <x:f>IF(A354&lt;=Dashboard!$F$17,MIN(Dashboard!$F$10,AD354+AF354),0)</x:f>
      </x:c>
      <x:c r="AH354" s="32" t="e">
        <x:f>IF(A354&lt;=Dashboard!$F$17,MAX(0,AD354-MAX(0,AG354-AF354)),0)</x:f>
      </x:c>
      <x:c r="AI354" s="32" t="e">
        <x:f>IF(A354=1,AF354,AI353+AF354)</x:f>
      </x:c>
      <x:c r="AJ354" s="33"/>
      <x:c r="AK354" s="33"/>
      <x:c r="AL354" s="33"/>
      <x:c r="AM354" s="33"/>
    </x:row>
    <x:row r="355">
      <x:c r="A355" s="33" t="n">
        <x:v>343</x:v>
      </x:c>
      <x:c r="B355" s="32" t="e">
        <x:f>IF(A355=1,Dashboard!$F$14,F354)</x:f>
      </x:c>
      <x:c r="C355" s="32" t="n">
        <x:f>0</x:f>
        <x:v>0</x:v>
      </x:c>
      <x:c r="D355" s="32" t="e">
        <x:f>IF(A355&lt;=Dashboard!$F$15,B355*Dashboard!$F$6,0)</x:f>
      </x:c>
      <x:c r="E355" s="32" t="e">
        <x:f>IF(A355&lt;=Dashboard!$F$15,MIN(Dashboard!$F$10,B355+D355),0)</x:f>
      </x:c>
      <x:c r="F355" s="32" t="e">
        <x:f>IF(A355&lt;=Dashboard!$F$15,MAX(0,B355-MAX(0,E355-D355)),0)</x:f>
      </x:c>
      <x:c r="G355" s="32" t="e">
        <x:f>IF(A355=1,D355,G354+D355)</x:f>
      </x:c>
      <x:c r="H355" s="32"/>
      <x:c r="I355" s="32" t="e">
        <x:f>IF(A355=1,Dashboard!$F$14,M354)</x:f>
      </x:c>
      <x:c r="J355" s="32" t="e">
        <x:f>IF(A355&lt;=Dashboard!$F$17,MIN(I355,$B$5),0)</x:f>
      </x:c>
      <x:c r="K355" s="32" t="e">
        <x:f>IF(A355&lt;=Dashboard!$F$17,MAX(0,I355-J355)*Dashboard!$F$6,0)</x:f>
      </x:c>
      <x:c r="L355" s="32" t="e">
        <x:f>IF(A355&lt;=Dashboard!$F$17,MIN(Dashboard!$F$10,MAX(0,I355-J355)+K355),0)</x:f>
      </x:c>
      <x:c r="M355" s="32" t="e">
        <x:f>IF(A355&lt;=Dashboard!$F$17,MAX(0,I355-J355-MAX(0,L355-K355)),0)</x:f>
      </x:c>
      <x:c r="N355" s="32" t="e">
        <x:f>IF(A355=1,K355,N354+K355)</x:f>
      </x:c>
      <x:c r="O355" s="32"/>
      <x:c r="P355" s="32" t="e">
        <x:f>IF(A355=1,Dashboard!$F$14,T354)</x:f>
      </x:c>
      <x:c r="Q355" s="32" t="e">
        <x:f>IF(A355&lt;=Dashboard!$F$17,MIN(P355,$B$6*52/12),0)</x:f>
      </x:c>
      <x:c r="R355" s="32" t="e">
        <x:f>IF(A355&lt;=Dashboard!$F$17,MAX(0,P355-Q355)*Dashboard!$F$6,0)</x:f>
      </x:c>
      <x:c r="S355" s="32" t="e">
        <x:f>IF(A355&lt;=Dashboard!$F$17,MIN(Dashboard!$F$10,MAX(0,P355-Q355)+R355),0)</x:f>
      </x:c>
      <x:c r="T355" s="32" t="e">
        <x:f>IF(A355&lt;=Dashboard!$F$17,MAX(0,P355-Q355-MAX(0,S355-R355)),0)</x:f>
      </x:c>
      <x:c r="U355" s="32" t="e">
        <x:f>IF(A355=1,R355,U354+R355)</x:f>
      </x:c>
      <x:c r="V355" s="32"/>
      <x:c r="W355" s="32" t="e">
        <x:f>IF(A355=1,Dashboard!$F$14,AA354)</x:f>
      </x:c>
      <x:c r="X355" s="32" t="e">
        <x:f>IF(AND(A355&lt;=Dashboard!$F$17,MOD(A355-1,12)=0),MIN(W355,$B$7),0)</x:f>
      </x:c>
      <x:c r="Y355" s="32" t="e">
        <x:f>IF(A355&lt;=Dashboard!$F$17,MAX(0,W355-X355)*Dashboard!$F$6,0)</x:f>
      </x:c>
      <x:c r="Z355" s="32" t="e">
        <x:f>IF(A355&lt;=Dashboard!$F$17,MIN(Dashboard!$F$10,MAX(0,W355-X355)+Y355),0)</x:f>
      </x:c>
      <x:c r="AA355" s="32" t="e">
        <x:f>IF(A355&lt;=Dashboard!$F$17,MAX(0,W355-X355-MAX(0,Z355-Y355)),0)</x:f>
      </x:c>
      <x:c r="AB355" s="32" t="e">
        <x:f>IF(A355=1,Y355,AB354+Y355)</x:f>
      </x:c>
      <x:c r="AC355" s="32"/>
      <x:c r="AD355" s="32" t="e">
        <x:f>IF(A355=1,MAX(0,Dashboard!$F$14-$B$8),AG354)</x:f>
      </x:c>
      <x:c r="AE355" s="32" t="n">
        <x:f>0</x:f>
        <x:v>0</x:v>
      </x:c>
      <x:c r="AF355" s="32" t="e">
        <x:f>IF(A355&lt;=Dashboard!$F$17,AD355*Dashboard!$F$6,0)</x:f>
      </x:c>
      <x:c r="AG355" s="32" t="e">
        <x:f>IF(A355&lt;=Dashboard!$F$17,MIN(Dashboard!$F$10,AD355+AF355),0)</x:f>
      </x:c>
      <x:c r="AH355" s="32" t="e">
        <x:f>IF(A355&lt;=Dashboard!$F$17,MAX(0,AD355-MAX(0,AG355-AF355)),0)</x:f>
      </x:c>
      <x:c r="AI355" s="32" t="e">
        <x:f>IF(A355=1,AF355,AI354+AF355)</x:f>
      </x:c>
      <x:c r="AJ355" s="33"/>
      <x:c r="AK355" s="33"/>
      <x:c r="AL355" s="33"/>
      <x:c r="AM355" s="33"/>
    </x:row>
    <x:row r="356">
      <x:c r="A356" s="33" t="n">
        <x:v>344</x:v>
      </x:c>
      <x:c r="B356" s="32" t="e">
        <x:f>IF(A356=1,Dashboard!$F$14,F355)</x:f>
      </x:c>
      <x:c r="C356" s="32" t="n">
        <x:f>0</x:f>
        <x:v>0</x:v>
      </x:c>
      <x:c r="D356" s="32" t="e">
        <x:f>IF(A356&lt;=Dashboard!$F$15,B356*Dashboard!$F$6,0)</x:f>
      </x:c>
      <x:c r="E356" s="32" t="e">
        <x:f>IF(A356&lt;=Dashboard!$F$15,MIN(Dashboard!$F$10,B356+D356),0)</x:f>
      </x:c>
      <x:c r="F356" s="32" t="e">
        <x:f>IF(A356&lt;=Dashboard!$F$15,MAX(0,B356-MAX(0,E356-D356)),0)</x:f>
      </x:c>
      <x:c r="G356" s="32" t="e">
        <x:f>IF(A356=1,D356,G355+D356)</x:f>
      </x:c>
      <x:c r="H356" s="32"/>
      <x:c r="I356" s="32" t="e">
        <x:f>IF(A356=1,Dashboard!$F$14,M355)</x:f>
      </x:c>
      <x:c r="J356" s="32" t="e">
        <x:f>IF(A356&lt;=Dashboard!$F$17,MIN(I356,$B$5),0)</x:f>
      </x:c>
      <x:c r="K356" s="32" t="e">
        <x:f>IF(A356&lt;=Dashboard!$F$17,MAX(0,I356-J356)*Dashboard!$F$6,0)</x:f>
      </x:c>
      <x:c r="L356" s="32" t="e">
        <x:f>IF(A356&lt;=Dashboard!$F$17,MIN(Dashboard!$F$10,MAX(0,I356-J356)+K356),0)</x:f>
      </x:c>
      <x:c r="M356" s="32" t="e">
        <x:f>IF(A356&lt;=Dashboard!$F$17,MAX(0,I356-J356-MAX(0,L356-K356)),0)</x:f>
      </x:c>
      <x:c r="N356" s="32" t="e">
        <x:f>IF(A356=1,K356,N355+K356)</x:f>
      </x:c>
      <x:c r="O356" s="32"/>
      <x:c r="P356" s="32" t="e">
        <x:f>IF(A356=1,Dashboard!$F$14,T355)</x:f>
      </x:c>
      <x:c r="Q356" s="32" t="e">
        <x:f>IF(A356&lt;=Dashboard!$F$17,MIN(P356,$B$6*52/12),0)</x:f>
      </x:c>
      <x:c r="R356" s="32" t="e">
        <x:f>IF(A356&lt;=Dashboard!$F$17,MAX(0,P356-Q356)*Dashboard!$F$6,0)</x:f>
      </x:c>
      <x:c r="S356" s="32" t="e">
        <x:f>IF(A356&lt;=Dashboard!$F$17,MIN(Dashboard!$F$10,MAX(0,P356-Q356)+R356),0)</x:f>
      </x:c>
      <x:c r="T356" s="32" t="e">
        <x:f>IF(A356&lt;=Dashboard!$F$17,MAX(0,P356-Q356-MAX(0,S356-R356)),0)</x:f>
      </x:c>
      <x:c r="U356" s="32" t="e">
        <x:f>IF(A356=1,R356,U355+R356)</x:f>
      </x:c>
      <x:c r="V356" s="32"/>
      <x:c r="W356" s="32" t="e">
        <x:f>IF(A356=1,Dashboard!$F$14,AA355)</x:f>
      </x:c>
      <x:c r="X356" s="32" t="e">
        <x:f>IF(AND(A356&lt;=Dashboard!$F$17,MOD(A356-1,12)=0),MIN(W356,$B$7),0)</x:f>
      </x:c>
      <x:c r="Y356" s="32" t="e">
        <x:f>IF(A356&lt;=Dashboard!$F$17,MAX(0,W356-X356)*Dashboard!$F$6,0)</x:f>
      </x:c>
      <x:c r="Z356" s="32" t="e">
        <x:f>IF(A356&lt;=Dashboard!$F$17,MIN(Dashboard!$F$10,MAX(0,W356-X356)+Y356),0)</x:f>
      </x:c>
      <x:c r="AA356" s="32" t="e">
        <x:f>IF(A356&lt;=Dashboard!$F$17,MAX(0,W356-X356-MAX(0,Z356-Y356)),0)</x:f>
      </x:c>
      <x:c r="AB356" s="32" t="e">
        <x:f>IF(A356=1,Y356,AB355+Y356)</x:f>
      </x:c>
      <x:c r="AC356" s="32"/>
      <x:c r="AD356" s="32" t="e">
        <x:f>IF(A356=1,MAX(0,Dashboard!$F$14-$B$8),AG355)</x:f>
      </x:c>
      <x:c r="AE356" s="32" t="n">
        <x:f>0</x:f>
        <x:v>0</x:v>
      </x:c>
      <x:c r="AF356" s="32" t="e">
        <x:f>IF(A356&lt;=Dashboard!$F$17,AD356*Dashboard!$F$6,0)</x:f>
      </x:c>
      <x:c r="AG356" s="32" t="e">
        <x:f>IF(A356&lt;=Dashboard!$F$17,MIN(Dashboard!$F$10,AD356+AF356),0)</x:f>
      </x:c>
      <x:c r="AH356" s="32" t="e">
        <x:f>IF(A356&lt;=Dashboard!$F$17,MAX(0,AD356-MAX(0,AG356-AF356)),0)</x:f>
      </x:c>
      <x:c r="AI356" s="32" t="e">
        <x:f>IF(A356=1,AF356,AI355+AF356)</x:f>
      </x:c>
      <x:c r="AJ356" s="33"/>
      <x:c r="AK356" s="33"/>
      <x:c r="AL356" s="33"/>
      <x:c r="AM356" s="33"/>
    </x:row>
    <x:row r="357">
      <x:c r="A357" s="33" t="n">
        <x:v>345</x:v>
      </x:c>
      <x:c r="B357" s="32" t="e">
        <x:f>IF(A357=1,Dashboard!$F$14,F356)</x:f>
      </x:c>
      <x:c r="C357" s="32" t="n">
        <x:f>0</x:f>
        <x:v>0</x:v>
      </x:c>
      <x:c r="D357" s="32" t="e">
        <x:f>IF(A357&lt;=Dashboard!$F$15,B357*Dashboard!$F$6,0)</x:f>
      </x:c>
      <x:c r="E357" s="32" t="e">
        <x:f>IF(A357&lt;=Dashboard!$F$15,MIN(Dashboard!$F$10,B357+D357),0)</x:f>
      </x:c>
      <x:c r="F357" s="32" t="e">
        <x:f>IF(A357&lt;=Dashboard!$F$15,MAX(0,B357-MAX(0,E357-D357)),0)</x:f>
      </x:c>
      <x:c r="G357" s="32" t="e">
        <x:f>IF(A357=1,D357,G356+D357)</x:f>
      </x:c>
      <x:c r="H357" s="32"/>
      <x:c r="I357" s="32" t="e">
        <x:f>IF(A357=1,Dashboard!$F$14,M356)</x:f>
      </x:c>
      <x:c r="J357" s="32" t="e">
        <x:f>IF(A357&lt;=Dashboard!$F$17,MIN(I357,$B$5),0)</x:f>
      </x:c>
      <x:c r="K357" s="32" t="e">
        <x:f>IF(A357&lt;=Dashboard!$F$17,MAX(0,I357-J357)*Dashboard!$F$6,0)</x:f>
      </x:c>
      <x:c r="L357" s="32" t="e">
        <x:f>IF(A357&lt;=Dashboard!$F$17,MIN(Dashboard!$F$10,MAX(0,I357-J357)+K357),0)</x:f>
      </x:c>
      <x:c r="M357" s="32" t="e">
        <x:f>IF(A357&lt;=Dashboard!$F$17,MAX(0,I357-J357-MAX(0,L357-K357)),0)</x:f>
      </x:c>
      <x:c r="N357" s="32" t="e">
        <x:f>IF(A357=1,K357,N356+K357)</x:f>
      </x:c>
      <x:c r="O357" s="32"/>
      <x:c r="P357" s="32" t="e">
        <x:f>IF(A357=1,Dashboard!$F$14,T356)</x:f>
      </x:c>
      <x:c r="Q357" s="32" t="e">
        <x:f>IF(A357&lt;=Dashboard!$F$17,MIN(P357,$B$6*52/12),0)</x:f>
      </x:c>
      <x:c r="R357" s="32" t="e">
        <x:f>IF(A357&lt;=Dashboard!$F$17,MAX(0,P357-Q357)*Dashboard!$F$6,0)</x:f>
      </x:c>
      <x:c r="S357" s="32" t="e">
        <x:f>IF(A357&lt;=Dashboard!$F$17,MIN(Dashboard!$F$10,MAX(0,P357-Q357)+R357),0)</x:f>
      </x:c>
      <x:c r="T357" s="32" t="e">
        <x:f>IF(A357&lt;=Dashboard!$F$17,MAX(0,P357-Q357-MAX(0,S357-R357)),0)</x:f>
      </x:c>
      <x:c r="U357" s="32" t="e">
        <x:f>IF(A357=1,R357,U356+R357)</x:f>
      </x:c>
      <x:c r="V357" s="32"/>
      <x:c r="W357" s="32" t="e">
        <x:f>IF(A357=1,Dashboard!$F$14,AA356)</x:f>
      </x:c>
      <x:c r="X357" s="32" t="e">
        <x:f>IF(AND(A357&lt;=Dashboard!$F$17,MOD(A357-1,12)=0),MIN(W357,$B$7),0)</x:f>
      </x:c>
      <x:c r="Y357" s="32" t="e">
        <x:f>IF(A357&lt;=Dashboard!$F$17,MAX(0,W357-X357)*Dashboard!$F$6,0)</x:f>
      </x:c>
      <x:c r="Z357" s="32" t="e">
        <x:f>IF(A357&lt;=Dashboard!$F$17,MIN(Dashboard!$F$10,MAX(0,W357-X357)+Y357),0)</x:f>
      </x:c>
      <x:c r="AA357" s="32" t="e">
        <x:f>IF(A357&lt;=Dashboard!$F$17,MAX(0,W357-X357-MAX(0,Z357-Y357)),0)</x:f>
      </x:c>
      <x:c r="AB357" s="32" t="e">
        <x:f>IF(A357=1,Y357,AB356+Y357)</x:f>
      </x:c>
      <x:c r="AC357" s="32"/>
      <x:c r="AD357" s="32" t="e">
        <x:f>IF(A357=1,MAX(0,Dashboard!$F$14-$B$8),AG356)</x:f>
      </x:c>
      <x:c r="AE357" s="32" t="n">
        <x:f>0</x:f>
        <x:v>0</x:v>
      </x:c>
      <x:c r="AF357" s="32" t="e">
        <x:f>IF(A357&lt;=Dashboard!$F$17,AD357*Dashboard!$F$6,0)</x:f>
      </x:c>
      <x:c r="AG357" s="32" t="e">
        <x:f>IF(A357&lt;=Dashboard!$F$17,MIN(Dashboard!$F$10,AD357+AF357),0)</x:f>
      </x:c>
      <x:c r="AH357" s="32" t="e">
        <x:f>IF(A357&lt;=Dashboard!$F$17,MAX(0,AD357-MAX(0,AG357-AF357)),0)</x:f>
      </x:c>
      <x:c r="AI357" s="32" t="e">
        <x:f>IF(A357=1,AF357,AI356+AF357)</x:f>
      </x:c>
      <x:c r="AJ357" s="33"/>
      <x:c r="AK357" s="33"/>
      <x:c r="AL357" s="33"/>
      <x:c r="AM357" s="33"/>
    </x:row>
    <x:row r="358">
      <x:c r="A358" s="33" t="n">
        <x:v>346</x:v>
      </x:c>
      <x:c r="B358" s="32" t="e">
        <x:f>IF(A358=1,Dashboard!$F$14,F357)</x:f>
      </x:c>
      <x:c r="C358" s="32" t="n">
        <x:f>0</x:f>
        <x:v>0</x:v>
      </x:c>
      <x:c r="D358" s="32" t="e">
        <x:f>IF(A358&lt;=Dashboard!$F$15,B358*Dashboard!$F$6,0)</x:f>
      </x:c>
      <x:c r="E358" s="32" t="e">
        <x:f>IF(A358&lt;=Dashboard!$F$15,MIN(Dashboard!$F$10,B358+D358),0)</x:f>
      </x:c>
      <x:c r="F358" s="32" t="e">
        <x:f>IF(A358&lt;=Dashboard!$F$15,MAX(0,B358-MAX(0,E358-D358)),0)</x:f>
      </x:c>
      <x:c r="G358" s="32" t="e">
        <x:f>IF(A358=1,D358,G357+D358)</x:f>
      </x:c>
      <x:c r="H358" s="32"/>
      <x:c r="I358" s="32" t="e">
        <x:f>IF(A358=1,Dashboard!$F$14,M357)</x:f>
      </x:c>
      <x:c r="J358" s="32" t="e">
        <x:f>IF(A358&lt;=Dashboard!$F$17,MIN(I358,$B$5),0)</x:f>
      </x:c>
      <x:c r="K358" s="32" t="e">
        <x:f>IF(A358&lt;=Dashboard!$F$17,MAX(0,I358-J358)*Dashboard!$F$6,0)</x:f>
      </x:c>
      <x:c r="L358" s="32" t="e">
        <x:f>IF(A358&lt;=Dashboard!$F$17,MIN(Dashboard!$F$10,MAX(0,I358-J358)+K358),0)</x:f>
      </x:c>
      <x:c r="M358" s="32" t="e">
        <x:f>IF(A358&lt;=Dashboard!$F$17,MAX(0,I358-J358-MAX(0,L358-K358)),0)</x:f>
      </x:c>
      <x:c r="N358" s="32" t="e">
        <x:f>IF(A358=1,K358,N357+K358)</x:f>
      </x:c>
      <x:c r="O358" s="32"/>
      <x:c r="P358" s="32" t="e">
        <x:f>IF(A358=1,Dashboard!$F$14,T357)</x:f>
      </x:c>
      <x:c r="Q358" s="32" t="e">
        <x:f>IF(A358&lt;=Dashboard!$F$17,MIN(P358,$B$6*52/12),0)</x:f>
      </x:c>
      <x:c r="R358" s="32" t="e">
        <x:f>IF(A358&lt;=Dashboard!$F$17,MAX(0,P358-Q358)*Dashboard!$F$6,0)</x:f>
      </x:c>
      <x:c r="S358" s="32" t="e">
        <x:f>IF(A358&lt;=Dashboard!$F$17,MIN(Dashboard!$F$10,MAX(0,P358-Q358)+R358),0)</x:f>
      </x:c>
      <x:c r="T358" s="32" t="e">
        <x:f>IF(A358&lt;=Dashboard!$F$17,MAX(0,P358-Q358-MAX(0,S358-R358)),0)</x:f>
      </x:c>
      <x:c r="U358" s="32" t="e">
        <x:f>IF(A358=1,R358,U357+R358)</x:f>
      </x:c>
      <x:c r="V358" s="32"/>
      <x:c r="W358" s="32" t="e">
        <x:f>IF(A358=1,Dashboard!$F$14,AA357)</x:f>
      </x:c>
      <x:c r="X358" s="32" t="e">
        <x:f>IF(AND(A358&lt;=Dashboard!$F$17,MOD(A358-1,12)=0),MIN(W358,$B$7),0)</x:f>
      </x:c>
      <x:c r="Y358" s="32" t="e">
        <x:f>IF(A358&lt;=Dashboard!$F$17,MAX(0,W358-X358)*Dashboard!$F$6,0)</x:f>
      </x:c>
      <x:c r="Z358" s="32" t="e">
        <x:f>IF(A358&lt;=Dashboard!$F$17,MIN(Dashboard!$F$10,MAX(0,W358-X358)+Y358),0)</x:f>
      </x:c>
      <x:c r="AA358" s="32" t="e">
        <x:f>IF(A358&lt;=Dashboard!$F$17,MAX(0,W358-X358-MAX(0,Z358-Y358)),0)</x:f>
      </x:c>
      <x:c r="AB358" s="32" t="e">
        <x:f>IF(A358=1,Y358,AB357+Y358)</x:f>
      </x:c>
      <x:c r="AC358" s="32"/>
      <x:c r="AD358" s="32" t="e">
        <x:f>IF(A358=1,MAX(0,Dashboard!$F$14-$B$8),AG357)</x:f>
      </x:c>
      <x:c r="AE358" s="32" t="n">
        <x:f>0</x:f>
        <x:v>0</x:v>
      </x:c>
      <x:c r="AF358" s="32" t="e">
        <x:f>IF(A358&lt;=Dashboard!$F$17,AD358*Dashboard!$F$6,0)</x:f>
      </x:c>
      <x:c r="AG358" s="32" t="e">
        <x:f>IF(A358&lt;=Dashboard!$F$17,MIN(Dashboard!$F$10,AD358+AF358),0)</x:f>
      </x:c>
      <x:c r="AH358" s="32" t="e">
        <x:f>IF(A358&lt;=Dashboard!$F$17,MAX(0,AD358-MAX(0,AG358-AF358)),0)</x:f>
      </x:c>
      <x:c r="AI358" s="32" t="e">
        <x:f>IF(A358=1,AF358,AI357+AF358)</x:f>
      </x:c>
      <x:c r="AJ358" s="33"/>
      <x:c r="AK358" s="33"/>
      <x:c r="AL358" s="33"/>
      <x:c r="AM358" s="33"/>
    </x:row>
    <x:row r="359">
      <x:c r="A359" s="33" t="n">
        <x:v>347</x:v>
      </x:c>
      <x:c r="B359" s="32" t="e">
        <x:f>IF(A359=1,Dashboard!$F$14,F358)</x:f>
      </x:c>
      <x:c r="C359" s="32" t="n">
        <x:f>0</x:f>
        <x:v>0</x:v>
      </x:c>
      <x:c r="D359" s="32" t="e">
        <x:f>IF(A359&lt;=Dashboard!$F$15,B359*Dashboard!$F$6,0)</x:f>
      </x:c>
      <x:c r="E359" s="32" t="e">
        <x:f>IF(A359&lt;=Dashboard!$F$15,MIN(Dashboard!$F$10,B359+D359),0)</x:f>
      </x:c>
      <x:c r="F359" s="32" t="e">
        <x:f>IF(A359&lt;=Dashboard!$F$15,MAX(0,B359-MAX(0,E359-D359)),0)</x:f>
      </x:c>
      <x:c r="G359" s="32" t="e">
        <x:f>IF(A359=1,D359,G358+D359)</x:f>
      </x:c>
      <x:c r="H359" s="32"/>
      <x:c r="I359" s="32" t="e">
        <x:f>IF(A359=1,Dashboard!$F$14,M358)</x:f>
      </x:c>
      <x:c r="J359" s="32" t="e">
        <x:f>IF(A359&lt;=Dashboard!$F$17,MIN(I359,$B$5),0)</x:f>
      </x:c>
      <x:c r="K359" s="32" t="e">
        <x:f>IF(A359&lt;=Dashboard!$F$17,MAX(0,I359-J359)*Dashboard!$F$6,0)</x:f>
      </x:c>
      <x:c r="L359" s="32" t="e">
        <x:f>IF(A359&lt;=Dashboard!$F$17,MIN(Dashboard!$F$10,MAX(0,I359-J359)+K359),0)</x:f>
      </x:c>
      <x:c r="M359" s="32" t="e">
        <x:f>IF(A359&lt;=Dashboard!$F$17,MAX(0,I359-J359-MAX(0,L359-K359)),0)</x:f>
      </x:c>
      <x:c r="N359" s="32" t="e">
        <x:f>IF(A359=1,K359,N358+K359)</x:f>
      </x:c>
      <x:c r="O359" s="32"/>
      <x:c r="P359" s="32" t="e">
        <x:f>IF(A359=1,Dashboard!$F$14,T358)</x:f>
      </x:c>
      <x:c r="Q359" s="32" t="e">
        <x:f>IF(A359&lt;=Dashboard!$F$17,MIN(P359,$B$6*52/12),0)</x:f>
      </x:c>
      <x:c r="R359" s="32" t="e">
        <x:f>IF(A359&lt;=Dashboard!$F$17,MAX(0,P359-Q359)*Dashboard!$F$6,0)</x:f>
      </x:c>
      <x:c r="S359" s="32" t="e">
        <x:f>IF(A359&lt;=Dashboard!$F$17,MIN(Dashboard!$F$10,MAX(0,P359-Q359)+R359),0)</x:f>
      </x:c>
      <x:c r="T359" s="32" t="e">
        <x:f>IF(A359&lt;=Dashboard!$F$17,MAX(0,P359-Q359-MAX(0,S359-R359)),0)</x:f>
      </x:c>
      <x:c r="U359" s="32" t="e">
        <x:f>IF(A359=1,R359,U358+R359)</x:f>
      </x:c>
      <x:c r="V359" s="32"/>
      <x:c r="W359" s="32" t="e">
        <x:f>IF(A359=1,Dashboard!$F$14,AA358)</x:f>
      </x:c>
      <x:c r="X359" s="32" t="e">
        <x:f>IF(AND(A359&lt;=Dashboard!$F$17,MOD(A359-1,12)=0),MIN(W359,$B$7),0)</x:f>
      </x:c>
      <x:c r="Y359" s="32" t="e">
        <x:f>IF(A359&lt;=Dashboard!$F$17,MAX(0,W359-X359)*Dashboard!$F$6,0)</x:f>
      </x:c>
      <x:c r="Z359" s="32" t="e">
        <x:f>IF(A359&lt;=Dashboard!$F$17,MIN(Dashboard!$F$10,MAX(0,W359-X359)+Y359),0)</x:f>
      </x:c>
      <x:c r="AA359" s="32" t="e">
        <x:f>IF(A359&lt;=Dashboard!$F$17,MAX(0,W359-X359-MAX(0,Z359-Y359)),0)</x:f>
      </x:c>
      <x:c r="AB359" s="32" t="e">
        <x:f>IF(A359=1,Y359,AB358+Y359)</x:f>
      </x:c>
      <x:c r="AC359" s="32"/>
      <x:c r="AD359" s="32" t="e">
        <x:f>IF(A359=1,MAX(0,Dashboard!$F$14-$B$8),AG358)</x:f>
      </x:c>
      <x:c r="AE359" s="32" t="n">
        <x:f>0</x:f>
        <x:v>0</x:v>
      </x:c>
      <x:c r="AF359" s="32" t="e">
        <x:f>IF(A359&lt;=Dashboard!$F$17,AD359*Dashboard!$F$6,0)</x:f>
      </x:c>
      <x:c r="AG359" s="32" t="e">
        <x:f>IF(A359&lt;=Dashboard!$F$17,MIN(Dashboard!$F$10,AD359+AF359),0)</x:f>
      </x:c>
      <x:c r="AH359" s="32" t="e">
        <x:f>IF(A359&lt;=Dashboard!$F$17,MAX(0,AD359-MAX(0,AG359-AF359)),0)</x:f>
      </x:c>
      <x:c r="AI359" s="32" t="e">
        <x:f>IF(A359=1,AF359,AI358+AF359)</x:f>
      </x:c>
      <x:c r="AJ359" s="33"/>
      <x:c r="AK359" s="33"/>
      <x:c r="AL359" s="33"/>
      <x:c r="AM359" s="33"/>
    </x:row>
    <x:row r="360">
      <x:c r="A360" s="33" t="n">
        <x:v>348</x:v>
      </x:c>
      <x:c r="B360" s="32" t="e">
        <x:f>IF(A360=1,Dashboard!$F$14,F359)</x:f>
      </x:c>
      <x:c r="C360" s="32" t="n">
        <x:f>0</x:f>
        <x:v>0</x:v>
      </x:c>
      <x:c r="D360" s="32" t="e">
        <x:f>IF(A360&lt;=Dashboard!$F$15,B360*Dashboard!$F$6,0)</x:f>
      </x:c>
      <x:c r="E360" s="32" t="e">
        <x:f>IF(A360&lt;=Dashboard!$F$15,MIN(Dashboard!$F$10,B360+D360),0)</x:f>
      </x:c>
      <x:c r="F360" s="32" t="e">
        <x:f>IF(A360&lt;=Dashboard!$F$15,MAX(0,B360-MAX(0,E360-D360)),0)</x:f>
      </x:c>
      <x:c r="G360" s="32" t="e">
        <x:f>IF(A360=1,D360,G359+D360)</x:f>
      </x:c>
      <x:c r="H360" s="32"/>
      <x:c r="I360" s="32" t="e">
        <x:f>IF(A360=1,Dashboard!$F$14,M359)</x:f>
      </x:c>
      <x:c r="J360" s="32" t="e">
        <x:f>IF(A360&lt;=Dashboard!$F$17,MIN(I360,$B$5),0)</x:f>
      </x:c>
      <x:c r="K360" s="32" t="e">
        <x:f>IF(A360&lt;=Dashboard!$F$17,MAX(0,I360-J360)*Dashboard!$F$6,0)</x:f>
      </x:c>
      <x:c r="L360" s="32" t="e">
        <x:f>IF(A360&lt;=Dashboard!$F$17,MIN(Dashboard!$F$10,MAX(0,I360-J360)+K360),0)</x:f>
      </x:c>
      <x:c r="M360" s="32" t="e">
        <x:f>IF(A360&lt;=Dashboard!$F$17,MAX(0,I360-J360-MAX(0,L360-K360)),0)</x:f>
      </x:c>
      <x:c r="N360" s="32" t="e">
        <x:f>IF(A360=1,K360,N359+K360)</x:f>
      </x:c>
      <x:c r="O360" s="32"/>
      <x:c r="P360" s="32" t="e">
        <x:f>IF(A360=1,Dashboard!$F$14,T359)</x:f>
      </x:c>
      <x:c r="Q360" s="32" t="e">
        <x:f>IF(A360&lt;=Dashboard!$F$17,MIN(P360,$B$6*52/12),0)</x:f>
      </x:c>
      <x:c r="R360" s="32" t="e">
        <x:f>IF(A360&lt;=Dashboard!$F$17,MAX(0,P360-Q360)*Dashboard!$F$6,0)</x:f>
      </x:c>
      <x:c r="S360" s="32" t="e">
        <x:f>IF(A360&lt;=Dashboard!$F$17,MIN(Dashboard!$F$10,MAX(0,P360-Q360)+R360),0)</x:f>
      </x:c>
      <x:c r="T360" s="32" t="e">
        <x:f>IF(A360&lt;=Dashboard!$F$17,MAX(0,P360-Q360-MAX(0,S360-R360)),0)</x:f>
      </x:c>
      <x:c r="U360" s="32" t="e">
        <x:f>IF(A360=1,R360,U359+R360)</x:f>
      </x:c>
      <x:c r="V360" s="32"/>
      <x:c r="W360" s="32" t="e">
        <x:f>IF(A360=1,Dashboard!$F$14,AA359)</x:f>
      </x:c>
      <x:c r="X360" s="32" t="e">
        <x:f>IF(AND(A360&lt;=Dashboard!$F$17,MOD(A360-1,12)=0),MIN(W360,$B$7),0)</x:f>
      </x:c>
      <x:c r="Y360" s="32" t="e">
        <x:f>IF(A360&lt;=Dashboard!$F$17,MAX(0,W360-X360)*Dashboard!$F$6,0)</x:f>
      </x:c>
      <x:c r="Z360" s="32" t="e">
        <x:f>IF(A360&lt;=Dashboard!$F$17,MIN(Dashboard!$F$10,MAX(0,W360-X360)+Y360),0)</x:f>
      </x:c>
      <x:c r="AA360" s="32" t="e">
        <x:f>IF(A360&lt;=Dashboard!$F$17,MAX(0,W360-X360-MAX(0,Z360-Y360)),0)</x:f>
      </x:c>
      <x:c r="AB360" s="32" t="e">
        <x:f>IF(A360=1,Y360,AB359+Y360)</x:f>
      </x:c>
      <x:c r="AC360" s="32"/>
      <x:c r="AD360" s="32" t="e">
        <x:f>IF(A360=1,MAX(0,Dashboard!$F$14-$B$8),AG359)</x:f>
      </x:c>
      <x:c r="AE360" s="32" t="n">
        <x:f>0</x:f>
        <x:v>0</x:v>
      </x:c>
      <x:c r="AF360" s="32" t="e">
        <x:f>IF(A360&lt;=Dashboard!$F$17,AD360*Dashboard!$F$6,0)</x:f>
      </x:c>
      <x:c r="AG360" s="32" t="e">
        <x:f>IF(A360&lt;=Dashboard!$F$17,MIN(Dashboard!$F$10,AD360+AF360),0)</x:f>
      </x:c>
      <x:c r="AH360" s="32" t="e">
        <x:f>IF(A360&lt;=Dashboard!$F$17,MAX(0,AD360-MAX(0,AG360-AF360)),0)</x:f>
      </x:c>
      <x:c r="AI360" s="32" t="e">
        <x:f>IF(A360=1,AF360,AI359+AF360)</x:f>
      </x:c>
      <x:c r="AJ360" s="33"/>
      <x:c r="AK360" s="33"/>
      <x:c r="AL360" s="33"/>
      <x:c r="AM360" s="33"/>
    </x:row>
    <x:row r="361">
      <x:c r="A361" s="33" t="n">
        <x:v>349</x:v>
      </x:c>
      <x:c r="B361" s="32" t="e">
        <x:f>IF(A361=1,Dashboard!$F$14,F360)</x:f>
      </x:c>
      <x:c r="C361" s="32" t="n">
        <x:f>0</x:f>
        <x:v>0</x:v>
      </x:c>
      <x:c r="D361" s="32" t="e">
        <x:f>IF(A361&lt;=Dashboard!$F$15,B361*Dashboard!$F$6,0)</x:f>
      </x:c>
      <x:c r="E361" s="32" t="e">
        <x:f>IF(A361&lt;=Dashboard!$F$15,MIN(Dashboard!$F$10,B361+D361),0)</x:f>
      </x:c>
      <x:c r="F361" s="32" t="e">
        <x:f>IF(A361&lt;=Dashboard!$F$15,MAX(0,B361-MAX(0,E361-D361)),0)</x:f>
      </x:c>
      <x:c r="G361" s="32" t="e">
        <x:f>IF(A361=1,D361,G360+D361)</x:f>
      </x:c>
      <x:c r="H361" s="32"/>
      <x:c r="I361" s="32" t="e">
        <x:f>IF(A361=1,Dashboard!$F$14,M360)</x:f>
      </x:c>
      <x:c r="J361" s="32" t="e">
        <x:f>IF(A361&lt;=Dashboard!$F$17,MIN(I361,$B$5),0)</x:f>
      </x:c>
      <x:c r="K361" s="32" t="e">
        <x:f>IF(A361&lt;=Dashboard!$F$17,MAX(0,I361-J361)*Dashboard!$F$6,0)</x:f>
      </x:c>
      <x:c r="L361" s="32" t="e">
        <x:f>IF(A361&lt;=Dashboard!$F$17,MIN(Dashboard!$F$10,MAX(0,I361-J361)+K361),0)</x:f>
      </x:c>
      <x:c r="M361" s="32" t="e">
        <x:f>IF(A361&lt;=Dashboard!$F$17,MAX(0,I361-J361-MAX(0,L361-K361)),0)</x:f>
      </x:c>
      <x:c r="N361" s="32" t="e">
        <x:f>IF(A361=1,K361,N360+K361)</x:f>
      </x:c>
      <x:c r="O361" s="32"/>
      <x:c r="P361" s="32" t="e">
        <x:f>IF(A361=1,Dashboard!$F$14,T360)</x:f>
      </x:c>
      <x:c r="Q361" s="32" t="e">
        <x:f>IF(A361&lt;=Dashboard!$F$17,MIN(P361,$B$6*52/12),0)</x:f>
      </x:c>
      <x:c r="R361" s="32" t="e">
        <x:f>IF(A361&lt;=Dashboard!$F$17,MAX(0,P361-Q361)*Dashboard!$F$6,0)</x:f>
      </x:c>
      <x:c r="S361" s="32" t="e">
        <x:f>IF(A361&lt;=Dashboard!$F$17,MIN(Dashboard!$F$10,MAX(0,P361-Q361)+R361),0)</x:f>
      </x:c>
      <x:c r="T361" s="32" t="e">
        <x:f>IF(A361&lt;=Dashboard!$F$17,MAX(0,P361-Q361-MAX(0,S361-R361)),0)</x:f>
      </x:c>
      <x:c r="U361" s="32" t="e">
        <x:f>IF(A361=1,R361,U360+R361)</x:f>
      </x:c>
      <x:c r="V361" s="32"/>
      <x:c r="W361" s="32" t="e">
        <x:f>IF(A361=1,Dashboard!$F$14,AA360)</x:f>
      </x:c>
      <x:c r="X361" s="32" t="e">
        <x:f>IF(AND(A361&lt;=Dashboard!$F$17,MOD(A361-1,12)=0),MIN(W361,$B$7),0)</x:f>
      </x:c>
      <x:c r="Y361" s="32" t="e">
        <x:f>IF(A361&lt;=Dashboard!$F$17,MAX(0,W361-X361)*Dashboard!$F$6,0)</x:f>
      </x:c>
      <x:c r="Z361" s="32" t="e">
        <x:f>IF(A361&lt;=Dashboard!$F$17,MIN(Dashboard!$F$10,MAX(0,W361-X361)+Y361),0)</x:f>
      </x:c>
      <x:c r="AA361" s="32" t="e">
        <x:f>IF(A361&lt;=Dashboard!$F$17,MAX(0,W361-X361-MAX(0,Z361-Y361)),0)</x:f>
      </x:c>
      <x:c r="AB361" s="32" t="e">
        <x:f>IF(A361=1,Y361,AB360+Y361)</x:f>
      </x:c>
      <x:c r="AC361" s="32"/>
      <x:c r="AD361" s="32" t="e">
        <x:f>IF(A361=1,MAX(0,Dashboard!$F$14-$B$8),AG360)</x:f>
      </x:c>
      <x:c r="AE361" s="32" t="n">
        <x:f>0</x:f>
        <x:v>0</x:v>
      </x:c>
      <x:c r="AF361" s="32" t="e">
        <x:f>IF(A361&lt;=Dashboard!$F$17,AD361*Dashboard!$F$6,0)</x:f>
      </x:c>
      <x:c r="AG361" s="32" t="e">
        <x:f>IF(A361&lt;=Dashboard!$F$17,MIN(Dashboard!$F$10,AD361+AF361),0)</x:f>
      </x:c>
      <x:c r="AH361" s="32" t="e">
        <x:f>IF(A361&lt;=Dashboard!$F$17,MAX(0,AD361-MAX(0,AG361-AF361)),0)</x:f>
      </x:c>
      <x:c r="AI361" s="32" t="e">
        <x:f>IF(A361=1,AF361,AI360+AF361)</x:f>
      </x:c>
      <x:c r="AJ361" s="33"/>
      <x:c r="AK361" s="33"/>
      <x:c r="AL361" s="33"/>
      <x:c r="AM361" s="33"/>
    </x:row>
    <x:row r="362">
      <x:c r="A362" s="33" t="n">
        <x:v>350</x:v>
      </x:c>
      <x:c r="B362" s="32" t="e">
        <x:f>IF(A362=1,Dashboard!$F$14,F361)</x:f>
      </x:c>
      <x:c r="C362" s="32" t="n">
        <x:f>0</x:f>
        <x:v>0</x:v>
      </x:c>
      <x:c r="D362" s="32" t="e">
        <x:f>IF(A362&lt;=Dashboard!$F$15,B362*Dashboard!$F$6,0)</x:f>
      </x:c>
      <x:c r="E362" s="32" t="e">
        <x:f>IF(A362&lt;=Dashboard!$F$15,MIN(Dashboard!$F$10,B362+D362),0)</x:f>
      </x:c>
      <x:c r="F362" s="32" t="e">
        <x:f>IF(A362&lt;=Dashboard!$F$15,MAX(0,B362-MAX(0,E362-D362)),0)</x:f>
      </x:c>
      <x:c r="G362" s="32" t="e">
        <x:f>IF(A362=1,D362,G361+D362)</x:f>
      </x:c>
      <x:c r="H362" s="32"/>
      <x:c r="I362" s="32" t="e">
        <x:f>IF(A362=1,Dashboard!$F$14,M361)</x:f>
      </x:c>
      <x:c r="J362" s="32" t="e">
        <x:f>IF(A362&lt;=Dashboard!$F$17,MIN(I362,$B$5),0)</x:f>
      </x:c>
      <x:c r="K362" s="32" t="e">
        <x:f>IF(A362&lt;=Dashboard!$F$17,MAX(0,I362-J362)*Dashboard!$F$6,0)</x:f>
      </x:c>
      <x:c r="L362" s="32" t="e">
        <x:f>IF(A362&lt;=Dashboard!$F$17,MIN(Dashboard!$F$10,MAX(0,I362-J362)+K362),0)</x:f>
      </x:c>
      <x:c r="M362" s="32" t="e">
        <x:f>IF(A362&lt;=Dashboard!$F$17,MAX(0,I362-J362-MAX(0,L362-K362)),0)</x:f>
      </x:c>
      <x:c r="N362" s="32" t="e">
        <x:f>IF(A362=1,K362,N361+K362)</x:f>
      </x:c>
      <x:c r="O362" s="32"/>
      <x:c r="P362" s="32" t="e">
        <x:f>IF(A362=1,Dashboard!$F$14,T361)</x:f>
      </x:c>
      <x:c r="Q362" s="32" t="e">
        <x:f>IF(A362&lt;=Dashboard!$F$17,MIN(P362,$B$6*52/12),0)</x:f>
      </x:c>
      <x:c r="R362" s="32" t="e">
        <x:f>IF(A362&lt;=Dashboard!$F$17,MAX(0,P362-Q362)*Dashboard!$F$6,0)</x:f>
      </x:c>
      <x:c r="S362" s="32" t="e">
        <x:f>IF(A362&lt;=Dashboard!$F$17,MIN(Dashboard!$F$10,MAX(0,P362-Q362)+R362),0)</x:f>
      </x:c>
      <x:c r="T362" s="32" t="e">
        <x:f>IF(A362&lt;=Dashboard!$F$17,MAX(0,P362-Q362-MAX(0,S362-R362)),0)</x:f>
      </x:c>
      <x:c r="U362" s="32" t="e">
        <x:f>IF(A362=1,R362,U361+R362)</x:f>
      </x:c>
      <x:c r="V362" s="32"/>
      <x:c r="W362" s="32" t="e">
        <x:f>IF(A362=1,Dashboard!$F$14,AA361)</x:f>
      </x:c>
      <x:c r="X362" s="32" t="e">
        <x:f>IF(AND(A362&lt;=Dashboard!$F$17,MOD(A362-1,12)=0),MIN(W362,$B$7),0)</x:f>
      </x:c>
      <x:c r="Y362" s="32" t="e">
        <x:f>IF(A362&lt;=Dashboard!$F$17,MAX(0,W362-X362)*Dashboard!$F$6,0)</x:f>
      </x:c>
      <x:c r="Z362" s="32" t="e">
        <x:f>IF(A362&lt;=Dashboard!$F$17,MIN(Dashboard!$F$10,MAX(0,W362-X362)+Y362),0)</x:f>
      </x:c>
      <x:c r="AA362" s="32" t="e">
        <x:f>IF(A362&lt;=Dashboard!$F$17,MAX(0,W362-X362-MAX(0,Z362-Y362)),0)</x:f>
      </x:c>
      <x:c r="AB362" s="32" t="e">
        <x:f>IF(A362=1,Y362,AB361+Y362)</x:f>
      </x:c>
      <x:c r="AC362" s="32"/>
      <x:c r="AD362" s="32" t="e">
        <x:f>IF(A362=1,MAX(0,Dashboard!$F$14-$B$8),AG361)</x:f>
      </x:c>
      <x:c r="AE362" s="32" t="n">
        <x:f>0</x:f>
        <x:v>0</x:v>
      </x:c>
      <x:c r="AF362" s="32" t="e">
        <x:f>IF(A362&lt;=Dashboard!$F$17,AD362*Dashboard!$F$6,0)</x:f>
      </x:c>
      <x:c r="AG362" s="32" t="e">
        <x:f>IF(A362&lt;=Dashboard!$F$17,MIN(Dashboard!$F$10,AD362+AF362),0)</x:f>
      </x:c>
      <x:c r="AH362" s="32" t="e">
        <x:f>IF(A362&lt;=Dashboard!$F$17,MAX(0,AD362-MAX(0,AG362-AF362)),0)</x:f>
      </x:c>
      <x:c r="AI362" s="32" t="e">
        <x:f>IF(A362=1,AF362,AI361+AF362)</x:f>
      </x:c>
      <x:c r="AJ362" s="33"/>
      <x:c r="AK362" s="33"/>
      <x:c r="AL362" s="33"/>
      <x:c r="AM362" s="33"/>
    </x:row>
    <x:row r="363">
      <x:c r="A363" s="33" t="n">
        <x:v>351</x:v>
      </x:c>
      <x:c r="B363" s="32" t="e">
        <x:f>IF(A363=1,Dashboard!$F$14,F362)</x:f>
      </x:c>
      <x:c r="C363" s="32" t="n">
        <x:f>0</x:f>
        <x:v>0</x:v>
      </x:c>
      <x:c r="D363" s="32" t="e">
        <x:f>IF(A363&lt;=Dashboard!$F$15,B363*Dashboard!$F$6,0)</x:f>
      </x:c>
      <x:c r="E363" s="32" t="e">
        <x:f>IF(A363&lt;=Dashboard!$F$15,MIN(Dashboard!$F$10,B363+D363),0)</x:f>
      </x:c>
      <x:c r="F363" s="32" t="e">
        <x:f>IF(A363&lt;=Dashboard!$F$15,MAX(0,B363-MAX(0,E363-D363)),0)</x:f>
      </x:c>
      <x:c r="G363" s="32" t="e">
        <x:f>IF(A363=1,D363,G362+D363)</x:f>
      </x:c>
      <x:c r="H363" s="32"/>
      <x:c r="I363" s="32" t="e">
        <x:f>IF(A363=1,Dashboard!$F$14,M362)</x:f>
      </x:c>
      <x:c r="J363" s="32" t="e">
        <x:f>IF(A363&lt;=Dashboard!$F$17,MIN(I363,$B$5),0)</x:f>
      </x:c>
      <x:c r="K363" s="32" t="e">
        <x:f>IF(A363&lt;=Dashboard!$F$17,MAX(0,I363-J363)*Dashboard!$F$6,0)</x:f>
      </x:c>
      <x:c r="L363" s="32" t="e">
        <x:f>IF(A363&lt;=Dashboard!$F$17,MIN(Dashboard!$F$10,MAX(0,I363-J363)+K363),0)</x:f>
      </x:c>
      <x:c r="M363" s="32" t="e">
        <x:f>IF(A363&lt;=Dashboard!$F$17,MAX(0,I363-J363-MAX(0,L363-K363)),0)</x:f>
      </x:c>
      <x:c r="N363" s="32" t="e">
        <x:f>IF(A363=1,K363,N362+K363)</x:f>
      </x:c>
      <x:c r="O363" s="32"/>
      <x:c r="P363" s="32" t="e">
        <x:f>IF(A363=1,Dashboard!$F$14,T362)</x:f>
      </x:c>
      <x:c r="Q363" s="32" t="e">
        <x:f>IF(A363&lt;=Dashboard!$F$17,MIN(P363,$B$6*52/12),0)</x:f>
      </x:c>
      <x:c r="R363" s="32" t="e">
        <x:f>IF(A363&lt;=Dashboard!$F$17,MAX(0,P363-Q363)*Dashboard!$F$6,0)</x:f>
      </x:c>
      <x:c r="S363" s="32" t="e">
        <x:f>IF(A363&lt;=Dashboard!$F$17,MIN(Dashboard!$F$10,MAX(0,P363-Q363)+R363),0)</x:f>
      </x:c>
      <x:c r="T363" s="32" t="e">
        <x:f>IF(A363&lt;=Dashboard!$F$17,MAX(0,P363-Q363-MAX(0,S363-R363)),0)</x:f>
      </x:c>
      <x:c r="U363" s="32" t="e">
        <x:f>IF(A363=1,R363,U362+R363)</x:f>
      </x:c>
      <x:c r="V363" s="32"/>
      <x:c r="W363" s="32" t="e">
        <x:f>IF(A363=1,Dashboard!$F$14,AA362)</x:f>
      </x:c>
      <x:c r="X363" s="32" t="e">
        <x:f>IF(AND(A363&lt;=Dashboard!$F$17,MOD(A363-1,12)=0),MIN(W363,$B$7),0)</x:f>
      </x:c>
      <x:c r="Y363" s="32" t="e">
        <x:f>IF(A363&lt;=Dashboard!$F$17,MAX(0,W363-X363)*Dashboard!$F$6,0)</x:f>
      </x:c>
      <x:c r="Z363" s="32" t="e">
        <x:f>IF(A363&lt;=Dashboard!$F$17,MIN(Dashboard!$F$10,MAX(0,W363-X363)+Y363),0)</x:f>
      </x:c>
      <x:c r="AA363" s="32" t="e">
        <x:f>IF(A363&lt;=Dashboard!$F$17,MAX(0,W363-X363-MAX(0,Z363-Y363)),0)</x:f>
      </x:c>
      <x:c r="AB363" s="32" t="e">
        <x:f>IF(A363=1,Y363,AB362+Y363)</x:f>
      </x:c>
      <x:c r="AC363" s="32"/>
      <x:c r="AD363" s="32" t="e">
        <x:f>IF(A363=1,MAX(0,Dashboard!$F$14-$B$8),AG362)</x:f>
      </x:c>
      <x:c r="AE363" s="32" t="n">
        <x:f>0</x:f>
        <x:v>0</x:v>
      </x:c>
      <x:c r="AF363" s="32" t="e">
        <x:f>IF(A363&lt;=Dashboard!$F$17,AD363*Dashboard!$F$6,0)</x:f>
      </x:c>
      <x:c r="AG363" s="32" t="e">
        <x:f>IF(A363&lt;=Dashboard!$F$17,MIN(Dashboard!$F$10,AD363+AF363),0)</x:f>
      </x:c>
      <x:c r="AH363" s="32" t="e">
        <x:f>IF(A363&lt;=Dashboard!$F$17,MAX(0,AD363-MAX(0,AG363-AF363)),0)</x:f>
      </x:c>
      <x:c r="AI363" s="32" t="e">
        <x:f>IF(A363=1,AF363,AI362+AF363)</x:f>
      </x:c>
      <x:c r="AJ363" s="33"/>
      <x:c r="AK363" s="33"/>
      <x:c r="AL363" s="33"/>
      <x:c r="AM363" s="33"/>
    </x:row>
    <x:row r="364">
      <x:c r="A364" s="33" t="n">
        <x:v>352</x:v>
      </x:c>
      <x:c r="B364" s="32" t="e">
        <x:f>IF(A364=1,Dashboard!$F$14,F363)</x:f>
      </x:c>
      <x:c r="C364" s="32" t="n">
        <x:f>0</x:f>
        <x:v>0</x:v>
      </x:c>
      <x:c r="D364" s="32" t="e">
        <x:f>IF(A364&lt;=Dashboard!$F$15,B364*Dashboard!$F$6,0)</x:f>
      </x:c>
      <x:c r="E364" s="32" t="e">
        <x:f>IF(A364&lt;=Dashboard!$F$15,MIN(Dashboard!$F$10,B364+D364),0)</x:f>
      </x:c>
      <x:c r="F364" s="32" t="e">
        <x:f>IF(A364&lt;=Dashboard!$F$15,MAX(0,B364-MAX(0,E364-D364)),0)</x:f>
      </x:c>
      <x:c r="G364" s="32" t="e">
        <x:f>IF(A364=1,D364,G363+D364)</x:f>
      </x:c>
      <x:c r="H364" s="32"/>
      <x:c r="I364" s="32" t="e">
        <x:f>IF(A364=1,Dashboard!$F$14,M363)</x:f>
      </x:c>
      <x:c r="J364" s="32" t="e">
        <x:f>IF(A364&lt;=Dashboard!$F$17,MIN(I364,$B$5),0)</x:f>
      </x:c>
      <x:c r="K364" s="32" t="e">
        <x:f>IF(A364&lt;=Dashboard!$F$17,MAX(0,I364-J364)*Dashboard!$F$6,0)</x:f>
      </x:c>
      <x:c r="L364" s="32" t="e">
        <x:f>IF(A364&lt;=Dashboard!$F$17,MIN(Dashboard!$F$10,MAX(0,I364-J364)+K364),0)</x:f>
      </x:c>
      <x:c r="M364" s="32" t="e">
        <x:f>IF(A364&lt;=Dashboard!$F$17,MAX(0,I364-J364-MAX(0,L364-K364)),0)</x:f>
      </x:c>
      <x:c r="N364" s="32" t="e">
        <x:f>IF(A364=1,K364,N363+K364)</x:f>
      </x:c>
      <x:c r="O364" s="32"/>
      <x:c r="P364" s="32" t="e">
        <x:f>IF(A364=1,Dashboard!$F$14,T363)</x:f>
      </x:c>
      <x:c r="Q364" s="32" t="e">
        <x:f>IF(A364&lt;=Dashboard!$F$17,MIN(P364,$B$6*52/12),0)</x:f>
      </x:c>
      <x:c r="R364" s="32" t="e">
        <x:f>IF(A364&lt;=Dashboard!$F$17,MAX(0,P364-Q364)*Dashboard!$F$6,0)</x:f>
      </x:c>
      <x:c r="S364" s="32" t="e">
        <x:f>IF(A364&lt;=Dashboard!$F$17,MIN(Dashboard!$F$10,MAX(0,P364-Q364)+R364),0)</x:f>
      </x:c>
      <x:c r="T364" s="32" t="e">
        <x:f>IF(A364&lt;=Dashboard!$F$17,MAX(0,P364-Q364-MAX(0,S364-R364)),0)</x:f>
      </x:c>
      <x:c r="U364" s="32" t="e">
        <x:f>IF(A364=1,R364,U363+R364)</x:f>
      </x:c>
      <x:c r="V364" s="32"/>
      <x:c r="W364" s="32" t="e">
        <x:f>IF(A364=1,Dashboard!$F$14,AA363)</x:f>
      </x:c>
      <x:c r="X364" s="32" t="e">
        <x:f>IF(AND(A364&lt;=Dashboard!$F$17,MOD(A364-1,12)=0),MIN(W364,$B$7),0)</x:f>
      </x:c>
      <x:c r="Y364" s="32" t="e">
        <x:f>IF(A364&lt;=Dashboard!$F$17,MAX(0,W364-X364)*Dashboard!$F$6,0)</x:f>
      </x:c>
      <x:c r="Z364" s="32" t="e">
        <x:f>IF(A364&lt;=Dashboard!$F$17,MIN(Dashboard!$F$10,MAX(0,W364-X364)+Y364),0)</x:f>
      </x:c>
      <x:c r="AA364" s="32" t="e">
        <x:f>IF(A364&lt;=Dashboard!$F$17,MAX(0,W364-X364-MAX(0,Z364-Y364)),0)</x:f>
      </x:c>
      <x:c r="AB364" s="32" t="e">
        <x:f>IF(A364=1,Y364,AB363+Y364)</x:f>
      </x:c>
      <x:c r="AC364" s="32"/>
      <x:c r="AD364" s="32" t="e">
        <x:f>IF(A364=1,MAX(0,Dashboard!$F$14-$B$8),AG363)</x:f>
      </x:c>
      <x:c r="AE364" s="32" t="n">
        <x:f>0</x:f>
        <x:v>0</x:v>
      </x:c>
      <x:c r="AF364" s="32" t="e">
        <x:f>IF(A364&lt;=Dashboard!$F$17,AD364*Dashboard!$F$6,0)</x:f>
      </x:c>
      <x:c r="AG364" s="32" t="e">
        <x:f>IF(A364&lt;=Dashboard!$F$17,MIN(Dashboard!$F$10,AD364+AF364),0)</x:f>
      </x:c>
      <x:c r="AH364" s="32" t="e">
        <x:f>IF(A364&lt;=Dashboard!$F$17,MAX(0,AD364-MAX(0,AG364-AF364)),0)</x:f>
      </x:c>
      <x:c r="AI364" s="32" t="e">
        <x:f>IF(A364=1,AF364,AI363+AF364)</x:f>
      </x:c>
      <x:c r="AJ364" s="33"/>
      <x:c r="AK364" s="33"/>
      <x:c r="AL364" s="33"/>
      <x:c r="AM364" s="33"/>
    </x:row>
    <x:row r="365">
      <x:c r="A365" s="33" t="n">
        <x:v>353</x:v>
      </x:c>
      <x:c r="B365" s="32" t="e">
        <x:f>IF(A365=1,Dashboard!$F$14,F364)</x:f>
      </x:c>
      <x:c r="C365" s="32" t="n">
        <x:f>0</x:f>
        <x:v>0</x:v>
      </x:c>
      <x:c r="D365" s="32" t="e">
        <x:f>IF(A365&lt;=Dashboard!$F$15,B365*Dashboard!$F$6,0)</x:f>
      </x:c>
      <x:c r="E365" s="32" t="e">
        <x:f>IF(A365&lt;=Dashboard!$F$15,MIN(Dashboard!$F$10,B365+D365),0)</x:f>
      </x:c>
      <x:c r="F365" s="32" t="e">
        <x:f>IF(A365&lt;=Dashboard!$F$15,MAX(0,B365-MAX(0,E365-D365)),0)</x:f>
      </x:c>
      <x:c r="G365" s="32" t="e">
        <x:f>IF(A365=1,D365,G364+D365)</x:f>
      </x:c>
      <x:c r="H365" s="32"/>
      <x:c r="I365" s="32" t="e">
        <x:f>IF(A365=1,Dashboard!$F$14,M364)</x:f>
      </x:c>
      <x:c r="J365" s="32" t="e">
        <x:f>IF(A365&lt;=Dashboard!$F$17,MIN(I365,$B$5),0)</x:f>
      </x:c>
      <x:c r="K365" s="32" t="e">
        <x:f>IF(A365&lt;=Dashboard!$F$17,MAX(0,I365-J365)*Dashboard!$F$6,0)</x:f>
      </x:c>
      <x:c r="L365" s="32" t="e">
        <x:f>IF(A365&lt;=Dashboard!$F$17,MIN(Dashboard!$F$10,MAX(0,I365-J365)+K365),0)</x:f>
      </x:c>
      <x:c r="M365" s="32" t="e">
        <x:f>IF(A365&lt;=Dashboard!$F$17,MAX(0,I365-J365-MAX(0,L365-K365)),0)</x:f>
      </x:c>
      <x:c r="N365" s="32" t="e">
        <x:f>IF(A365=1,K365,N364+K365)</x:f>
      </x:c>
      <x:c r="O365" s="32"/>
      <x:c r="P365" s="32" t="e">
        <x:f>IF(A365=1,Dashboard!$F$14,T364)</x:f>
      </x:c>
      <x:c r="Q365" s="32" t="e">
        <x:f>IF(A365&lt;=Dashboard!$F$17,MIN(P365,$B$6*52/12),0)</x:f>
      </x:c>
      <x:c r="R365" s="32" t="e">
        <x:f>IF(A365&lt;=Dashboard!$F$17,MAX(0,P365-Q365)*Dashboard!$F$6,0)</x:f>
      </x:c>
      <x:c r="S365" s="32" t="e">
        <x:f>IF(A365&lt;=Dashboard!$F$17,MIN(Dashboard!$F$10,MAX(0,P365-Q365)+R365),0)</x:f>
      </x:c>
      <x:c r="T365" s="32" t="e">
        <x:f>IF(A365&lt;=Dashboard!$F$17,MAX(0,P365-Q365-MAX(0,S365-R365)),0)</x:f>
      </x:c>
      <x:c r="U365" s="32" t="e">
        <x:f>IF(A365=1,R365,U364+R365)</x:f>
      </x:c>
      <x:c r="V365" s="32"/>
      <x:c r="W365" s="32" t="e">
        <x:f>IF(A365=1,Dashboard!$F$14,AA364)</x:f>
      </x:c>
      <x:c r="X365" s="32" t="e">
        <x:f>IF(AND(A365&lt;=Dashboard!$F$17,MOD(A365-1,12)=0),MIN(W365,$B$7),0)</x:f>
      </x:c>
      <x:c r="Y365" s="32" t="e">
        <x:f>IF(A365&lt;=Dashboard!$F$17,MAX(0,W365-X365)*Dashboard!$F$6,0)</x:f>
      </x:c>
      <x:c r="Z365" s="32" t="e">
        <x:f>IF(A365&lt;=Dashboard!$F$17,MIN(Dashboard!$F$10,MAX(0,W365-X365)+Y365),0)</x:f>
      </x:c>
      <x:c r="AA365" s="32" t="e">
        <x:f>IF(A365&lt;=Dashboard!$F$17,MAX(0,W365-X365-MAX(0,Z365-Y365)),0)</x:f>
      </x:c>
      <x:c r="AB365" s="32" t="e">
        <x:f>IF(A365=1,Y365,AB364+Y365)</x:f>
      </x:c>
      <x:c r="AC365" s="32"/>
      <x:c r="AD365" s="32" t="e">
        <x:f>IF(A365=1,MAX(0,Dashboard!$F$14-$B$8),AG364)</x:f>
      </x:c>
      <x:c r="AE365" s="32" t="n">
        <x:f>0</x:f>
        <x:v>0</x:v>
      </x:c>
      <x:c r="AF365" s="32" t="e">
        <x:f>IF(A365&lt;=Dashboard!$F$17,AD365*Dashboard!$F$6,0)</x:f>
      </x:c>
      <x:c r="AG365" s="32" t="e">
        <x:f>IF(A365&lt;=Dashboard!$F$17,MIN(Dashboard!$F$10,AD365+AF365),0)</x:f>
      </x:c>
      <x:c r="AH365" s="32" t="e">
        <x:f>IF(A365&lt;=Dashboard!$F$17,MAX(0,AD365-MAX(0,AG365-AF365)),0)</x:f>
      </x:c>
      <x:c r="AI365" s="32" t="e">
        <x:f>IF(A365=1,AF365,AI364+AF365)</x:f>
      </x:c>
      <x:c r="AJ365" s="33"/>
      <x:c r="AK365" s="33"/>
      <x:c r="AL365" s="33"/>
      <x:c r="AM365" s="33"/>
    </x:row>
    <x:row r="366">
      <x:c r="A366" s="33" t="n">
        <x:v>354</x:v>
      </x:c>
      <x:c r="B366" s="32" t="e">
        <x:f>IF(A366=1,Dashboard!$F$14,F365)</x:f>
      </x:c>
      <x:c r="C366" s="32" t="n">
        <x:f>0</x:f>
        <x:v>0</x:v>
      </x:c>
      <x:c r="D366" s="32" t="e">
        <x:f>IF(A366&lt;=Dashboard!$F$15,B366*Dashboard!$F$6,0)</x:f>
      </x:c>
      <x:c r="E366" s="32" t="e">
        <x:f>IF(A366&lt;=Dashboard!$F$15,MIN(Dashboard!$F$10,B366+D366),0)</x:f>
      </x:c>
      <x:c r="F366" s="32" t="e">
        <x:f>IF(A366&lt;=Dashboard!$F$15,MAX(0,B366-MAX(0,E366-D366)),0)</x:f>
      </x:c>
      <x:c r="G366" s="32" t="e">
        <x:f>IF(A366=1,D366,G365+D366)</x:f>
      </x:c>
      <x:c r="H366" s="32"/>
      <x:c r="I366" s="32" t="e">
        <x:f>IF(A366=1,Dashboard!$F$14,M365)</x:f>
      </x:c>
      <x:c r="J366" s="32" t="e">
        <x:f>IF(A366&lt;=Dashboard!$F$17,MIN(I366,$B$5),0)</x:f>
      </x:c>
      <x:c r="K366" s="32" t="e">
        <x:f>IF(A366&lt;=Dashboard!$F$17,MAX(0,I366-J366)*Dashboard!$F$6,0)</x:f>
      </x:c>
      <x:c r="L366" s="32" t="e">
        <x:f>IF(A366&lt;=Dashboard!$F$17,MIN(Dashboard!$F$10,MAX(0,I366-J366)+K366),0)</x:f>
      </x:c>
      <x:c r="M366" s="32" t="e">
        <x:f>IF(A366&lt;=Dashboard!$F$17,MAX(0,I366-J366-MAX(0,L366-K366)),0)</x:f>
      </x:c>
      <x:c r="N366" s="32" t="e">
        <x:f>IF(A366=1,K366,N365+K366)</x:f>
      </x:c>
      <x:c r="O366" s="32"/>
      <x:c r="P366" s="32" t="e">
        <x:f>IF(A366=1,Dashboard!$F$14,T365)</x:f>
      </x:c>
      <x:c r="Q366" s="32" t="e">
        <x:f>IF(A366&lt;=Dashboard!$F$17,MIN(P366,$B$6*52/12),0)</x:f>
      </x:c>
      <x:c r="R366" s="32" t="e">
        <x:f>IF(A366&lt;=Dashboard!$F$17,MAX(0,P366-Q366)*Dashboard!$F$6,0)</x:f>
      </x:c>
      <x:c r="S366" s="32" t="e">
        <x:f>IF(A366&lt;=Dashboard!$F$17,MIN(Dashboard!$F$10,MAX(0,P366-Q366)+R366),0)</x:f>
      </x:c>
      <x:c r="T366" s="32" t="e">
        <x:f>IF(A366&lt;=Dashboard!$F$17,MAX(0,P366-Q366-MAX(0,S366-R366)),0)</x:f>
      </x:c>
      <x:c r="U366" s="32" t="e">
        <x:f>IF(A366=1,R366,U365+R366)</x:f>
      </x:c>
      <x:c r="V366" s="32"/>
      <x:c r="W366" s="32" t="e">
        <x:f>IF(A366=1,Dashboard!$F$14,AA365)</x:f>
      </x:c>
      <x:c r="X366" s="32" t="e">
        <x:f>IF(AND(A366&lt;=Dashboard!$F$17,MOD(A366-1,12)=0),MIN(W366,$B$7),0)</x:f>
      </x:c>
      <x:c r="Y366" s="32" t="e">
        <x:f>IF(A366&lt;=Dashboard!$F$17,MAX(0,W366-X366)*Dashboard!$F$6,0)</x:f>
      </x:c>
      <x:c r="Z366" s="32" t="e">
        <x:f>IF(A366&lt;=Dashboard!$F$17,MIN(Dashboard!$F$10,MAX(0,W366-X366)+Y366),0)</x:f>
      </x:c>
      <x:c r="AA366" s="32" t="e">
        <x:f>IF(A366&lt;=Dashboard!$F$17,MAX(0,W366-X366-MAX(0,Z366-Y366)),0)</x:f>
      </x:c>
      <x:c r="AB366" s="32" t="e">
        <x:f>IF(A366=1,Y366,AB365+Y366)</x:f>
      </x:c>
      <x:c r="AC366" s="32"/>
      <x:c r="AD366" s="32" t="e">
        <x:f>IF(A366=1,MAX(0,Dashboard!$F$14-$B$8),AG365)</x:f>
      </x:c>
      <x:c r="AE366" s="32" t="n">
        <x:f>0</x:f>
        <x:v>0</x:v>
      </x:c>
      <x:c r="AF366" s="32" t="e">
        <x:f>IF(A366&lt;=Dashboard!$F$17,AD366*Dashboard!$F$6,0)</x:f>
      </x:c>
      <x:c r="AG366" s="32" t="e">
        <x:f>IF(A366&lt;=Dashboard!$F$17,MIN(Dashboard!$F$10,AD366+AF366),0)</x:f>
      </x:c>
      <x:c r="AH366" s="32" t="e">
        <x:f>IF(A366&lt;=Dashboard!$F$17,MAX(0,AD366-MAX(0,AG366-AF366)),0)</x:f>
      </x:c>
      <x:c r="AI366" s="32" t="e">
        <x:f>IF(A366=1,AF366,AI365+AF366)</x:f>
      </x:c>
      <x:c r="AJ366" s="33"/>
      <x:c r="AK366" s="33"/>
      <x:c r="AL366" s="33"/>
      <x:c r="AM366" s="33"/>
    </x:row>
    <x:row r="367">
      <x:c r="A367" s="33" t="n">
        <x:v>355</x:v>
      </x:c>
      <x:c r="B367" s="32" t="e">
        <x:f>IF(A367=1,Dashboard!$F$14,F366)</x:f>
      </x:c>
      <x:c r="C367" s="32" t="n">
        <x:f>0</x:f>
        <x:v>0</x:v>
      </x:c>
      <x:c r="D367" s="32" t="e">
        <x:f>IF(A367&lt;=Dashboard!$F$15,B367*Dashboard!$F$6,0)</x:f>
      </x:c>
      <x:c r="E367" s="32" t="e">
        <x:f>IF(A367&lt;=Dashboard!$F$15,MIN(Dashboard!$F$10,B367+D367),0)</x:f>
      </x:c>
      <x:c r="F367" s="32" t="e">
        <x:f>IF(A367&lt;=Dashboard!$F$15,MAX(0,B367-MAX(0,E367-D367)),0)</x:f>
      </x:c>
      <x:c r="G367" s="32" t="e">
        <x:f>IF(A367=1,D367,G366+D367)</x:f>
      </x:c>
      <x:c r="H367" s="32"/>
      <x:c r="I367" s="32" t="e">
        <x:f>IF(A367=1,Dashboard!$F$14,M366)</x:f>
      </x:c>
      <x:c r="J367" s="32" t="e">
        <x:f>IF(A367&lt;=Dashboard!$F$17,MIN(I367,$B$5),0)</x:f>
      </x:c>
      <x:c r="K367" s="32" t="e">
        <x:f>IF(A367&lt;=Dashboard!$F$17,MAX(0,I367-J367)*Dashboard!$F$6,0)</x:f>
      </x:c>
      <x:c r="L367" s="32" t="e">
        <x:f>IF(A367&lt;=Dashboard!$F$17,MIN(Dashboard!$F$10,MAX(0,I367-J367)+K367),0)</x:f>
      </x:c>
      <x:c r="M367" s="32" t="e">
        <x:f>IF(A367&lt;=Dashboard!$F$17,MAX(0,I367-J367-MAX(0,L367-K367)),0)</x:f>
      </x:c>
      <x:c r="N367" s="32" t="e">
        <x:f>IF(A367=1,K367,N366+K367)</x:f>
      </x:c>
      <x:c r="O367" s="32"/>
      <x:c r="P367" s="32" t="e">
        <x:f>IF(A367=1,Dashboard!$F$14,T366)</x:f>
      </x:c>
      <x:c r="Q367" s="32" t="e">
        <x:f>IF(A367&lt;=Dashboard!$F$17,MIN(P367,$B$6*52/12),0)</x:f>
      </x:c>
      <x:c r="R367" s="32" t="e">
        <x:f>IF(A367&lt;=Dashboard!$F$17,MAX(0,P367-Q367)*Dashboard!$F$6,0)</x:f>
      </x:c>
      <x:c r="S367" s="32" t="e">
        <x:f>IF(A367&lt;=Dashboard!$F$17,MIN(Dashboard!$F$10,MAX(0,P367-Q367)+R367),0)</x:f>
      </x:c>
      <x:c r="T367" s="32" t="e">
        <x:f>IF(A367&lt;=Dashboard!$F$17,MAX(0,P367-Q367-MAX(0,S367-R367)),0)</x:f>
      </x:c>
      <x:c r="U367" s="32" t="e">
        <x:f>IF(A367=1,R367,U366+R367)</x:f>
      </x:c>
      <x:c r="V367" s="32"/>
      <x:c r="W367" s="32" t="e">
        <x:f>IF(A367=1,Dashboard!$F$14,AA366)</x:f>
      </x:c>
      <x:c r="X367" s="32" t="e">
        <x:f>IF(AND(A367&lt;=Dashboard!$F$17,MOD(A367-1,12)=0),MIN(W367,$B$7),0)</x:f>
      </x:c>
      <x:c r="Y367" s="32" t="e">
        <x:f>IF(A367&lt;=Dashboard!$F$17,MAX(0,W367-X367)*Dashboard!$F$6,0)</x:f>
      </x:c>
      <x:c r="Z367" s="32" t="e">
        <x:f>IF(A367&lt;=Dashboard!$F$17,MIN(Dashboard!$F$10,MAX(0,W367-X367)+Y367),0)</x:f>
      </x:c>
      <x:c r="AA367" s="32" t="e">
        <x:f>IF(A367&lt;=Dashboard!$F$17,MAX(0,W367-X367-MAX(0,Z367-Y367)),0)</x:f>
      </x:c>
      <x:c r="AB367" s="32" t="e">
        <x:f>IF(A367=1,Y367,AB366+Y367)</x:f>
      </x:c>
      <x:c r="AC367" s="32"/>
      <x:c r="AD367" s="32" t="e">
        <x:f>IF(A367=1,MAX(0,Dashboard!$F$14-$B$8),AG366)</x:f>
      </x:c>
      <x:c r="AE367" s="32" t="n">
        <x:f>0</x:f>
        <x:v>0</x:v>
      </x:c>
      <x:c r="AF367" s="32" t="e">
        <x:f>IF(A367&lt;=Dashboard!$F$17,AD367*Dashboard!$F$6,0)</x:f>
      </x:c>
      <x:c r="AG367" s="32" t="e">
        <x:f>IF(A367&lt;=Dashboard!$F$17,MIN(Dashboard!$F$10,AD367+AF367),0)</x:f>
      </x:c>
      <x:c r="AH367" s="32" t="e">
        <x:f>IF(A367&lt;=Dashboard!$F$17,MAX(0,AD367-MAX(0,AG367-AF367)),0)</x:f>
      </x:c>
      <x:c r="AI367" s="32" t="e">
        <x:f>IF(A367=1,AF367,AI366+AF367)</x:f>
      </x:c>
      <x:c r="AJ367" s="33"/>
      <x:c r="AK367" s="33"/>
      <x:c r="AL367" s="33"/>
      <x:c r="AM367" s="33"/>
    </x:row>
    <x:row r="368">
      <x:c r="A368" s="33" t="n">
        <x:v>356</x:v>
      </x:c>
      <x:c r="B368" s="32" t="e">
        <x:f>IF(A368=1,Dashboard!$F$14,F367)</x:f>
      </x:c>
      <x:c r="C368" s="32" t="n">
        <x:f>0</x:f>
        <x:v>0</x:v>
      </x:c>
      <x:c r="D368" s="32" t="e">
        <x:f>IF(A368&lt;=Dashboard!$F$15,B368*Dashboard!$F$6,0)</x:f>
      </x:c>
      <x:c r="E368" s="32" t="e">
        <x:f>IF(A368&lt;=Dashboard!$F$15,MIN(Dashboard!$F$10,B368+D368),0)</x:f>
      </x:c>
      <x:c r="F368" s="32" t="e">
        <x:f>IF(A368&lt;=Dashboard!$F$15,MAX(0,B368-MAX(0,E368-D368)),0)</x:f>
      </x:c>
      <x:c r="G368" s="32" t="e">
        <x:f>IF(A368=1,D368,G367+D368)</x:f>
      </x:c>
      <x:c r="H368" s="32"/>
      <x:c r="I368" s="32" t="e">
        <x:f>IF(A368=1,Dashboard!$F$14,M367)</x:f>
      </x:c>
      <x:c r="J368" s="32" t="e">
        <x:f>IF(A368&lt;=Dashboard!$F$17,MIN(I368,$B$5),0)</x:f>
      </x:c>
      <x:c r="K368" s="32" t="e">
        <x:f>IF(A368&lt;=Dashboard!$F$17,MAX(0,I368-J368)*Dashboard!$F$6,0)</x:f>
      </x:c>
      <x:c r="L368" s="32" t="e">
        <x:f>IF(A368&lt;=Dashboard!$F$17,MIN(Dashboard!$F$10,MAX(0,I368-J368)+K368),0)</x:f>
      </x:c>
      <x:c r="M368" s="32" t="e">
        <x:f>IF(A368&lt;=Dashboard!$F$17,MAX(0,I368-J368-MAX(0,L368-K368)),0)</x:f>
      </x:c>
      <x:c r="N368" s="32" t="e">
        <x:f>IF(A368=1,K368,N367+K368)</x:f>
      </x:c>
      <x:c r="O368" s="32"/>
      <x:c r="P368" s="32" t="e">
        <x:f>IF(A368=1,Dashboard!$F$14,T367)</x:f>
      </x:c>
      <x:c r="Q368" s="32" t="e">
        <x:f>IF(A368&lt;=Dashboard!$F$17,MIN(P368,$B$6*52/12),0)</x:f>
      </x:c>
      <x:c r="R368" s="32" t="e">
        <x:f>IF(A368&lt;=Dashboard!$F$17,MAX(0,P368-Q368)*Dashboard!$F$6,0)</x:f>
      </x:c>
      <x:c r="S368" s="32" t="e">
        <x:f>IF(A368&lt;=Dashboard!$F$17,MIN(Dashboard!$F$10,MAX(0,P368-Q368)+R368),0)</x:f>
      </x:c>
      <x:c r="T368" s="32" t="e">
        <x:f>IF(A368&lt;=Dashboard!$F$17,MAX(0,P368-Q368-MAX(0,S368-R368)),0)</x:f>
      </x:c>
      <x:c r="U368" s="32" t="e">
        <x:f>IF(A368=1,R368,U367+R368)</x:f>
      </x:c>
      <x:c r="V368" s="32"/>
      <x:c r="W368" s="32" t="e">
        <x:f>IF(A368=1,Dashboard!$F$14,AA367)</x:f>
      </x:c>
      <x:c r="X368" s="32" t="e">
        <x:f>IF(AND(A368&lt;=Dashboard!$F$17,MOD(A368-1,12)=0),MIN(W368,$B$7),0)</x:f>
      </x:c>
      <x:c r="Y368" s="32" t="e">
        <x:f>IF(A368&lt;=Dashboard!$F$17,MAX(0,W368-X368)*Dashboard!$F$6,0)</x:f>
      </x:c>
      <x:c r="Z368" s="32" t="e">
        <x:f>IF(A368&lt;=Dashboard!$F$17,MIN(Dashboard!$F$10,MAX(0,W368-X368)+Y368),0)</x:f>
      </x:c>
      <x:c r="AA368" s="32" t="e">
        <x:f>IF(A368&lt;=Dashboard!$F$17,MAX(0,W368-X368-MAX(0,Z368-Y368)),0)</x:f>
      </x:c>
      <x:c r="AB368" s="32" t="e">
        <x:f>IF(A368=1,Y368,AB367+Y368)</x:f>
      </x:c>
      <x:c r="AC368" s="32"/>
      <x:c r="AD368" s="32" t="e">
        <x:f>IF(A368=1,MAX(0,Dashboard!$F$14-$B$8),AG367)</x:f>
      </x:c>
      <x:c r="AE368" s="32" t="n">
        <x:f>0</x:f>
        <x:v>0</x:v>
      </x:c>
      <x:c r="AF368" s="32" t="e">
        <x:f>IF(A368&lt;=Dashboard!$F$17,AD368*Dashboard!$F$6,0)</x:f>
      </x:c>
      <x:c r="AG368" s="32" t="e">
        <x:f>IF(A368&lt;=Dashboard!$F$17,MIN(Dashboard!$F$10,AD368+AF368),0)</x:f>
      </x:c>
      <x:c r="AH368" s="32" t="e">
        <x:f>IF(A368&lt;=Dashboard!$F$17,MAX(0,AD368-MAX(0,AG368-AF368)),0)</x:f>
      </x:c>
      <x:c r="AI368" s="32" t="e">
        <x:f>IF(A368=1,AF368,AI367+AF368)</x:f>
      </x:c>
      <x:c r="AJ368" s="33"/>
      <x:c r="AK368" s="33"/>
      <x:c r="AL368" s="33"/>
      <x:c r="AM368" s="33"/>
    </x:row>
    <x:row r="369">
      <x:c r="A369" s="33" t="n">
        <x:v>357</x:v>
      </x:c>
      <x:c r="B369" s="32" t="e">
        <x:f>IF(A369=1,Dashboard!$F$14,F368)</x:f>
      </x:c>
      <x:c r="C369" s="32" t="n">
        <x:f>0</x:f>
        <x:v>0</x:v>
      </x:c>
      <x:c r="D369" s="32" t="e">
        <x:f>IF(A369&lt;=Dashboard!$F$15,B369*Dashboard!$F$6,0)</x:f>
      </x:c>
      <x:c r="E369" s="32" t="e">
        <x:f>IF(A369&lt;=Dashboard!$F$15,MIN(Dashboard!$F$10,B369+D369),0)</x:f>
      </x:c>
      <x:c r="F369" s="32" t="e">
        <x:f>IF(A369&lt;=Dashboard!$F$15,MAX(0,B369-MAX(0,E369-D369)),0)</x:f>
      </x:c>
      <x:c r="G369" s="32" t="e">
        <x:f>IF(A369=1,D369,G368+D369)</x:f>
      </x:c>
      <x:c r="H369" s="32"/>
      <x:c r="I369" s="32" t="e">
        <x:f>IF(A369=1,Dashboard!$F$14,M368)</x:f>
      </x:c>
      <x:c r="J369" s="32" t="e">
        <x:f>IF(A369&lt;=Dashboard!$F$17,MIN(I369,$B$5),0)</x:f>
      </x:c>
      <x:c r="K369" s="32" t="e">
        <x:f>IF(A369&lt;=Dashboard!$F$17,MAX(0,I369-J369)*Dashboard!$F$6,0)</x:f>
      </x:c>
      <x:c r="L369" s="32" t="e">
        <x:f>IF(A369&lt;=Dashboard!$F$17,MIN(Dashboard!$F$10,MAX(0,I369-J369)+K369),0)</x:f>
      </x:c>
      <x:c r="M369" s="32" t="e">
        <x:f>IF(A369&lt;=Dashboard!$F$17,MAX(0,I369-J369-MAX(0,L369-K369)),0)</x:f>
      </x:c>
      <x:c r="N369" s="32" t="e">
        <x:f>IF(A369=1,K369,N368+K369)</x:f>
      </x:c>
      <x:c r="O369" s="32"/>
      <x:c r="P369" s="32" t="e">
        <x:f>IF(A369=1,Dashboard!$F$14,T368)</x:f>
      </x:c>
      <x:c r="Q369" s="32" t="e">
        <x:f>IF(A369&lt;=Dashboard!$F$17,MIN(P369,$B$6*52/12),0)</x:f>
      </x:c>
      <x:c r="R369" s="32" t="e">
        <x:f>IF(A369&lt;=Dashboard!$F$17,MAX(0,P369-Q369)*Dashboard!$F$6,0)</x:f>
      </x:c>
      <x:c r="S369" s="32" t="e">
        <x:f>IF(A369&lt;=Dashboard!$F$17,MIN(Dashboard!$F$10,MAX(0,P369-Q369)+R369),0)</x:f>
      </x:c>
      <x:c r="T369" s="32" t="e">
        <x:f>IF(A369&lt;=Dashboard!$F$17,MAX(0,P369-Q369-MAX(0,S369-R369)),0)</x:f>
      </x:c>
      <x:c r="U369" s="32" t="e">
        <x:f>IF(A369=1,R369,U368+R369)</x:f>
      </x:c>
      <x:c r="V369" s="32"/>
      <x:c r="W369" s="32" t="e">
        <x:f>IF(A369=1,Dashboard!$F$14,AA368)</x:f>
      </x:c>
      <x:c r="X369" s="32" t="e">
        <x:f>IF(AND(A369&lt;=Dashboard!$F$17,MOD(A369-1,12)=0),MIN(W369,$B$7),0)</x:f>
      </x:c>
      <x:c r="Y369" s="32" t="e">
        <x:f>IF(A369&lt;=Dashboard!$F$17,MAX(0,W369-X369)*Dashboard!$F$6,0)</x:f>
      </x:c>
      <x:c r="Z369" s="32" t="e">
        <x:f>IF(A369&lt;=Dashboard!$F$17,MIN(Dashboard!$F$10,MAX(0,W369-X369)+Y369),0)</x:f>
      </x:c>
      <x:c r="AA369" s="32" t="e">
        <x:f>IF(A369&lt;=Dashboard!$F$17,MAX(0,W369-X369-MAX(0,Z369-Y369)),0)</x:f>
      </x:c>
      <x:c r="AB369" s="32" t="e">
        <x:f>IF(A369=1,Y369,AB368+Y369)</x:f>
      </x:c>
      <x:c r="AC369" s="32"/>
      <x:c r="AD369" s="32" t="e">
        <x:f>IF(A369=1,MAX(0,Dashboard!$F$14-$B$8),AG368)</x:f>
      </x:c>
      <x:c r="AE369" s="32" t="n">
        <x:f>0</x:f>
        <x:v>0</x:v>
      </x:c>
      <x:c r="AF369" s="32" t="e">
        <x:f>IF(A369&lt;=Dashboard!$F$17,AD369*Dashboard!$F$6,0)</x:f>
      </x:c>
      <x:c r="AG369" s="32" t="e">
        <x:f>IF(A369&lt;=Dashboard!$F$17,MIN(Dashboard!$F$10,AD369+AF369),0)</x:f>
      </x:c>
      <x:c r="AH369" s="32" t="e">
        <x:f>IF(A369&lt;=Dashboard!$F$17,MAX(0,AD369-MAX(0,AG369-AF369)),0)</x:f>
      </x:c>
      <x:c r="AI369" s="32" t="e">
        <x:f>IF(A369=1,AF369,AI368+AF369)</x:f>
      </x:c>
      <x:c r="AJ369" s="33"/>
      <x:c r="AK369" s="33"/>
      <x:c r="AL369" s="33"/>
      <x:c r="AM369" s="33"/>
    </x:row>
    <x:row r="370">
      <x:c r="A370" s="33" t="n">
        <x:v>358</x:v>
      </x:c>
      <x:c r="B370" s="32" t="e">
        <x:f>IF(A370=1,Dashboard!$F$14,F369)</x:f>
      </x:c>
      <x:c r="C370" s="32" t="n">
        <x:f>0</x:f>
        <x:v>0</x:v>
      </x:c>
      <x:c r="D370" s="32" t="e">
        <x:f>IF(A370&lt;=Dashboard!$F$15,B370*Dashboard!$F$6,0)</x:f>
      </x:c>
      <x:c r="E370" s="32" t="e">
        <x:f>IF(A370&lt;=Dashboard!$F$15,MIN(Dashboard!$F$10,B370+D370),0)</x:f>
      </x:c>
      <x:c r="F370" s="32" t="e">
        <x:f>IF(A370&lt;=Dashboard!$F$15,MAX(0,B370-MAX(0,E370-D370)),0)</x:f>
      </x:c>
      <x:c r="G370" s="32" t="e">
        <x:f>IF(A370=1,D370,G369+D370)</x:f>
      </x:c>
      <x:c r="H370" s="32"/>
      <x:c r="I370" s="32" t="e">
        <x:f>IF(A370=1,Dashboard!$F$14,M369)</x:f>
      </x:c>
      <x:c r="J370" s="32" t="e">
        <x:f>IF(A370&lt;=Dashboard!$F$17,MIN(I370,$B$5),0)</x:f>
      </x:c>
      <x:c r="K370" s="32" t="e">
        <x:f>IF(A370&lt;=Dashboard!$F$17,MAX(0,I370-J370)*Dashboard!$F$6,0)</x:f>
      </x:c>
      <x:c r="L370" s="32" t="e">
        <x:f>IF(A370&lt;=Dashboard!$F$17,MIN(Dashboard!$F$10,MAX(0,I370-J370)+K370),0)</x:f>
      </x:c>
      <x:c r="M370" s="32" t="e">
        <x:f>IF(A370&lt;=Dashboard!$F$17,MAX(0,I370-J370-MAX(0,L370-K370)),0)</x:f>
      </x:c>
      <x:c r="N370" s="32" t="e">
        <x:f>IF(A370=1,K370,N369+K370)</x:f>
      </x:c>
      <x:c r="O370" s="32"/>
      <x:c r="P370" s="32" t="e">
        <x:f>IF(A370=1,Dashboard!$F$14,T369)</x:f>
      </x:c>
      <x:c r="Q370" s="32" t="e">
        <x:f>IF(A370&lt;=Dashboard!$F$17,MIN(P370,$B$6*52/12),0)</x:f>
      </x:c>
      <x:c r="R370" s="32" t="e">
        <x:f>IF(A370&lt;=Dashboard!$F$17,MAX(0,P370-Q370)*Dashboard!$F$6,0)</x:f>
      </x:c>
      <x:c r="S370" s="32" t="e">
        <x:f>IF(A370&lt;=Dashboard!$F$17,MIN(Dashboard!$F$10,MAX(0,P370-Q370)+R370),0)</x:f>
      </x:c>
      <x:c r="T370" s="32" t="e">
        <x:f>IF(A370&lt;=Dashboard!$F$17,MAX(0,P370-Q370-MAX(0,S370-R370)),0)</x:f>
      </x:c>
      <x:c r="U370" s="32" t="e">
        <x:f>IF(A370=1,R370,U369+R370)</x:f>
      </x:c>
      <x:c r="V370" s="32"/>
      <x:c r="W370" s="32" t="e">
        <x:f>IF(A370=1,Dashboard!$F$14,AA369)</x:f>
      </x:c>
      <x:c r="X370" s="32" t="e">
        <x:f>IF(AND(A370&lt;=Dashboard!$F$17,MOD(A370-1,12)=0),MIN(W370,$B$7),0)</x:f>
      </x:c>
      <x:c r="Y370" s="32" t="e">
        <x:f>IF(A370&lt;=Dashboard!$F$17,MAX(0,W370-X370)*Dashboard!$F$6,0)</x:f>
      </x:c>
      <x:c r="Z370" s="32" t="e">
        <x:f>IF(A370&lt;=Dashboard!$F$17,MIN(Dashboard!$F$10,MAX(0,W370-X370)+Y370),0)</x:f>
      </x:c>
      <x:c r="AA370" s="32" t="e">
        <x:f>IF(A370&lt;=Dashboard!$F$17,MAX(0,W370-X370-MAX(0,Z370-Y370)),0)</x:f>
      </x:c>
      <x:c r="AB370" s="32" t="e">
        <x:f>IF(A370=1,Y370,AB369+Y370)</x:f>
      </x:c>
      <x:c r="AC370" s="32"/>
      <x:c r="AD370" s="32" t="e">
        <x:f>IF(A370=1,MAX(0,Dashboard!$F$14-$B$8),AG369)</x:f>
      </x:c>
      <x:c r="AE370" s="32" t="n">
        <x:f>0</x:f>
        <x:v>0</x:v>
      </x:c>
      <x:c r="AF370" s="32" t="e">
        <x:f>IF(A370&lt;=Dashboard!$F$17,AD370*Dashboard!$F$6,0)</x:f>
      </x:c>
      <x:c r="AG370" s="32" t="e">
        <x:f>IF(A370&lt;=Dashboard!$F$17,MIN(Dashboard!$F$10,AD370+AF370),0)</x:f>
      </x:c>
      <x:c r="AH370" s="32" t="e">
        <x:f>IF(A370&lt;=Dashboard!$F$17,MAX(0,AD370-MAX(0,AG370-AF370)),0)</x:f>
      </x:c>
      <x:c r="AI370" s="32" t="e">
        <x:f>IF(A370=1,AF370,AI369+AF370)</x:f>
      </x:c>
      <x:c r="AJ370" s="33"/>
      <x:c r="AK370" s="33"/>
      <x:c r="AL370" s="33"/>
      <x:c r="AM370" s="33"/>
    </x:row>
    <x:row r="371">
      <x:c r="A371" s="33" t="n">
        <x:v>359</x:v>
      </x:c>
      <x:c r="B371" s="32" t="e">
        <x:f>IF(A371=1,Dashboard!$F$14,F370)</x:f>
      </x:c>
      <x:c r="C371" s="32" t="n">
        <x:f>0</x:f>
        <x:v>0</x:v>
      </x:c>
      <x:c r="D371" s="32" t="e">
        <x:f>IF(A371&lt;=Dashboard!$F$15,B371*Dashboard!$F$6,0)</x:f>
      </x:c>
      <x:c r="E371" s="32" t="e">
        <x:f>IF(A371&lt;=Dashboard!$F$15,MIN(Dashboard!$F$10,B371+D371),0)</x:f>
      </x:c>
      <x:c r="F371" s="32" t="e">
        <x:f>IF(A371&lt;=Dashboard!$F$15,MAX(0,B371-MAX(0,E371-D371)),0)</x:f>
      </x:c>
      <x:c r="G371" s="32" t="e">
        <x:f>IF(A371=1,D371,G370+D371)</x:f>
      </x:c>
      <x:c r="H371" s="32"/>
      <x:c r="I371" s="32" t="e">
        <x:f>IF(A371=1,Dashboard!$F$14,M370)</x:f>
      </x:c>
      <x:c r="J371" s="32" t="e">
        <x:f>IF(A371&lt;=Dashboard!$F$17,MIN(I371,$B$5),0)</x:f>
      </x:c>
      <x:c r="K371" s="32" t="e">
        <x:f>IF(A371&lt;=Dashboard!$F$17,MAX(0,I371-J371)*Dashboard!$F$6,0)</x:f>
      </x:c>
      <x:c r="L371" s="32" t="e">
        <x:f>IF(A371&lt;=Dashboard!$F$17,MIN(Dashboard!$F$10,MAX(0,I371-J371)+K371),0)</x:f>
      </x:c>
      <x:c r="M371" s="32" t="e">
        <x:f>IF(A371&lt;=Dashboard!$F$17,MAX(0,I371-J371-MAX(0,L371-K371)),0)</x:f>
      </x:c>
      <x:c r="N371" s="32" t="e">
        <x:f>IF(A371=1,K371,N370+K371)</x:f>
      </x:c>
      <x:c r="O371" s="32"/>
      <x:c r="P371" s="32" t="e">
        <x:f>IF(A371=1,Dashboard!$F$14,T370)</x:f>
      </x:c>
      <x:c r="Q371" s="32" t="e">
        <x:f>IF(A371&lt;=Dashboard!$F$17,MIN(P371,$B$6*52/12),0)</x:f>
      </x:c>
      <x:c r="R371" s="32" t="e">
        <x:f>IF(A371&lt;=Dashboard!$F$17,MAX(0,P371-Q371)*Dashboard!$F$6,0)</x:f>
      </x:c>
      <x:c r="S371" s="32" t="e">
        <x:f>IF(A371&lt;=Dashboard!$F$17,MIN(Dashboard!$F$10,MAX(0,P371-Q371)+R371),0)</x:f>
      </x:c>
      <x:c r="T371" s="32" t="e">
        <x:f>IF(A371&lt;=Dashboard!$F$17,MAX(0,P371-Q371-MAX(0,S371-R371)),0)</x:f>
      </x:c>
      <x:c r="U371" s="32" t="e">
        <x:f>IF(A371=1,R371,U370+R371)</x:f>
      </x:c>
      <x:c r="V371" s="32"/>
      <x:c r="W371" s="32" t="e">
        <x:f>IF(A371=1,Dashboard!$F$14,AA370)</x:f>
      </x:c>
      <x:c r="X371" s="32" t="e">
        <x:f>IF(AND(A371&lt;=Dashboard!$F$17,MOD(A371-1,12)=0),MIN(W371,$B$7),0)</x:f>
      </x:c>
      <x:c r="Y371" s="32" t="e">
        <x:f>IF(A371&lt;=Dashboard!$F$17,MAX(0,W371-X371)*Dashboard!$F$6,0)</x:f>
      </x:c>
      <x:c r="Z371" s="32" t="e">
        <x:f>IF(A371&lt;=Dashboard!$F$17,MIN(Dashboard!$F$10,MAX(0,W371-X371)+Y371),0)</x:f>
      </x:c>
      <x:c r="AA371" s="32" t="e">
        <x:f>IF(A371&lt;=Dashboard!$F$17,MAX(0,W371-X371-MAX(0,Z371-Y371)),0)</x:f>
      </x:c>
      <x:c r="AB371" s="32" t="e">
        <x:f>IF(A371=1,Y371,AB370+Y371)</x:f>
      </x:c>
      <x:c r="AC371" s="32"/>
      <x:c r="AD371" s="32" t="e">
        <x:f>IF(A371=1,MAX(0,Dashboard!$F$14-$B$8),AG370)</x:f>
      </x:c>
      <x:c r="AE371" s="32" t="n">
        <x:f>0</x:f>
        <x:v>0</x:v>
      </x:c>
      <x:c r="AF371" s="32" t="e">
        <x:f>IF(A371&lt;=Dashboard!$F$17,AD371*Dashboard!$F$6,0)</x:f>
      </x:c>
      <x:c r="AG371" s="32" t="e">
        <x:f>IF(A371&lt;=Dashboard!$F$17,MIN(Dashboard!$F$10,AD371+AF371),0)</x:f>
      </x:c>
      <x:c r="AH371" s="32" t="e">
        <x:f>IF(A371&lt;=Dashboard!$F$17,MAX(0,AD371-MAX(0,AG371-AF371)),0)</x:f>
      </x:c>
      <x:c r="AI371" s="32" t="e">
        <x:f>IF(A371=1,AF371,AI370+AF371)</x:f>
      </x:c>
      <x:c r="AJ371" s="33"/>
      <x:c r="AK371" s="33"/>
      <x:c r="AL371" s="33"/>
      <x:c r="AM371" s="33"/>
    </x:row>
    <x:row r="372">
      <x:c r="A372" s="33" t="n">
        <x:v>360</x:v>
      </x:c>
      <x:c r="B372" s="32" t="e">
        <x:f>IF(A372=1,Dashboard!$F$14,F371)</x:f>
      </x:c>
      <x:c r="C372" s="32" t="n">
        <x:f>0</x:f>
        <x:v>0</x:v>
      </x:c>
      <x:c r="D372" s="32" t="e">
        <x:f>IF(A372&lt;=Dashboard!$F$15,B372*Dashboard!$F$6,0)</x:f>
      </x:c>
      <x:c r="E372" s="32" t="e">
        <x:f>IF(A372&lt;=Dashboard!$F$15,MIN(Dashboard!$F$10,B372+D372),0)</x:f>
      </x:c>
      <x:c r="F372" s="32" t="e">
        <x:f>IF(A372&lt;=Dashboard!$F$15,MAX(0,B372-MAX(0,E372-D372)),0)</x:f>
      </x:c>
      <x:c r="G372" s="32" t="e">
        <x:f>IF(A372=1,D372,G371+D372)</x:f>
      </x:c>
      <x:c r="H372" s="32"/>
      <x:c r="I372" s="32" t="e">
        <x:f>IF(A372=1,Dashboard!$F$14,M371)</x:f>
      </x:c>
      <x:c r="J372" s="32" t="e">
        <x:f>IF(A372&lt;=Dashboard!$F$17,MIN(I372,$B$5),0)</x:f>
      </x:c>
      <x:c r="K372" s="32" t="e">
        <x:f>IF(A372&lt;=Dashboard!$F$17,MAX(0,I372-J372)*Dashboard!$F$6,0)</x:f>
      </x:c>
      <x:c r="L372" s="32" t="e">
        <x:f>IF(A372&lt;=Dashboard!$F$17,MIN(Dashboard!$F$10,MAX(0,I372-J372)+K372),0)</x:f>
      </x:c>
      <x:c r="M372" s="32" t="e">
        <x:f>IF(A372&lt;=Dashboard!$F$17,MAX(0,I372-J372-MAX(0,L372-K372)),0)</x:f>
      </x:c>
      <x:c r="N372" s="32" t="e">
        <x:f>IF(A372=1,K372,N371+K372)</x:f>
      </x:c>
      <x:c r="O372" s="32"/>
      <x:c r="P372" s="32" t="e">
        <x:f>IF(A372=1,Dashboard!$F$14,T371)</x:f>
      </x:c>
      <x:c r="Q372" s="32" t="e">
        <x:f>IF(A372&lt;=Dashboard!$F$17,MIN(P372,$B$6*52/12),0)</x:f>
      </x:c>
      <x:c r="R372" s="32" t="e">
        <x:f>IF(A372&lt;=Dashboard!$F$17,MAX(0,P372-Q372)*Dashboard!$F$6,0)</x:f>
      </x:c>
      <x:c r="S372" s="32" t="e">
        <x:f>IF(A372&lt;=Dashboard!$F$17,MIN(Dashboard!$F$10,MAX(0,P372-Q372)+R372),0)</x:f>
      </x:c>
      <x:c r="T372" s="32" t="e">
        <x:f>IF(A372&lt;=Dashboard!$F$17,MAX(0,P372-Q372-MAX(0,S372-R372)),0)</x:f>
      </x:c>
      <x:c r="U372" s="32" t="e">
        <x:f>IF(A372=1,R372,U371+R372)</x:f>
      </x:c>
      <x:c r="V372" s="32"/>
      <x:c r="W372" s="32" t="e">
        <x:f>IF(A372=1,Dashboard!$F$14,AA371)</x:f>
      </x:c>
      <x:c r="X372" s="32" t="e">
        <x:f>IF(AND(A372&lt;=Dashboard!$F$17,MOD(A372-1,12)=0),MIN(W372,$B$7),0)</x:f>
      </x:c>
      <x:c r="Y372" s="32" t="e">
        <x:f>IF(A372&lt;=Dashboard!$F$17,MAX(0,W372-X372)*Dashboard!$F$6,0)</x:f>
      </x:c>
      <x:c r="Z372" s="32" t="e">
        <x:f>IF(A372&lt;=Dashboard!$F$17,MIN(Dashboard!$F$10,MAX(0,W372-X372)+Y372),0)</x:f>
      </x:c>
      <x:c r="AA372" s="32" t="e">
        <x:f>IF(A372&lt;=Dashboard!$F$17,MAX(0,W372-X372-MAX(0,Z372-Y372)),0)</x:f>
      </x:c>
      <x:c r="AB372" s="32" t="e">
        <x:f>IF(A372=1,Y372,AB371+Y372)</x:f>
      </x:c>
      <x:c r="AC372" s="32"/>
      <x:c r="AD372" s="32" t="e">
        <x:f>IF(A372=1,MAX(0,Dashboard!$F$14-$B$8),AG371)</x:f>
      </x:c>
      <x:c r="AE372" s="32" t="n">
        <x:f>0</x:f>
        <x:v>0</x:v>
      </x:c>
      <x:c r="AF372" s="32" t="e">
        <x:f>IF(A372&lt;=Dashboard!$F$17,AD372*Dashboard!$F$6,0)</x:f>
      </x:c>
      <x:c r="AG372" s="32" t="e">
        <x:f>IF(A372&lt;=Dashboard!$F$17,MIN(Dashboard!$F$10,AD372+AF372),0)</x:f>
      </x:c>
      <x:c r="AH372" s="32" t="e">
        <x:f>IF(A372&lt;=Dashboard!$F$17,MAX(0,AD372-MAX(0,AG372-AF372)),0)</x:f>
      </x:c>
      <x:c r="AI372" s="32" t="e">
        <x:f>IF(A372=1,AF372,AI371+AF372)</x:f>
      </x:c>
      <x:c r="AJ372" s="33"/>
      <x:c r="AK372" s="33"/>
      <x:c r="AL372" s="33"/>
      <x:c r="AM372" s="33"/>
    </x:row>
    <x:row r="373">
      <x:c r="A373" s="33" t="n">
        <x:v>361</x:v>
      </x:c>
      <x:c r="B373" s="32" t="e">
        <x:f>IF(A373=1,Dashboard!$F$14,F372)</x:f>
      </x:c>
      <x:c r="C373" s="32" t="n">
        <x:f>0</x:f>
        <x:v>0</x:v>
      </x:c>
      <x:c r="D373" s="32" t="e">
        <x:f>IF(A373&lt;=Dashboard!$F$15,B373*Dashboard!$F$6,0)</x:f>
      </x:c>
      <x:c r="E373" s="32" t="e">
        <x:f>IF(A373&lt;=Dashboard!$F$15,MIN(Dashboard!$F$10,B373+D373),0)</x:f>
      </x:c>
      <x:c r="F373" s="32" t="e">
        <x:f>IF(A373&lt;=Dashboard!$F$15,MAX(0,B373-MAX(0,E373-D373)),0)</x:f>
      </x:c>
      <x:c r="G373" s="32" t="e">
        <x:f>IF(A373=1,D373,G372+D373)</x:f>
      </x:c>
      <x:c r="H373" s="32"/>
      <x:c r="I373" s="32" t="e">
        <x:f>IF(A373=1,Dashboard!$F$14,M372)</x:f>
      </x:c>
      <x:c r="J373" s="32" t="e">
        <x:f>IF(A373&lt;=Dashboard!$F$17,MIN(I373,$B$5),0)</x:f>
      </x:c>
      <x:c r="K373" s="32" t="e">
        <x:f>IF(A373&lt;=Dashboard!$F$17,MAX(0,I373-J373)*Dashboard!$F$6,0)</x:f>
      </x:c>
      <x:c r="L373" s="32" t="e">
        <x:f>IF(A373&lt;=Dashboard!$F$17,MIN(Dashboard!$F$10,MAX(0,I373-J373)+K373),0)</x:f>
      </x:c>
      <x:c r="M373" s="32" t="e">
        <x:f>IF(A373&lt;=Dashboard!$F$17,MAX(0,I373-J373-MAX(0,L373-K373)),0)</x:f>
      </x:c>
      <x:c r="N373" s="32" t="e">
        <x:f>IF(A373=1,K373,N372+K373)</x:f>
      </x:c>
      <x:c r="O373" s="32"/>
      <x:c r="P373" s="32" t="e">
        <x:f>IF(A373=1,Dashboard!$F$14,T372)</x:f>
      </x:c>
      <x:c r="Q373" s="32" t="e">
        <x:f>IF(A373&lt;=Dashboard!$F$17,MIN(P373,$B$6*52/12),0)</x:f>
      </x:c>
      <x:c r="R373" s="32" t="e">
        <x:f>IF(A373&lt;=Dashboard!$F$17,MAX(0,P373-Q373)*Dashboard!$F$6,0)</x:f>
      </x:c>
      <x:c r="S373" s="32" t="e">
        <x:f>IF(A373&lt;=Dashboard!$F$17,MIN(Dashboard!$F$10,MAX(0,P373-Q373)+R373),0)</x:f>
      </x:c>
      <x:c r="T373" s="32" t="e">
        <x:f>IF(A373&lt;=Dashboard!$F$17,MAX(0,P373-Q373-MAX(0,S373-R373)),0)</x:f>
      </x:c>
      <x:c r="U373" s="32" t="e">
        <x:f>IF(A373=1,R373,U372+R373)</x:f>
      </x:c>
      <x:c r="V373" s="32"/>
      <x:c r="W373" s="32" t="e">
        <x:f>IF(A373=1,Dashboard!$F$14,AA372)</x:f>
      </x:c>
      <x:c r="X373" s="32" t="e">
        <x:f>IF(AND(A373&lt;=Dashboard!$F$17,MOD(A373-1,12)=0),MIN(W373,$B$7),0)</x:f>
      </x:c>
      <x:c r="Y373" s="32" t="e">
        <x:f>IF(A373&lt;=Dashboard!$F$17,MAX(0,W373-X373)*Dashboard!$F$6,0)</x:f>
      </x:c>
      <x:c r="Z373" s="32" t="e">
        <x:f>IF(A373&lt;=Dashboard!$F$17,MIN(Dashboard!$F$10,MAX(0,W373-X373)+Y373),0)</x:f>
      </x:c>
      <x:c r="AA373" s="32" t="e">
        <x:f>IF(A373&lt;=Dashboard!$F$17,MAX(0,W373-X373-MAX(0,Z373-Y373)),0)</x:f>
      </x:c>
      <x:c r="AB373" s="32" t="e">
        <x:f>IF(A373=1,Y373,AB372+Y373)</x:f>
      </x:c>
      <x:c r="AC373" s="32"/>
      <x:c r="AD373" s="32" t="e">
        <x:f>IF(A373=1,MAX(0,Dashboard!$F$14-$B$8),AG372)</x:f>
      </x:c>
      <x:c r="AE373" s="32" t="n">
        <x:f>0</x:f>
        <x:v>0</x:v>
      </x:c>
      <x:c r="AF373" s="32" t="e">
        <x:f>IF(A373&lt;=Dashboard!$F$17,AD373*Dashboard!$F$6,0)</x:f>
      </x:c>
      <x:c r="AG373" s="32" t="e">
        <x:f>IF(A373&lt;=Dashboard!$F$17,MIN(Dashboard!$F$10,AD373+AF373),0)</x:f>
      </x:c>
      <x:c r="AH373" s="32" t="e">
        <x:f>IF(A373&lt;=Dashboard!$F$17,MAX(0,AD373-MAX(0,AG373-AF373)),0)</x:f>
      </x:c>
      <x:c r="AI373" s="32" t="e">
        <x:f>IF(A373=1,AF373,AI372+AF373)</x:f>
      </x:c>
      <x:c r="AJ373" s="33"/>
      <x:c r="AK373" s="33"/>
      <x:c r="AL373" s="33"/>
      <x:c r="AM373" s="33"/>
    </x:row>
    <x:row r="374">
      <x:c r="A374" s="33" t="n">
        <x:v>362</x:v>
      </x:c>
      <x:c r="B374" s="32" t="e">
        <x:f>IF(A374=1,Dashboard!$F$14,F373)</x:f>
      </x:c>
      <x:c r="C374" s="32" t="n">
        <x:f>0</x:f>
        <x:v>0</x:v>
      </x:c>
      <x:c r="D374" s="32" t="e">
        <x:f>IF(A374&lt;=Dashboard!$F$15,B374*Dashboard!$F$6,0)</x:f>
      </x:c>
      <x:c r="E374" s="32" t="e">
        <x:f>IF(A374&lt;=Dashboard!$F$15,MIN(Dashboard!$F$10,B374+D374),0)</x:f>
      </x:c>
      <x:c r="F374" s="32" t="e">
        <x:f>IF(A374&lt;=Dashboard!$F$15,MAX(0,B374-MAX(0,E374-D374)),0)</x:f>
      </x:c>
      <x:c r="G374" s="32" t="e">
        <x:f>IF(A374=1,D374,G373+D374)</x:f>
      </x:c>
      <x:c r="H374" s="32"/>
      <x:c r="I374" s="32" t="e">
        <x:f>IF(A374=1,Dashboard!$F$14,M373)</x:f>
      </x:c>
      <x:c r="J374" s="32" t="e">
        <x:f>IF(A374&lt;=Dashboard!$F$17,MIN(I374,$B$5),0)</x:f>
      </x:c>
      <x:c r="K374" s="32" t="e">
        <x:f>IF(A374&lt;=Dashboard!$F$17,MAX(0,I374-J374)*Dashboard!$F$6,0)</x:f>
      </x:c>
      <x:c r="L374" s="32" t="e">
        <x:f>IF(A374&lt;=Dashboard!$F$17,MIN(Dashboard!$F$10,MAX(0,I374-J374)+K374),0)</x:f>
      </x:c>
      <x:c r="M374" s="32" t="e">
        <x:f>IF(A374&lt;=Dashboard!$F$17,MAX(0,I374-J374-MAX(0,L374-K374)),0)</x:f>
      </x:c>
      <x:c r="N374" s="32" t="e">
        <x:f>IF(A374=1,K374,N373+K374)</x:f>
      </x:c>
      <x:c r="O374" s="32"/>
      <x:c r="P374" s="32" t="e">
        <x:f>IF(A374=1,Dashboard!$F$14,T373)</x:f>
      </x:c>
      <x:c r="Q374" s="32" t="e">
        <x:f>IF(A374&lt;=Dashboard!$F$17,MIN(P374,$B$6*52/12),0)</x:f>
      </x:c>
      <x:c r="R374" s="32" t="e">
        <x:f>IF(A374&lt;=Dashboard!$F$17,MAX(0,P374-Q374)*Dashboard!$F$6,0)</x:f>
      </x:c>
      <x:c r="S374" s="32" t="e">
        <x:f>IF(A374&lt;=Dashboard!$F$17,MIN(Dashboard!$F$10,MAX(0,P374-Q374)+R374),0)</x:f>
      </x:c>
      <x:c r="T374" s="32" t="e">
        <x:f>IF(A374&lt;=Dashboard!$F$17,MAX(0,P374-Q374-MAX(0,S374-R374)),0)</x:f>
      </x:c>
      <x:c r="U374" s="32" t="e">
        <x:f>IF(A374=1,R374,U373+R374)</x:f>
      </x:c>
      <x:c r="V374" s="32"/>
      <x:c r="W374" s="32" t="e">
        <x:f>IF(A374=1,Dashboard!$F$14,AA373)</x:f>
      </x:c>
      <x:c r="X374" s="32" t="e">
        <x:f>IF(AND(A374&lt;=Dashboard!$F$17,MOD(A374-1,12)=0),MIN(W374,$B$7),0)</x:f>
      </x:c>
      <x:c r="Y374" s="32" t="e">
        <x:f>IF(A374&lt;=Dashboard!$F$17,MAX(0,W374-X374)*Dashboard!$F$6,0)</x:f>
      </x:c>
      <x:c r="Z374" s="32" t="e">
        <x:f>IF(A374&lt;=Dashboard!$F$17,MIN(Dashboard!$F$10,MAX(0,W374-X374)+Y374),0)</x:f>
      </x:c>
      <x:c r="AA374" s="32" t="e">
        <x:f>IF(A374&lt;=Dashboard!$F$17,MAX(0,W374-X374-MAX(0,Z374-Y374)),0)</x:f>
      </x:c>
      <x:c r="AB374" s="32" t="e">
        <x:f>IF(A374=1,Y374,AB373+Y374)</x:f>
      </x:c>
      <x:c r="AC374" s="32"/>
      <x:c r="AD374" s="32" t="e">
        <x:f>IF(A374=1,MAX(0,Dashboard!$F$14-$B$8),AG373)</x:f>
      </x:c>
      <x:c r="AE374" s="32" t="n">
        <x:f>0</x:f>
        <x:v>0</x:v>
      </x:c>
      <x:c r="AF374" s="32" t="e">
        <x:f>IF(A374&lt;=Dashboard!$F$17,AD374*Dashboard!$F$6,0)</x:f>
      </x:c>
      <x:c r="AG374" s="32" t="e">
        <x:f>IF(A374&lt;=Dashboard!$F$17,MIN(Dashboard!$F$10,AD374+AF374),0)</x:f>
      </x:c>
      <x:c r="AH374" s="32" t="e">
        <x:f>IF(A374&lt;=Dashboard!$F$17,MAX(0,AD374-MAX(0,AG374-AF374)),0)</x:f>
      </x:c>
      <x:c r="AI374" s="32" t="e">
        <x:f>IF(A374=1,AF374,AI373+AF374)</x:f>
      </x:c>
      <x:c r="AJ374" s="33"/>
      <x:c r="AK374" s="33"/>
      <x:c r="AL374" s="33"/>
      <x:c r="AM374" s="33"/>
    </x:row>
    <x:row r="375">
      <x:c r="A375" s="33" t="n">
        <x:v>363</x:v>
      </x:c>
      <x:c r="B375" s="32" t="e">
        <x:f>IF(A375=1,Dashboard!$F$14,F374)</x:f>
      </x:c>
      <x:c r="C375" s="32" t="n">
        <x:f>0</x:f>
        <x:v>0</x:v>
      </x:c>
      <x:c r="D375" s="32" t="e">
        <x:f>IF(A375&lt;=Dashboard!$F$15,B375*Dashboard!$F$6,0)</x:f>
      </x:c>
      <x:c r="E375" s="32" t="e">
        <x:f>IF(A375&lt;=Dashboard!$F$15,MIN(Dashboard!$F$10,B375+D375),0)</x:f>
      </x:c>
      <x:c r="F375" s="32" t="e">
        <x:f>IF(A375&lt;=Dashboard!$F$15,MAX(0,B375-MAX(0,E375-D375)),0)</x:f>
      </x:c>
      <x:c r="G375" s="32" t="e">
        <x:f>IF(A375=1,D375,G374+D375)</x:f>
      </x:c>
      <x:c r="H375" s="32"/>
      <x:c r="I375" s="32" t="e">
        <x:f>IF(A375=1,Dashboard!$F$14,M374)</x:f>
      </x:c>
      <x:c r="J375" s="32" t="e">
        <x:f>IF(A375&lt;=Dashboard!$F$17,MIN(I375,$B$5),0)</x:f>
      </x:c>
      <x:c r="K375" s="32" t="e">
        <x:f>IF(A375&lt;=Dashboard!$F$17,MAX(0,I375-J375)*Dashboard!$F$6,0)</x:f>
      </x:c>
      <x:c r="L375" s="32" t="e">
        <x:f>IF(A375&lt;=Dashboard!$F$17,MIN(Dashboard!$F$10,MAX(0,I375-J375)+K375),0)</x:f>
      </x:c>
      <x:c r="M375" s="32" t="e">
        <x:f>IF(A375&lt;=Dashboard!$F$17,MAX(0,I375-J375-MAX(0,L375-K375)),0)</x:f>
      </x:c>
      <x:c r="N375" s="32" t="e">
        <x:f>IF(A375=1,K375,N374+K375)</x:f>
      </x:c>
      <x:c r="O375" s="32"/>
      <x:c r="P375" s="32" t="e">
        <x:f>IF(A375=1,Dashboard!$F$14,T374)</x:f>
      </x:c>
      <x:c r="Q375" s="32" t="e">
        <x:f>IF(A375&lt;=Dashboard!$F$17,MIN(P375,$B$6*52/12),0)</x:f>
      </x:c>
      <x:c r="R375" s="32" t="e">
        <x:f>IF(A375&lt;=Dashboard!$F$17,MAX(0,P375-Q375)*Dashboard!$F$6,0)</x:f>
      </x:c>
      <x:c r="S375" s="32" t="e">
        <x:f>IF(A375&lt;=Dashboard!$F$17,MIN(Dashboard!$F$10,MAX(0,P375-Q375)+R375),0)</x:f>
      </x:c>
      <x:c r="T375" s="32" t="e">
        <x:f>IF(A375&lt;=Dashboard!$F$17,MAX(0,P375-Q375-MAX(0,S375-R375)),0)</x:f>
      </x:c>
      <x:c r="U375" s="32" t="e">
        <x:f>IF(A375=1,R375,U374+R375)</x:f>
      </x:c>
      <x:c r="V375" s="32"/>
      <x:c r="W375" s="32" t="e">
        <x:f>IF(A375=1,Dashboard!$F$14,AA374)</x:f>
      </x:c>
      <x:c r="X375" s="32" t="e">
        <x:f>IF(AND(A375&lt;=Dashboard!$F$17,MOD(A375-1,12)=0),MIN(W375,$B$7),0)</x:f>
      </x:c>
      <x:c r="Y375" s="32" t="e">
        <x:f>IF(A375&lt;=Dashboard!$F$17,MAX(0,W375-X375)*Dashboard!$F$6,0)</x:f>
      </x:c>
      <x:c r="Z375" s="32" t="e">
        <x:f>IF(A375&lt;=Dashboard!$F$17,MIN(Dashboard!$F$10,MAX(0,W375-X375)+Y375),0)</x:f>
      </x:c>
      <x:c r="AA375" s="32" t="e">
        <x:f>IF(A375&lt;=Dashboard!$F$17,MAX(0,W375-X375-MAX(0,Z375-Y375)),0)</x:f>
      </x:c>
      <x:c r="AB375" s="32" t="e">
        <x:f>IF(A375=1,Y375,AB374+Y375)</x:f>
      </x:c>
      <x:c r="AC375" s="32"/>
      <x:c r="AD375" s="32" t="e">
        <x:f>IF(A375=1,MAX(0,Dashboard!$F$14-$B$8),AG374)</x:f>
      </x:c>
      <x:c r="AE375" s="32" t="n">
        <x:f>0</x:f>
        <x:v>0</x:v>
      </x:c>
      <x:c r="AF375" s="32" t="e">
        <x:f>IF(A375&lt;=Dashboard!$F$17,AD375*Dashboard!$F$6,0)</x:f>
      </x:c>
      <x:c r="AG375" s="32" t="e">
        <x:f>IF(A375&lt;=Dashboard!$F$17,MIN(Dashboard!$F$10,AD375+AF375),0)</x:f>
      </x:c>
      <x:c r="AH375" s="32" t="e">
        <x:f>IF(A375&lt;=Dashboard!$F$17,MAX(0,AD375-MAX(0,AG375-AF375)),0)</x:f>
      </x:c>
      <x:c r="AI375" s="32" t="e">
        <x:f>IF(A375=1,AF375,AI374+AF375)</x:f>
      </x:c>
      <x:c r="AJ375" s="33"/>
      <x:c r="AK375" s="33"/>
      <x:c r="AL375" s="33"/>
      <x:c r="AM375" s="33"/>
    </x:row>
    <x:row r="376">
      <x:c r="A376" s="33" t="n">
        <x:v>364</x:v>
      </x:c>
      <x:c r="B376" s="32" t="e">
        <x:f>IF(A376=1,Dashboard!$F$14,F375)</x:f>
      </x:c>
      <x:c r="C376" s="32" t="n">
        <x:f>0</x:f>
        <x:v>0</x:v>
      </x:c>
      <x:c r="D376" s="32" t="e">
        <x:f>IF(A376&lt;=Dashboard!$F$15,B376*Dashboard!$F$6,0)</x:f>
      </x:c>
      <x:c r="E376" s="32" t="e">
        <x:f>IF(A376&lt;=Dashboard!$F$15,MIN(Dashboard!$F$10,B376+D376),0)</x:f>
      </x:c>
      <x:c r="F376" s="32" t="e">
        <x:f>IF(A376&lt;=Dashboard!$F$15,MAX(0,B376-MAX(0,E376-D376)),0)</x:f>
      </x:c>
      <x:c r="G376" s="32" t="e">
        <x:f>IF(A376=1,D376,G375+D376)</x:f>
      </x:c>
      <x:c r="H376" s="32"/>
      <x:c r="I376" s="32" t="e">
        <x:f>IF(A376=1,Dashboard!$F$14,M375)</x:f>
      </x:c>
      <x:c r="J376" s="32" t="e">
        <x:f>IF(A376&lt;=Dashboard!$F$17,MIN(I376,$B$5),0)</x:f>
      </x:c>
      <x:c r="K376" s="32" t="e">
        <x:f>IF(A376&lt;=Dashboard!$F$17,MAX(0,I376-J376)*Dashboard!$F$6,0)</x:f>
      </x:c>
      <x:c r="L376" s="32" t="e">
        <x:f>IF(A376&lt;=Dashboard!$F$17,MIN(Dashboard!$F$10,MAX(0,I376-J376)+K376),0)</x:f>
      </x:c>
      <x:c r="M376" s="32" t="e">
        <x:f>IF(A376&lt;=Dashboard!$F$17,MAX(0,I376-J376-MAX(0,L376-K376)),0)</x:f>
      </x:c>
      <x:c r="N376" s="32" t="e">
        <x:f>IF(A376=1,K376,N375+K376)</x:f>
      </x:c>
      <x:c r="O376" s="32"/>
      <x:c r="P376" s="32" t="e">
        <x:f>IF(A376=1,Dashboard!$F$14,T375)</x:f>
      </x:c>
      <x:c r="Q376" s="32" t="e">
        <x:f>IF(A376&lt;=Dashboard!$F$17,MIN(P376,$B$6*52/12),0)</x:f>
      </x:c>
      <x:c r="R376" s="32" t="e">
        <x:f>IF(A376&lt;=Dashboard!$F$17,MAX(0,P376-Q376)*Dashboard!$F$6,0)</x:f>
      </x:c>
      <x:c r="S376" s="32" t="e">
        <x:f>IF(A376&lt;=Dashboard!$F$17,MIN(Dashboard!$F$10,MAX(0,P376-Q376)+R376),0)</x:f>
      </x:c>
      <x:c r="T376" s="32" t="e">
        <x:f>IF(A376&lt;=Dashboard!$F$17,MAX(0,P376-Q376-MAX(0,S376-R376)),0)</x:f>
      </x:c>
      <x:c r="U376" s="32" t="e">
        <x:f>IF(A376=1,R376,U375+R376)</x:f>
      </x:c>
      <x:c r="V376" s="32"/>
      <x:c r="W376" s="32" t="e">
        <x:f>IF(A376=1,Dashboard!$F$14,AA375)</x:f>
      </x:c>
      <x:c r="X376" s="32" t="e">
        <x:f>IF(AND(A376&lt;=Dashboard!$F$17,MOD(A376-1,12)=0),MIN(W376,$B$7),0)</x:f>
      </x:c>
      <x:c r="Y376" s="32" t="e">
        <x:f>IF(A376&lt;=Dashboard!$F$17,MAX(0,W376-X376)*Dashboard!$F$6,0)</x:f>
      </x:c>
      <x:c r="Z376" s="32" t="e">
        <x:f>IF(A376&lt;=Dashboard!$F$17,MIN(Dashboard!$F$10,MAX(0,W376-X376)+Y376),0)</x:f>
      </x:c>
      <x:c r="AA376" s="32" t="e">
        <x:f>IF(A376&lt;=Dashboard!$F$17,MAX(0,W376-X376-MAX(0,Z376-Y376)),0)</x:f>
      </x:c>
      <x:c r="AB376" s="32" t="e">
        <x:f>IF(A376=1,Y376,AB375+Y376)</x:f>
      </x:c>
      <x:c r="AC376" s="32"/>
      <x:c r="AD376" s="32" t="e">
        <x:f>IF(A376=1,MAX(0,Dashboard!$F$14-$B$8),AG375)</x:f>
      </x:c>
      <x:c r="AE376" s="32" t="n">
        <x:f>0</x:f>
        <x:v>0</x:v>
      </x:c>
      <x:c r="AF376" s="32" t="e">
        <x:f>IF(A376&lt;=Dashboard!$F$17,AD376*Dashboard!$F$6,0)</x:f>
      </x:c>
      <x:c r="AG376" s="32" t="e">
        <x:f>IF(A376&lt;=Dashboard!$F$17,MIN(Dashboard!$F$10,AD376+AF376),0)</x:f>
      </x:c>
      <x:c r="AH376" s="32" t="e">
        <x:f>IF(A376&lt;=Dashboard!$F$17,MAX(0,AD376-MAX(0,AG376-AF376)),0)</x:f>
      </x:c>
      <x:c r="AI376" s="32" t="e">
        <x:f>IF(A376=1,AF376,AI375+AF376)</x:f>
      </x:c>
      <x:c r="AJ376" s="33"/>
      <x:c r="AK376" s="33"/>
      <x:c r="AL376" s="33"/>
      <x:c r="AM376" s="33"/>
    </x:row>
    <x:row r="377">
      <x:c r="A377" s="33" t="n">
        <x:v>365</x:v>
      </x:c>
      <x:c r="B377" s="32" t="e">
        <x:f>IF(A377=1,Dashboard!$F$14,F376)</x:f>
      </x:c>
      <x:c r="C377" s="32" t="n">
        <x:f>0</x:f>
        <x:v>0</x:v>
      </x:c>
      <x:c r="D377" s="32" t="e">
        <x:f>IF(A377&lt;=Dashboard!$F$15,B377*Dashboard!$F$6,0)</x:f>
      </x:c>
      <x:c r="E377" s="32" t="e">
        <x:f>IF(A377&lt;=Dashboard!$F$15,MIN(Dashboard!$F$10,B377+D377),0)</x:f>
      </x:c>
      <x:c r="F377" s="32" t="e">
        <x:f>IF(A377&lt;=Dashboard!$F$15,MAX(0,B377-MAX(0,E377-D377)),0)</x:f>
      </x:c>
      <x:c r="G377" s="32" t="e">
        <x:f>IF(A377=1,D377,G376+D377)</x:f>
      </x:c>
      <x:c r="H377" s="32"/>
      <x:c r="I377" s="32" t="e">
        <x:f>IF(A377=1,Dashboard!$F$14,M376)</x:f>
      </x:c>
      <x:c r="J377" s="32" t="e">
        <x:f>IF(A377&lt;=Dashboard!$F$17,MIN(I377,$B$5),0)</x:f>
      </x:c>
      <x:c r="K377" s="32" t="e">
        <x:f>IF(A377&lt;=Dashboard!$F$17,MAX(0,I377-J377)*Dashboard!$F$6,0)</x:f>
      </x:c>
      <x:c r="L377" s="32" t="e">
        <x:f>IF(A377&lt;=Dashboard!$F$17,MIN(Dashboard!$F$10,MAX(0,I377-J377)+K377),0)</x:f>
      </x:c>
      <x:c r="M377" s="32" t="e">
        <x:f>IF(A377&lt;=Dashboard!$F$17,MAX(0,I377-J377-MAX(0,L377-K377)),0)</x:f>
      </x:c>
      <x:c r="N377" s="32" t="e">
        <x:f>IF(A377=1,K377,N376+K377)</x:f>
      </x:c>
      <x:c r="O377" s="32"/>
      <x:c r="P377" s="32" t="e">
        <x:f>IF(A377=1,Dashboard!$F$14,T376)</x:f>
      </x:c>
      <x:c r="Q377" s="32" t="e">
        <x:f>IF(A377&lt;=Dashboard!$F$17,MIN(P377,$B$6*52/12),0)</x:f>
      </x:c>
      <x:c r="R377" s="32" t="e">
        <x:f>IF(A377&lt;=Dashboard!$F$17,MAX(0,P377-Q377)*Dashboard!$F$6,0)</x:f>
      </x:c>
      <x:c r="S377" s="32" t="e">
        <x:f>IF(A377&lt;=Dashboard!$F$17,MIN(Dashboard!$F$10,MAX(0,P377-Q377)+R377),0)</x:f>
      </x:c>
      <x:c r="T377" s="32" t="e">
        <x:f>IF(A377&lt;=Dashboard!$F$17,MAX(0,P377-Q377-MAX(0,S377-R377)),0)</x:f>
      </x:c>
      <x:c r="U377" s="32" t="e">
        <x:f>IF(A377=1,R377,U376+R377)</x:f>
      </x:c>
      <x:c r="V377" s="32"/>
      <x:c r="W377" s="32" t="e">
        <x:f>IF(A377=1,Dashboard!$F$14,AA376)</x:f>
      </x:c>
      <x:c r="X377" s="32" t="e">
        <x:f>IF(AND(A377&lt;=Dashboard!$F$17,MOD(A377-1,12)=0),MIN(W377,$B$7),0)</x:f>
      </x:c>
      <x:c r="Y377" s="32" t="e">
        <x:f>IF(A377&lt;=Dashboard!$F$17,MAX(0,W377-X377)*Dashboard!$F$6,0)</x:f>
      </x:c>
      <x:c r="Z377" s="32" t="e">
        <x:f>IF(A377&lt;=Dashboard!$F$17,MIN(Dashboard!$F$10,MAX(0,W377-X377)+Y377),0)</x:f>
      </x:c>
      <x:c r="AA377" s="32" t="e">
        <x:f>IF(A377&lt;=Dashboard!$F$17,MAX(0,W377-X377-MAX(0,Z377-Y377)),0)</x:f>
      </x:c>
      <x:c r="AB377" s="32" t="e">
        <x:f>IF(A377=1,Y377,AB376+Y377)</x:f>
      </x:c>
      <x:c r="AC377" s="32"/>
      <x:c r="AD377" s="32" t="e">
        <x:f>IF(A377=1,MAX(0,Dashboard!$F$14-$B$8),AG376)</x:f>
      </x:c>
      <x:c r="AE377" s="32" t="n">
        <x:f>0</x:f>
        <x:v>0</x:v>
      </x:c>
      <x:c r="AF377" s="32" t="e">
        <x:f>IF(A377&lt;=Dashboard!$F$17,AD377*Dashboard!$F$6,0)</x:f>
      </x:c>
      <x:c r="AG377" s="32" t="e">
        <x:f>IF(A377&lt;=Dashboard!$F$17,MIN(Dashboard!$F$10,AD377+AF377),0)</x:f>
      </x:c>
      <x:c r="AH377" s="32" t="e">
        <x:f>IF(A377&lt;=Dashboard!$F$17,MAX(0,AD377-MAX(0,AG377-AF377)),0)</x:f>
      </x:c>
      <x:c r="AI377" s="32" t="e">
        <x:f>IF(A377=1,AF377,AI376+AF377)</x:f>
      </x:c>
      <x:c r="AJ377" s="33"/>
      <x:c r="AK377" s="33"/>
      <x:c r="AL377" s="33"/>
      <x:c r="AM377" s="33"/>
    </x:row>
    <x:row r="378">
      <x:c r="A378" s="33" t="n">
        <x:v>366</x:v>
      </x:c>
      <x:c r="B378" s="32" t="e">
        <x:f>IF(A378=1,Dashboard!$F$14,F377)</x:f>
      </x:c>
      <x:c r="C378" s="32" t="n">
        <x:f>0</x:f>
        <x:v>0</x:v>
      </x:c>
      <x:c r="D378" s="32" t="e">
        <x:f>IF(A378&lt;=Dashboard!$F$15,B378*Dashboard!$F$6,0)</x:f>
      </x:c>
      <x:c r="E378" s="32" t="e">
        <x:f>IF(A378&lt;=Dashboard!$F$15,MIN(Dashboard!$F$10,B378+D378),0)</x:f>
      </x:c>
      <x:c r="F378" s="32" t="e">
        <x:f>IF(A378&lt;=Dashboard!$F$15,MAX(0,B378-MAX(0,E378-D378)),0)</x:f>
      </x:c>
      <x:c r="G378" s="32" t="e">
        <x:f>IF(A378=1,D378,G377+D378)</x:f>
      </x:c>
      <x:c r="H378" s="32"/>
      <x:c r="I378" s="32" t="e">
        <x:f>IF(A378=1,Dashboard!$F$14,M377)</x:f>
      </x:c>
      <x:c r="J378" s="32" t="e">
        <x:f>IF(A378&lt;=Dashboard!$F$17,MIN(I378,$B$5),0)</x:f>
      </x:c>
      <x:c r="K378" s="32" t="e">
        <x:f>IF(A378&lt;=Dashboard!$F$17,MAX(0,I378-J378)*Dashboard!$F$6,0)</x:f>
      </x:c>
      <x:c r="L378" s="32" t="e">
        <x:f>IF(A378&lt;=Dashboard!$F$17,MIN(Dashboard!$F$10,MAX(0,I378-J378)+K378),0)</x:f>
      </x:c>
      <x:c r="M378" s="32" t="e">
        <x:f>IF(A378&lt;=Dashboard!$F$17,MAX(0,I378-J378-MAX(0,L378-K378)),0)</x:f>
      </x:c>
      <x:c r="N378" s="32" t="e">
        <x:f>IF(A378=1,K378,N377+K378)</x:f>
      </x:c>
      <x:c r="O378" s="32"/>
      <x:c r="P378" s="32" t="e">
        <x:f>IF(A378=1,Dashboard!$F$14,T377)</x:f>
      </x:c>
      <x:c r="Q378" s="32" t="e">
        <x:f>IF(A378&lt;=Dashboard!$F$17,MIN(P378,$B$6*52/12),0)</x:f>
      </x:c>
      <x:c r="R378" s="32" t="e">
        <x:f>IF(A378&lt;=Dashboard!$F$17,MAX(0,P378-Q378)*Dashboard!$F$6,0)</x:f>
      </x:c>
      <x:c r="S378" s="32" t="e">
        <x:f>IF(A378&lt;=Dashboard!$F$17,MIN(Dashboard!$F$10,MAX(0,P378-Q378)+R378),0)</x:f>
      </x:c>
      <x:c r="T378" s="32" t="e">
        <x:f>IF(A378&lt;=Dashboard!$F$17,MAX(0,P378-Q378-MAX(0,S378-R378)),0)</x:f>
      </x:c>
      <x:c r="U378" s="32" t="e">
        <x:f>IF(A378=1,R378,U377+R378)</x:f>
      </x:c>
      <x:c r="V378" s="32"/>
      <x:c r="W378" s="32" t="e">
        <x:f>IF(A378=1,Dashboard!$F$14,AA377)</x:f>
      </x:c>
      <x:c r="X378" s="32" t="e">
        <x:f>IF(AND(A378&lt;=Dashboard!$F$17,MOD(A378-1,12)=0),MIN(W378,$B$7),0)</x:f>
      </x:c>
      <x:c r="Y378" s="32" t="e">
        <x:f>IF(A378&lt;=Dashboard!$F$17,MAX(0,W378-X378)*Dashboard!$F$6,0)</x:f>
      </x:c>
      <x:c r="Z378" s="32" t="e">
        <x:f>IF(A378&lt;=Dashboard!$F$17,MIN(Dashboard!$F$10,MAX(0,W378-X378)+Y378),0)</x:f>
      </x:c>
      <x:c r="AA378" s="32" t="e">
        <x:f>IF(A378&lt;=Dashboard!$F$17,MAX(0,W378-X378-MAX(0,Z378-Y378)),0)</x:f>
      </x:c>
      <x:c r="AB378" s="32" t="e">
        <x:f>IF(A378=1,Y378,AB377+Y378)</x:f>
      </x:c>
      <x:c r="AC378" s="32"/>
      <x:c r="AD378" s="32" t="e">
        <x:f>IF(A378=1,MAX(0,Dashboard!$F$14-$B$8),AG377)</x:f>
      </x:c>
      <x:c r="AE378" s="32" t="n">
        <x:f>0</x:f>
        <x:v>0</x:v>
      </x:c>
      <x:c r="AF378" s="32" t="e">
        <x:f>IF(A378&lt;=Dashboard!$F$17,AD378*Dashboard!$F$6,0)</x:f>
      </x:c>
      <x:c r="AG378" s="32" t="e">
        <x:f>IF(A378&lt;=Dashboard!$F$17,MIN(Dashboard!$F$10,AD378+AF378),0)</x:f>
      </x:c>
      <x:c r="AH378" s="32" t="e">
        <x:f>IF(A378&lt;=Dashboard!$F$17,MAX(0,AD378-MAX(0,AG378-AF378)),0)</x:f>
      </x:c>
      <x:c r="AI378" s="32" t="e">
        <x:f>IF(A378=1,AF378,AI377+AF378)</x:f>
      </x:c>
      <x:c r="AJ378" s="33"/>
      <x:c r="AK378" s="33"/>
      <x:c r="AL378" s="33"/>
      <x:c r="AM378" s="33"/>
    </x:row>
    <x:row r="379">
      <x:c r="A379" s="33" t="n">
        <x:v>367</x:v>
      </x:c>
      <x:c r="B379" s="32" t="e">
        <x:f>IF(A379=1,Dashboard!$F$14,F378)</x:f>
      </x:c>
      <x:c r="C379" s="32" t="n">
        <x:f>0</x:f>
        <x:v>0</x:v>
      </x:c>
      <x:c r="D379" s="32" t="e">
        <x:f>IF(A379&lt;=Dashboard!$F$15,B379*Dashboard!$F$6,0)</x:f>
      </x:c>
      <x:c r="E379" s="32" t="e">
        <x:f>IF(A379&lt;=Dashboard!$F$15,MIN(Dashboard!$F$10,B379+D379),0)</x:f>
      </x:c>
      <x:c r="F379" s="32" t="e">
        <x:f>IF(A379&lt;=Dashboard!$F$15,MAX(0,B379-MAX(0,E379-D379)),0)</x:f>
      </x:c>
      <x:c r="G379" s="32" t="e">
        <x:f>IF(A379=1,D379,G378+D379)</x:f>
      </x:c>
      <x:c r="H379" s="32"/>
      <x:c r="I379" s="32" t="e">
        <x:f>IF(A379=1,Dashboard!$F$14,M378)</x:f>
      </x:c>
      <x:c r="J379" s="32" t="e">
        <x:f>IF(A379&lt;=Dashboard!$F$17,MIN(I379,$B$5),0)</x:f>
      </x:c>
      <x:c r="K379" s="32" t="e">
        <x:f>IF(A379&lt;=Dashboard!$F$17,MAX(0,I379-J379)*Dashboard!$F$6,0)</x:f>
      </x:c>
      <x:c r="L379" s="32" t="e">
        <x:f>IF(A379&lt;=Dashboard!$F$17,MIN(Dashboard!$F$10,MAX(0,I379-J379)+K379),0)</x:f>
      </x:c>
      <x:c r="M379" s="32" t="e">
        <x:f>IF(A379&lt;=Dashboard!$F$17,MAX(0,I379-J379-MAX(0,L379-K379)),0)</x:f>
      </x:c>
      <x:c r="N379" s="32" t="e">
        <x:f>IF(A379=1,K379,N378+K379)</x:f>
      </x:c>
      <x:c r="O379" s="32"/>
      <x:c r="P379" s="32" t="e">
        <x:f>IF(A379=1,Dashboard!$F$14,T378)</x:f>
      </x:c>
      <x:c r="Q379" s="32" t="e">
        <x:f>IF(A379&lt;=Dashboard!$F$17,MIN(P379,$B$6*52/12),0)</x:f>
      </x:c>
      <x:c r="R379" s="32" t="e">
        <x:f>IF(A379&lt;=Dashboard!$F$17,MAX(0,P379-Q379)*Dashboard!$F$6,0)</x:f>
      </x:c>
      <x:c r="S379" s="32" t="e">
        <x:f>IF(A379&lt;=Dashboard!$F$17,MIN(Dashboard!$F$10,MAX(0,P379-Q379)+R379),0)</x:f>
      </x:c>
      <x:c r="T379" s="32" t="e">
        <x:f>IF(A379&lt;=Dashboard!$F$17,MAX(0,P379-Q379-MAX(0,S379-R379)),0)</x:f>
      </x:c>
      <x:c r="U379" s="32" t="e">
        <x:f>IF(A379=1,R379,U378+R379)</x:f>
      </x:c>
      <x:c r="V379" s="32"/>
      <x:c r="W379" s="32" t="e">
        <x:f>IF(A379=1,Dashboard!$F$14,AA378)</x:f>
      </x:c>
      <x:c r="X379" s="32" t="e">
        <x:f>IF(AND(A379&lt;=Dashboard!$F$17,MOD(A379-1,12)=0),MIN(W379,$B$7),0)</x:f>
      </x:c>
      <x:c r="Y379" s="32" t="e">
        <x:f>IF(A379&lt;=Dashboard!$F$17,MAX(0,W379-X379)*Dashboard!$F$6,0)</x:f>
      </x:c>
      <x:c r="Z379" s="32" t="e">
        <x:f>IF(A379&lt;=Dashboard!$F$17,MIN(Dashboard!$F$10,MAX(0,W379-X379)+Y379),0)</x:f>
      </x:c>
      <x:c r="AA379" s="32" t="e">
        <x:f>IF(A379&lt;=Dashboard!$F$17,MAX(0,W379-X379-MAX(0,Z379-Y379)),0)</x:f>
      </x:c>
      <x:c r="AB379" s="32" t="e">
        <x:f>IF(A379=1,Y379,AB378+Y379)</x:f>
      </x:c>
      <x:c r="AC379" s="32"/>
      <x:c r="AD379" s="32" t="e">
        <x:f>IF(A379=1,MAX(0,Dashboard!$F$14-$B$8),AG378)</x:f>
      </x:c>
      <x:c r="AE379" s="32" t="n">
        <x:f>0</x:f>
        <x:v>0</x:v>
      </x:c>
      <x:c r="AF379" s="32" t="e">
        <x:f>IF(A379&lt;=Dashboard!$F$17,AD379*Dashboard!$F$6,0)</x:f>
      </x:c>
      <x:c r="AG379" s="32" t="e">
        <x:f>IF(A379&lt;=Dashboard!$F$17,MIN(Dashboard!$F$10,AD379+AF379),0)</x:f>
      </x:c>
      <x:c r="AH379" s="32" t="e">
        <x:f>IF(A379&lt;=Dashboard!$F$17,MAX(0,AD379-MAX(0,AG379-AF379)),0)</x:f>
      </x:c>
      <x:c r="AI379" s="32" t="e">
        <x:f>IF(A379=1,AF379,AI378+AF379)</x:f>
      </x:c>
      <x:c r="AJ379" s="33"/>
      <x:c r="AK379" s="33"/>
      <x:c r="AL379" s="33"/>
      <x:c r="AM379" s="33"/>
    </x:row>
    <x:row r="380">
      <x:c r="A380" s="33" t="n">
        <x:v>368</x:v>
      </x:c>
      <x:c r="B380" s="32" t="e">
        <x:f>IF(A380=1,Dashboard!$F$14,F379)</x:f>
      </x:c>
      <x:c r="C380" s="32" t="n">
        <x:f>0</x:f>
        <x:v>0</x:v>
      </x:c>
      <x:c r="D380" s="32" t="e">
        <x:f>IF(A380&lt;=Dashboard!$F$15,B380*Dashboard!$F$6,0)</x:f>
      </x:c>
      <x:c r="E380" s="32" t="e">
        <x:f>IF(A380&lt;=Dashboard!$F$15,MIN(Dashboard!$F$10,B380+D380),0)</x:f>
      </x:c>
      <x:c r="F380" s="32" t="e">
        <x:f>IF(A380&lt;=Dashboard!$F$15,MAX(0,B380-MAX(0,E380-D380)),0)</x:f>
      </x:c>
      <x:c r="G380" s="32" t="e">
        <x:f>IF(A380=1,D380,G379+D380)</x:f>
      </x:c>
      <x:c r="H380" s="32"/>
      <x:c r="I380" s="32" t="e">
        <x:f>IF(A380=1,Dashboard!$F$14,M379)</x:f>
      </x:c>
      <x:c r="J380" s="32" t="e">
        <x:f>IF(A380&lt;=Dashboard!$F$17,MIN(I380,$B$5),0)</x:f>
      </x:c>
      <x:c r="K380" s="32" t="e">
        <x:f>IF(A380&lt;=Dashboard!$F$17,MAX(0,I380-J380)*Dashboard!$F$6,0)</x:f>
      </x:c>
      <x:c r="L380" s="32" t="e">
        <x:f>IF(A380&lt;=Dashboard!$F$17,MIN(Dashboard!$F$10,MAX(0,I380-J380)+K380),0)</x:f>
      </x:c>
      <x:c r="M380" s="32" t="e">
        <x:f>IF(A380&lt;=Dashboard!$F$17,MAX(0,I380-J380-MAX(0,L380-K380)),0)</x:f>
      </x:c>
      <x:c r="N380" s="32" t="e">
        <x:f>IF(A380=1,K380,N379+K380)</x:f>
      </x:c>
      <x:c r="O380" s="32"/>
      <x:c r="P380" s="32" t="e">
        <x:f>IF(A380=1,Dashboard!$F$14,T379)</x:f>
      </x:c>
      <x:c r="Q380" s="32" t="e">
        <x:f>IF(A380&lt;=Dashboard!$F$17,MIN(P380,$B$6*52/12),0)</x:f>
      </x:c>
      <x:c r="R380" s="32" t="e">
        <x:f>IF(A380&lt;=Dashboard!$F$17,MAX(0,P380-Q380)*Dashboard!$F$6,0)</x:f>
      </x:c>
      <x:c r="S380" s="32" t="e">
        <x:f>IF(A380&lt;=Dashboard!$F$17,MIN(Dashboard!$F$10,MAX(0,P380-Q380)+R380),0)</x:f>
      </x:c>
      <x:c r="T380" s="32" t="e">
        <x:f>IF(A380&lt;=Dashboard!$F$17,MAX(0,P380-Q380-MAX(0,S380-R380)),0)</x:f>
      </x:c>
      <x:c r="U380" s="32" t="e">
        <x:f>IF(A380=1,R380,U379+R380)</x:f>
      </x:c>
      <x:c r="V380" s="32"/>
      <x:c r="W380" s="32" t="e">
        <x:f>IF(A380=1,Dashboard!$F$14,AA379)</x:f>
      </x:c>
      <x:c r="X380" s="32" t="e">
        <x:f>IF(AND(A380&lt;=Dashboard!$F$17,MOD(A380-1,12)=0),MIN(W380,$B$7),0)</x:f>
      </x:c>
      <x:c r="Y380" s="32" t="e">
        <x:f>IF(A380&lt;=Dashboard!$F$17,MAX(0,W380-X380)*Dashboard!$F$6,0)</x:f>
      </x:c>
      <x:c r="Z380" s="32" t="e">
        <x:f>IF(A380&lt;=Dashboard!$F$17,MIN(Dashboard!$F$10,MAX(0,W380-X380)+Y380),0)</x:f>
      </x:c>
      <x:c r="AA380" s="32" t="e">
        <x:f>IF(A380&lt;=Dashboard!$F$17,MAX(0,W380-X380-MAX(0,Z380-Y380)),0)</x:f>
      </x:c>
      <x:c r="AB380" s="32" t="e">
        <x:f>IF(A380=1,Y380,AB379+Y380)</x:f>
      </x:c>
      <x:c r="AC380" s="32"/>
      <x:c r="AD380" s="32" t="e">
        <x:f>IF(A380=1,MAX(0,Dashboard!$F$14-$B$8),AG379)</x:f>
      </x:c>
      <x:c r="AE380" s="32" t="n">
        <x:f>0</x:f>
        <x:v>0</x:v>
      </x:c>
      <x:c r="AF380" s="32" t="e">
        <x:f>IF(A380&lt;=Dashboard!$F$17,AD380*Dashboard!$F$6,0)</x:f>
      </x:c>
      <x:c r="AG380" s="32" t="e">
        <x:f>IF(A380&lt;=Dashboard!$F$17,MIN(Dashboard!$F$10,AD380+AF380),0)</x:f>
      </x:c>
      <x:c r="AH380" s="32" t="e">
        <x:f>IF(A380&lt;=Dashboard!$F$17,MAX(0,AD380-MAX(0,AG380-AF380)),0)</x:f>
      </x:c>
      <x:c r="AI380" s="32" t="e">
        <x:f>IF(A380=1,AF380,AI379+AF380)</x:f>
      </x:c>
      <x:c r="AJ380" s="33"/>
      <x:c r="AK380" s="33"/>
      <x:c r="AL380" s="33"/>
      <x:c r="AM380" s="33"/>
    </x:row>
    <x:row r="381">
      <x:c r="A381" s="33" t="n">
        <x:v>369</x:v>
      </x:c>
      <x:c r="B381" s="32" t="e">
        <x:f>IF(A381=1,Dashboard!$F$14,F380)</x:f>
      </x:c>
      <x:c r="C381" s="32" t="n">
        <x:f>0</x:f>
        <x:v>0</x:v>
      </x:c>
      <x:c r="D381" s="32" t="e">
        <x:f>IF(A381&lt;=Dashboard!$F$15,B381*Dashboard!$F$6,0)</x:f>
      </x:c>
      <x:c r="E381" s="32" t="e">
        <x:f>IF(A381&lt;=Dashboard!$F$15,MIN(Dashboard!$F$10,B381+D381),0)</x:f>
      </x:c>
      <x:c r="F381" s="32" t="e">
        <x:f>IF(A381&lt;=Dashboard!$F$15,MAX(0,B381-MAX(0,E381-D381)),0)</x:f>
      </x:c>
      <x:c r="G381" s="32" t="e">
        <x:f>IF(A381=1,D381,G380+D381)</x:f>
      </x:c>
      <x:c r="H381" s="32"/>
      <x:c r="I381" s="32" t="e">
        <x:f>IF(A381=1,Dashboard!$F$14,M380)</x:f>
      </x:c>
      <x:c r="J381" s="32" t="e">
        <x:f>IF(A381&lt;=Dashboard!$F$17,MIN(I381,$B$5),0)</x:f>
      </x:c>
      <x:c r="K381" s="32" t="e">
        <x:f>IF(A381&lt;=Dashboard!$F$17,MAX(0,I381-J381)*Dashboard!$F$6,0)</x:f>
      </x:c>
      <x:c r="L381" s="32" t="e">
        <x:f>IF(A381&lt;=Dashboard!$F$17,MIN(Dashboard!$F$10,MAX(0,I381-J381)+K381),0)</x:f>
      </x:c>
      <x:c r="M381" s="32" t="e">
        <x:f>IF(A381&lt;=Dashboard!$F$17,MAX(0,I381-J381-MAX(0,L381-K381)),0)</x:f>
      </x:c>
      <x:c r="N381" s="32" t="e">
        <x:f>IF(A381=1,K381,N380+K381)</x:f>
      </x:c>
      <x:c r="O381" s="32"/>
      <x:c r="P381" s="32" t="e">
        <x:f>IF(A381=1,Dashboard!$F$14,T380)</x:f>
      </x:c>
      <x:c r="Q381" s="32" t="e">
        <x:f>IF(A381&lt;=Dashboard!$F$17,MIN(P381,$B$6*52/12),0)</x:f>
      </x:c>
      <x:c r="R381" s="32" t="e">
        <x:f>IF(A381&lt;=Dashboard!$F$17,MAX(0,P381-Q381)*Dashboard!$F$6,0)</x:f>
      </x:c>
      <x:c r="S381" s="32" t="e">
        <x:f>IF(A381&lt;=Dashboard!$F$17,MIN(Dashboard!$F$10,MAX(0,P381-Q381)+R381),0)</x:f>
      </x:c>
      <x:c r="T381" s="32" t="e">
        <x:f>IF(A381&lt;=Dashboard!$F$17,MAX(0,P381-Q381-MAX(0,S381-R381)),0)</x:f>
      </x:c>
      <x:c r="U381" s="32" t="e">
        <x:f>IF(A381=1,R381,U380+R381)</x:f>
      </x:c>
      <x:c r="V381" s="32"/>
      <x:c r="W381" s="32" t="e">
        <x:f>IF(A381=1,Dashboard!$F$14,AA380)</x:f>
      </x:c>
      <x:c r="X381" s="32" t="e">
        <x:f>IF(AND(A381&lt;=Dashboard!$F$17,MOD(A381-1,12)=0),MIN(W381,$B$7),0)</x:f>
      </x:c>
      <x:c r="Y381" s="32" t="e">
        <x:f>IF(A381&lt;=Dashboard!$F$17,MAX(0,W381-X381)*Dashboard!$F$6,0)</x:f>
      </x:c>
      <x:c r="Z381" s="32" t="e">
        <x:f>IF(A381&lt;=Dashboard!$F$17,MIN(Dashboard!$F$10,MAX(0,W381-X381)+Y381),0)</x:f>
      </x:c>
      <x:c r="AA381" s="32" t="e">
        <x:f>IF(A381&lt;=Dashboard!$F$17,MAX(0,W381-X381-MAX(0,Z381-Y381)),0)</x:f>
      </x:c>
      <x:c r="AB381" s="32" t="e">
        <x:f>IF(A381=1,Y381,AB380+Y381)</x:f>
      </x:c>
      <x:c r="AC381" s="32"/>
      <x:c r="AD381" s="32" t="e">
        <x:f>IF(A381=1,MAX(0,Dashboard!$F$14-$B$8),AG380)</x:f>
      </x:c>
      <x:c r="AE381" s="32" t="n">
        <x:f>0</x:f>
        <x:v>0</x:v>
      </x:c>
      <x:c r="AF381" s="32" t="e">
        <x:f>IF(A381&lt;=Dashboard!$F$17,AD381*Dashboard!$F$6,0)</x:f>
      </x:c>
      <x:c r="AG381" s="32" t="e">
        <x:f>IF(A381&lt;=Dashboard!$F$17,MIN(Dashboard!$F$10,AD381+AF381),0)</x:f>
      </x:c>
      <x:c r="AH381" s="32" t="e">
        <x:f>IF(A381&lt;=Dashboard!$F$17,MAX(0,AD381-MAX(0,AG381-AF381)),0)</x:f>
      </x:c>
      <x:c r="AI381" s="32" t="e">
        <x:f>IF(A381=1,AF381,AI380+AF381)</x:f>
      </x:c>
      <x:c r="AJ381" s="33"/>
      <x:c r="AK381" s="33"/>
      <x:c r="AL381" s="33"/>
      <x:c r="AM381" s="33"/>
    </x:row>
    <x:row r="382">
      <x:c r="A382" s="33" t="n">
        <x:v>370</x:v>
      </x:c>
      <x:c r="B382" s="32" t="e">
        <x:f>IF(A382=1,Dashboard!$F$14,F381)</x:f>
      </x:c>
      <x:c r="C382" s="32" t="n">
        <x:f>0</x:f>
        <x:v>0</x:v>
      </x:c>
      <x:c r="D382" s="32" t="e">
        <x:f>IF(A382&lt;=Dashboard!$F$15,B382*Dashboard!$F$6,0)</x:f>
      </x:c>
      <x:c r="E382" s="32" t="e">
        <x:f>IF(A382&lt;=Dashboard!$F$15,MIN(Dashboard!$F$10,B382+D382),0)</x:f>
      </x:c>
      <x:c r="F382" s="32" t="e">
        <x:f>IF(A382&lt;=Dashboard!$F$15,MAX(0,B382-MAX(0,E382-D382)),0)</x:f>
      </x:c>
      <x:c r="G382" s="32" t="e">
        <x:f>IF(A382=1,D382,G381+D382)</x:f>
      </x:c>
      <x:c r="H382" s="32"/>
      <x:c r="I382" s="32" t="e">
        <x:f>IF(A382=1,Dashboard!$F$14,M381)</x:f>
      </x:c>
      <x:c r="J382" s="32" t="e">
        <x:f>IF(A382&lt;=Dashboard!$F$17,MIN(I382,$B$5),0)</x:f>
      </x:c>
      <x:c r="K382" s="32" t="e">
        <x:f>IF(A382&lt;=Dashboard!$F$17,MAX(0,I382-J382)*Dashboard!$F$6,0)</x:f>
      </x:c>
      <x:c r="L382" s="32" t="e">
        <x:f>IF(A382&lt;=Dashboard!$F$17,MIN(Dashboard!$F$10,MAX(0,I382-J382)+K382),0)</x:f>
      </x:c>
      <x:c r="M382" s="32" t="e">
        <x:f>IF(A382&lt;=Dashboard!$F$17,MAX(0,I382-J382-MAX(0,L382-K382)),0)</x:f>
      </x:c>
      <x:c r="N382" s="32" t="e">
        <x:f>IF(A382=1,K382,N381+K382)</x:f>
      </x:c>
      <x:c r="O382" s="32"/>
      <x:c r="P382" s="32" t="e">
        <x:f>IF(A382=1,Dashboard!$F$14,T381)</x:f>
      </x:c>
      <x:c r="Q382" s="32" t="e">
        <x:f>IF(A382&lt;=Dashboard!$F$17,MIN(P382,$B$6*52/12),0)</x:f>
      </x:c>
      <x:c r="R382" s="32" t="e">
        <x:f>IF(A382&lt;=Dashboard!$F$17,MAX(0,P382-Q382)*Dashboard!$F$6,0)</x:f>
      </x:c>
      <x:c r="S382" s="32" t="e">
        <x:f>IF(A382&lt;=Dashboard!$F$17,MIN(Dashboard!$F$10,MAX(0,P382-Q382)+R382),0)</x:f>
      </x:c>
      <x:c r="T382" s="32" t="e">
        <x:f>IF(A382&lt;=Dashboard!$F$17,MAX(0,P382-Q382-MAX(0,S382-R382)),0)</x:f>
      </x:c>
      <x:c r="U382" s="32" t="e">
        <x:f>IF(A382=1,R382,U381+R382)</x:f>
      </x:c>
      <x:c r="V382" s="32"/>
      <x:c r="W382" s="32" t="e">
        <x:f>IF(A382=1,Dashboard!$F$14,AA381)</x:f>
      </x:c>
      <x:c r="X382" s="32" t="e">
        <x:f>IF(AND(A382&lt;=Dashboard!$F$17,MOD(A382-1,12)=0),MIN(W382,$B$7),0)</x:f>
      </x:c>
      <x:c r="Y382" s="32" t="e">
        <x:f>IF(A382&lt;=Dashboard!$F$17,MAX(0,W382-X382)*Dashboard!$F$6,0)</x:f>
      </x:c>
      <x:c r="Z382" s="32" t="e">
        <x:f>IF(A382&lt;=Dashboard!$F$17,MIN(Dashboard!$F$10,MAX(0,W382-X382)+Y382),0)</x:f>
      </x:c>
      <x:c r="AA382" s="32" t="e">
        <x:f>IF(A382&lt;=Dashboard!$F$17,MAX(0,W382-X382-MAX(0,Z382-Y382)),0)</x:f>
      </x:c>
      <x:c r="AB382" s="32" t="e">
        <x:f>IF(A382=1,Y382,AB381+Y382)</x:f>
      </x:c>
      <x:c r="AC382" s="32"/>
      <x:c r="AD382" s="32" t="e">
        <x:f>IF(A382=1,MAX(0,Dashboard!$F$14-$B$8),AG381)</x:f>
      </x:c>
      <x:c r="AE382" s="32" t="n">
        <x:f>0</x:f>
        <x:v>0</x:v>
      </x:c>
      <x:c r="AF382" s="32" t="e">
        <x:f>IF(A382&lt;=Dashboard!$F$17,AD382*Dashboard!$F$6,0)</x:f>
      </x:c>
      <x:c r="AG382" s="32" t="e">
        <x:f>IF(A382&lt;=Dashboard!$F$17,MIN(Dashboard!$F$10,AD382+AF382),0)</x:f>
      </x:c>
      <x:c r="AH382" s="32" t="e">
        <x:f>IF(A382&lt;=Dashboard!$F$17,MAX(0,AD382-MAX(0,AG382-AF382)),0)</x:f>
      </x:c>
      <x:c r="AI382" s="32" t="e">
        <x:f>IF(A382=1,AF382,AI381+AF382)</x:f>
      </x:c>
      <x:c r="AJ382" s="33"/>
      <x:c r="AK382" s="33"/>
      <x:c r="AL382" s="33"/>
      <x:c r="AM382" s="33"/>
    </x:row>
    <x:row r="383">
      <x:c r="A383" s="33" t="n">
        <x:v>371</x:v>
      </x:c>
      <x:c r="B383" s="32" t="e">
        <x:f>IF(A383=1,Dashboard!$F$14,F382)</x:f>
      </x:c>
      <x:c r="C383" s="32" t="n">
        <x:f>0</x:f>
        <x:v>0</x:v>
      </x:c>
      <x:c r="D383" s="32" t="e">
        <x:f>IF(A383&lt;=Dashboard!$F$15,B383*Dashboard!$F$6,0)</x:f>
      </x:c>
      <x:c r="E383" s="32" t="e">
        <x:f>IF(A383&lt;=Dashboard!$F$15,MIN(Dashboard!$F$10,B383+D383),0)</x:f>
      </x:c>
      <x:c r="F383" s="32" t="e">
        <x:f>IF(A383&lt;=Dashboard!$F$15,MAX(0,B383-MAX(0,E383-D383)),0)</x:f>
      </x:c>
      <x:c r="G383" s="32" t="e">
        <x:f>IF(A383=1,D383,G382+D383)</x:f>
      </x:c>
      <x:c r="H383" s="32"/>
      <x:c r="I383" s="32" t="e">
        <x:f>IF(A383=1,Dashboard!$F$14,M382)</x:f>
      </x:c>
      <x:c r="J383" s="32" t="e">
        <x:f>IF(A383&lt;=Dashboard!$F$17,MIN(I383,$B$5),0)</x:f>
      </x:c>
      <x:c r="K383" s="32" t="e">
        <x:f>IF(A383&lt;=Dashboard!$F$17,MAX(0,I383-J383)*Dashboard!$F$6,0)</x:f>
      </x:c>
      <x:c r="L383" s="32" t="e">
        <x:f>IF(A383&lt;=Dashboard!$F$17,MIN(Dashboard!$F$10,MAX(0,I383-J383)+K383),0)</x:f>
      </x:c>
      <x:c r="M383" s="32" t="e">
        <x:f>IF(A383&lt;=Dashboard!$F$17,MAX(0,I383-J383-MAX(0,L383-K383)),0)</x:f>
      </x:c>
      <x:c r="N383" s="32" t="e">
        <x:f>IF(A383=1,K383,N382+K383)</x:f>
      </x:c>
      <x:c r="O383" s="32"/>
      <x:c r="P383" s="32" t="e">
        <x:f>IF(A383=1,Dashboard!$F$14,T382)</x:f>
      </x:c>
      <x:c r="Q383" s="32" t="e">
        <x:f>IF(A383&lt;=Dashboard!$F$17,MIN(P383,$B$6*52/12),0)</x:f>
      </x:c>
      <x:c r="R383" s="32" t="e">
        <x:f>IF(A383&lt;=Dashboard!$F$17,MAX(0,P383-Q383)*Dashboard!$F$6,0)</x:f>
      </x:c>
      <x:c r="S383" s="32" t="e">
        <x:f>IF(A383&lt;=Dashboard!$F$17,MIN(Dashboard!$F$10,MAX(0,P383-Q383)+R383),0)</x:f>
      </x:c>
      <x:c r="T383" s="32" t="e">
        <x:f>IF(A383&lt;=Dashboard!$F$17,MAX(0,P383-Q383-MAX(0,S383-R383)),0)</x:f>
      </x:c>
      <x:c r="U383" s="32" t="e">
        <x:f>IF(A383=1,R383,U382+R383)</x:f>
      </x:c>
      <x:c r="V383" s="32"/>
      <x:c r="W383" s="32" t="e">
        <x:f>IF(A383=1,Dashboard!$F$14,AA382)</x:f>
      </x:c>
      <x:c r="X383" s="32" t="e">
        <x:f>IF(AND(A383&lt;=Dashboard!$F$17,MOD(A383-1,12)=0),MIN(W383,$B$7),0)</x:f>
      </x:c>
      <x:c r="Y383" s="32" t="e">
        <x:f>IF(A383&lt;=Dashboard!$F$17,MAX(0,W383-X383)*Dashboard!$F$6,0)</x:f>
      </x:c>
      <x:c r="Z383" s="32" t="e">
        <x:f>IF(A383&lt;=Dashboard!$F$17,MIN(Dashboard!$F$10,MAX(0,W383-X383)+Y383),0)</x:f>
      </x:c>
      <x:c r="AA383" s="32" t="e">
        <x:f>IF(A383&lt;=Dashboard!$F$17,MAX(0,W383-X383-MAX(0,Z383-Y383)),0)</x:f>
      </x:c>
      <x:c r="AB383" s="32" t="e">
        <x:f>IF(A383=1,Y383,AB382+Y383)</x:f>
      </x:c>
      <x:c r="AC383" s="32"/>
      <x:c r="AD383" s="32" t="e">
        <x:f>IF(A383=1,MAX(0,Dashboard!$F$14-$B$8),AG382)</x:f>
      </x:c>
      <x:c r="AE383" s="32" t="n">
        <x:f>0</x:f>
        <x:v>0</x:v>
      </x:c>
      <x:c r="AF383" s="32" t="e">
        <x:f>IF(A383&lt;=Dashboard!$F$17,AD383*Dashboard!$F$6,0)</x:f>
      </x:c>
      <x:c r="AG383" s="32" t="e">
        <x:f>IF(A383&lt;=Dashboard!$F$17,MIN(Dashboard!$F$10,AD383+AF383),0)</x:f>
      </x:c>
      <x:c r="AH383" s="32" t="e">
        <x:f>IF(A383&lt;=Dashboard!$F$17,MAX(0,AD383-MAX(0,AG383-AF383)),0)</x:f>
      </x:c>
      <x:c r="AI383" s="32" t="e">
        <x:f>IF(A383=1,AF383,AI382+AF383)</x:f>
      </x:c>
      <x:c r="AJ383" s="33"/>
      <x:c r="AK383" s="33"/>
      <x:c r="AL383" s="33"/>
      <x:c r="AM383" s="33"/>
    </x:row>
    <x:row r="384">
      <x:c r="A384" s="33" t="n">
        <x:v>372</x:v>
      </x:c>
      <x:c r="B384" s="32" t="e">
        <x:f>IF(A384=1,Dashboard!$F$14,F383)</x:f>
      </x:c>
      <x:c r="C384" s="32" t="n">
        <x:f>0</x:f>
        <x:v>0</x:v>
      </x:c>
      <x:c r="D384" s="32" t="e">
        <x:f>IF(A384&lt;=Dashboard!$F$15,B384*Dashboard!$F$6,0)</x:f>
      </x:c>
      <x:c r="E384" s="32" t="e">
        <x:f>IF(A384&lt;=Dashboard!$F$15,MIN(Dashboard!$F$10,B384+D384),0)</x:f>
      </x:c>
      <x:c r="F384" s="32" t="e">
        <x:f>IF(A384&lt;=Dashboard!$F$15,MAX(0,B384-MAX(0,E384-D384)),0)</x:f>
      </x:c>
      <x:c r="G384" s="32" t="e">
        <x:f>IF(A384=1,D384,G383+D384)</x:f>
      </x:c>
      <x:c r="H384" s="32"/>
      <x:c r="I384" s="32" t="e">
        <x:f>IF(A384=1,Dashboard!$F$14,M383)</x:f>
      </x:c>
      <x:c r="J384" s="32" t="e">
        <x:f>IF(A384&lt;=Dashboard!$F$17,MIN(I384,$B$5),0)</x:f>
      </x:c>
      <x:c r="K384" s="32" t="e">
        <x:f>IF(A384&lt;=Dashboard!$F$17,MAX(0,I384-J384)*Dashboard!$F$6,0)</x:f>
      </x:c>
      <x:c r="L384" s="32" t="e">
        <x:f>IF(A384&lt;=Dashboard!$F$17,MIN(Dashboard!$F$10,MAX(0,I384-J384)+K384),0)</x:f>
      </x:c>
      <x:c r="M384" s="32" t="e">
        <x:f>IF(A384&lt;=Dashboard!$F$17,MAX(0,I384-J384-MAX(0,L384-K384)),0)</x:f>
      </x:c>
      <x:c r="N384" s="32" t="e">
        <x:f>IF(A384=1,K384,N383+K384)</x:f>
      </x:c>
      <x:c r="O384" s="32"/>
      <x:c r="P384" s="32" t="e">
        <x:f>IF(A384=1,Dashboard!$F$14,T383)</x:f>
      </x:c>
      <x:c r="Q384" s="32" t="e">
        <x:f>IF(A384&lt;=Dashboard!$F$17,MIN(P384,$B$6*52/12),0)</x:f>
      </x:c>
      <x:c r="R384" s="32" t="e">
        <x:f>IF(A384&lt;=Dashboard!$F$17,MAX(0,P384-Q384)*Dashboard!$F$6,0)</x:f>
      </x:c>
      <x:c r="S384" s="32" t="e">
        <x:f>IF(A384&lt;=Dashboard!$F$17,MIN(Dashboard!$F$10,MAX(0,P384-Q384)+R384),0)</x:f>
      </x:c>
      <x:c r="T384" s="32" t="e">
        <x:f>IF(A384&lt;=Dashboard!$F$17,MAX(0,P384-Q384-MAX(0,S384-R384)),0)</x:f>
      </x:c>
      <x:c r="U384" s="32" t="e">
        <x:f>IF(A384=1,R384,U383+R384)</x:f>
      </x:c>
      <x:c r="V384" s="32"/>
      <x:c r="W384" s="32" t="e">
        <x:f>IF(A384=1,Dashboard!$F$14,AA383)</x:f>
      </x:c>
      <x:c r="X384" s="32" t="e">
        <x:f>IF(AND(A384&lt;=Dashboard!$F$17,MOD(A384-1,12)=0),MIN(W384,$B$7),0)</x:f>
      </x:c>
      <x:c r="Y384" s="32" t="e">
        <x:f>IF(A384&lt;=Dashboard!$F$17,MAX(0,W384-X384)*Dashboard!$F$6,0)</x:f>
      </x:c>
      <x:c r="Z384" s="32" t="e">
        <x:f>IF(A384&lt;=Dashboard!$F$17,MIN(Dashboard!$F$10,MAX(0,W384-X384)+Y384),0)</x:f>
      </x:c>
      <x:c r="AA384" s="32" t="e">
        <x:f>IF(A384&lt;=Dashboard!$F$17,MAX(0,W384-X384-MAX(0,Z384-Y384)),0)</x:f>
      </x:c>
      <x:c r="AB384" s="32" t="e">
        <x:f>IF(A384=1,Y384,AB383+Y384)</x:f>
      </x:c>
      <x:c r="AC384" s="32"/>
      <x:c r="AD384" s="32" t="e">
        <x:f>IF(A384=1,MAX(0,Dashboard!$F$14-$B$8),AG383)</x:f>
      </x:c>
      <x:c r="AE384" s="32" t="n">
        <x:f>0</x:f>
        <x:v>0</x:v>
      </x:c>
      <x:c r="AF384" s="32" t="e">
        <x:f>IF(A384&lt;=Dashboard!$F$17,AD384*Dashboard!$F$6,0)</x:f>
      </x:c>
      <x:c r="AG384" s="32" t="e">
        <x:f>IF(A384&lt;=Dashboard!$F$17,MIN(Dashboard!$F$10,AD384+AF384),0)</x:f>
      </x:c>
      <x:c r="AH384" s="32" t="e">
        <x:f>IF(A384&lt;=Dashboard!$F$17,MAX(0,AD384-MAX(0,AG384-AF384)),0)</x:f>
      </x:c>
      <x:c r="AI384" s="32" t="e">
        <x:f>IF(A384=1,AF384,AI383+AF384)</x:f>
      </x:c>
      <x:c r="AJ384" s="33"/>
      <x:c r="AK384" s="33"/>
      <x:c r="AL384" s="33"/>
      <x:c r="AM384" s="33"/>
    </x:row>
    <x:row r="385">
      <x:c r="A385" s="33" t="n">
        <x:v>373</x:v>
      </x:c>
      <x:c r="B385" s="32" t="e">
        <x:f>IF(A385=1,Dashboard!$F$14,F384)</x:f>
      </x:c>
      <x:c r="C385" s="32" t="n">
        <x:f>0</x:f>
        <x:v>0</x:v>
      </x:c>
      <x:c r="D385" s="32" t="e">
        <x:f>IF(A385&lt;=Dashboard!$F$15,B385*Dashboard!$F$6,0)</x:f>
      </x:c>
      <x:c r="E385" s="32" t="e">
        <x:f>IF(A385&lt;=Dashboard!$F$15,MIN(Dashboard!$F$10,B385+D385),0)</x:f>
      </x:c>
      <x:c r="F385" s="32" t="e">
        <x:f>IF(A385&lt;=Dashboard!$F$15,MAX(0,B385-MAX(0,E385-D385)),0)</x:f>
      </x:c>
      <x:c r="G385" s="32" t="e">
        <x:f>IF(A385=1,D385,G384+D385)</x:f>
      </x:c>
      <x:c r="H385" s="32"/>
      <x:c r="I385" s="32" t="e">
        <x:f>IF(A385=1,Dashboard!$F$14,M384)</x:f>
      </x:c>
      <x:c r="J385" s="32" t="e">
        <x:f>IF(A385&lt;=Dashboard!$F$17,MIN(I385,$B$5),0)</x:f>
      </x:c>
      <x:c r="K385" s="32" t="e">
        <x:f>IF(A385&lt;=Dashboard!$F$17,MAX(0,I385-J385)*Dashboard!$F$6,0)</x:f>
      </x:c>
      <x:c r="L385" s="32" t="e">
        <x:f>IF(A385&lt;=Dashboard!$F$17,MIN(Dashboard!$F$10,MAX(0,I385-J385)+K385),0)</x:f>
      </x:c>
      <x:c r="M385" s="32" t="e">
        <x:f>IF(A385&lt;=Dashboard!$F$17,MAX(0,I385-J385-MAX(0,L385-K385)),0)</x:f>
      </x:c>
      <x:c r="N385" s="32" t="e">
        <x:f>IF(A385=1,K385,N384+K385)</x:f>
      </x:c>
      <x:c r="O385" s="32"/>
      <x:c r="P385" s="32" t="e">
        <x:f>IF(A385=1,Dashboard!$F$14,T384)</x:f>
      </x:c>
      <x:c r="Q385" s="32" t="e">
        <x:f>IF(A385&lt;=Dashboard!$F$17,MIN(P385,$B$6*52/12),0)</x:f>
      </x:c>
      <x:c r="R385" s="32" t="e">
        <x:f>IF(A385&lt;=Dashboard!$F$17,MAX(0,P385-Q385)*Dashboard!$F$6,0)</x:f>
      </x:c>
      <x:c r="S385" s="32" t="e">
        <x:f>IF(A385&lt;=Dashboard!$F$17,MIN(Dashboard!$F$10,MAX(0,P385-Q385)+R385),0)</x:f>
      </x:c>
      <x:c r="T385" s="32" t="e">
        <x:f>IF(A385&lt;=Dashboard!$F$17,MAX(0,P385-Q385-MAX(0,S385-R385)),0)</x:f>
      </x:c>
      <x:c r="U385" s="32" t="e">
        <x:f>IF(A385=1,R385,U384+R385)</x:f>
      </x:c>
      <x:c r="V385" s="32"/>
      <x:c r="W385" s="32" t="e">
        <x:f>IF(A385=1,Dashboard!$F$14,AA384)</x:f>
      </x:c>
      <x:c r="X385" s="32" t="e">
        <x:f>IF(AND(A385&lt;=Dashboard!$F$17,MOD(A385-1,12)=0),MIN(W385,$B$7),0)</x:f>
      </x:c>
      <x:c r="Y385" s="32" t="e">
        <x:f>IF(A385&lt;=Dashboard!$F$17,MAX(0,W385-X385)*Dashboard!$F$6,0)</x:f>
      </x:c>
      <x:c r="Z385" s="32" t="e">
        <x:f>IF(A385&lt;=Dashboard!$F$17,MIN(Dashboard!$F$10,MAX(0,W385-X385)+Y385),0)</x:f>
      </x:c>
      <x:c r="AA385" s="32" t="e">
        <x:f>IF(A385&lt;=Dashboard!$F$17,MAX(0,W385-X385-MAX(0,Z385-Y385)),0)</x:f>
      </x:c>
      <x:c r="AB385" s="32" t="e">
        <x:f>IF(A385=1,Y385,AB384+Y385)</x:f>
      </x:c>
      <x:c r="AC385" s="32"/>
      <x:c r="AD385" s="32" t="e">
        <x:f>IF(A385=1,MAX(0,Dashboard!$F$14-$B$8),AG384)</x:f>
      </x:c>
      <x:c r="AE385" s="32" t="n">
        <x:f>0</x:f>
        <x:v>0</x:v>
      </x:c>
      <x:c r="AF385" s="32" t="e">
        <x:f>IF(A385&lt;=Dashboard!$F$17,AD385*Dashboard!$F$6,0)</x:f>
      </x:c>
      <x:c r="AG385" s="32" t="e">
        <x:f>IF(A385&lt;=Dashboard!$F$17,MIN(Dashboard!$F$10,AD385+AF385),0)</x:f>
      </x:c>
      <x:c r="AH385" s="32" t="e">
        <x:f>IF(A385&lt;=Dashboard!$F$17,MAX(0,AD385-MAX(0,AG385-AF385)),0)</x:f>
      </x:c>
      <x:c r="AI385" s="32" t="e">
        <x:f>IF(A385=1,AF385,AI384+AF385)</x:f>
      </x:c>
      <x:c r="AJ385" s="33"/>
      <x:c r="AK385" s="33"/>
      <x:c r="AL385" s="33"/>
      <x:c r="AM385" s="33"/>
    </x:row>
    <x:row r="386">
      <x:c r="A386" s="33" t="n">
        <x:v>374</x:v>
      </x:c>
      <x:c r="B386" s="32" t="e">
        <x:f>IF(A386=1,Dashboard!$F$14,F385)</x:f>
      </x:c>
      <x:c r="C386" s="32" t="n">
        <x:f>0</x:f>
        <x:v>0</x:v>
      </x:c>
      <x:c r="D386" s="32" t="e">
        <x:f>IF(A386&lt;=Dashboard!$F$15,B386*Dashboard!$F$6,0)</x:f>
      </x:c>
      <x:c r="E386" s="32" t="e">
        <x:f>IF(A386&lt;=Dashboard!$F$15,MIN(Dashboard!$F$10,B386+D386),0)</x:f>
      </x:c>
      <x:c r="F386" s="32" t="e">
        <x:f>IF(A386&lt;=Dashboard!$F$15,MAX(0,B386-MAX(0,E386-D386)),0)</x:f>
      </x:c>
      <x:c r="G386" s="32" t="e">
        <x:f>IF(A386=1,D386,G385+D386)</x:f>
      </x:c>
      <x:c r="H386" s="32"/>
      <x:c r="I386" s="32" t="e">
        <x:f>IF(A386=1,Dashboard!$F$14,M385)</x:f>
      </x:c>
      <x:c r="J386" s="32" t="e">
        <x:f>IF(A386&lt;=Dashboard!$F$17,MIN(I386,$B$5),0)</x:f>
      </x:c>
      <x:c r="K386" s="32" t="e">
        <x:f>IF(A386&lt;=Dashboard!$F$17,MAX(0,I386-J386)*Dashboard!$F$6,0)</x:f>
      </x:c>
      <x:c r="L386" s="32" t="e">
        <x:f>IF(A386&lt;=Dashboard!$F$17,MIN(Dashboard!$F$10,MAX(0,I386-J386)+K386),0)</x:f>
      </x:c>
      <x:c r="M386" s="32" t="e">
        <x:f>IF(A386&lt;=Dashboard!$F$17,MAX(0,I386-J386-MAX(0,L386-K386)),0)</x:f>
      </x:c>
      <x:c r="N386" s="32" t="e">
        <x:f>IF(A386=1,K386,N385+K386)</x:f>
      </x:c>
      <x:c r="O386" s="32"/>
      <x:c r="P386" s="32" t="e">
        <x:f>IF(A386=1,Dashboard!$F$14,T385)</x:f>
      </x:c>
      <x:c r="Q386" s="32" t="e">
        <x:f>IF(A386&lt;=Dashboard!$F$17,MIN(P386,$B$6*52/12),0)</x:f>
      </x:c>
      <x:c r="R386" s="32" t="e">
        <x:f>IF(A386&lt;=Dashboard!$F$17,MAX(0,P386-Q386)*Dashboard!$F$6,0)</x:f>
      </x:c>
      <x:c r="S386" s="32" t="e">
        <x:f>IF(A386&lt;=Dashboard!$F$17,MIN(Dashboard!$F$10,MAX(0,P386-Q386)+R386),0)</x:f>
      </x:c>
      <x:c r="T386" s="32" t="e">
        <x:f>IF(A386&lt;=Dashboard!$F$17,MAX(0,P386-Q386-MAX(0,S386-R386)),0)</x:f>
      </x:c>
      <x:c r="U386" s="32" t="e">
        <x:f>IF(A386=1,R386,U385+R386)</x:f>
      </x:c>
      <x:c r="V386" s="32"/>
      <x:c r="W386" s="32" t="e">
        <x:f>IF(A386=1,Dashboard!$F$14,AA385)</x:f>
      </x:c>
      <x:c r="X386" s="32" t="e">
        <x:f>IF(AND(A386&lt;=Dashboard!$F$17,MOD(A386-1,12)=0),MIN(W386,$B$7),0)</x:f>
      </x:c>
      <x:c r="Y386" s="32" t="e">
        <x:f>IF(A386&lt;=Dashboard!$F$17,MAX(0,W386-X386)*Dashboard!$F$6,0)</x:f>
      </x:c>
      <x:c r="Z386" s="32" t="e">
        <x:f>IF(A386&lt;=Dashboard!$F$17,MIN(Dashboard!$F$10,MAX(0,W386-X386)+Y386),0)</x:f>
      </x:c>
      <x:c r="AA386" s="32" t="e">
        <x:f>IF(A386&lt;=Dashboard!$F$17,MAX(0,W386-X386-MAX(0,Z386-Y386)),0)</x:f>
      </x:c>
      <x:c r="AB386" s="32" t="e">
        <x:f>IF(A386=1,Y386,AB385+Y386)</x:f>
      </x:c>
      <x:c r="AC386" s="32"/>
      <x:c r="AD386" s="32" t="e">
        <x:f>IF(A386=1,MAX(0,Dashboard!$F$14-$B$8),AG385)</x:f>
      </x:c>
      <x:c r="AE386" s="32" t="n">
        <x:f>0</x:f>
        <x:v>0</x:v>
      </x:c>
      <x:c r="AF386" s="32" t="e">
        <x:f>IF(A386&lt;=Dashboard!$F$17,AD386*Dashboard!$F$6,0)</x:f>
      </x:c>
      <x:c r="AG386" s="32" t="e">
        <x:f>IF(A386&lt;=Dashboard!$F$17,MIN(Dashboard!$F$10,AD386+AF386),0)</x:f>
      </x:c>
      <x:c r="AH386" s="32" t="e">
        <x:f>IF(A386&lt;=Dashboard!$F$17,MAX(0,AD386-MAX(0,AG386-AF386)),0)</x:f>
      </x:c>
      <x:c r="AI386" s="32" t="e">
        <x:f>IF(A386=1,AF386,AI385+AF386)</x:f>
      </x:c>
      <x:c r="AJ386" s="33"/>
      <x:c r="AK386" s="33"/>
      <x:c r="AL386" s="33"/>
      <x:c r="AM386" s="33"/>
    </x:row>
    <x:row r="387">
      <x:c r="A387" s="33" t="n">
        <x:v>375</x:v>
      </x:c>
      <x:c r="B387" s="32" t="e">
        <x:f>IF(A387=1,Dashboard!$F$14,F386)</x:f>
      </x:c>
      <x:c r="C387" s="32" t="n">
        <x:f>0</x:f>
        <x:v>0</x:v>
      </x:c>
      <x:c r="D387" s="32" t="e">
        <x:f>IF(A387&lt;=Dashboard!$F$15,B387*Dashboard!$F$6,0)</x:f>
      </x:c>
      <x:c r="E387" s="32" t="e">
        <x:f>IF(A387&lt;=Dashboard!$F$15,MIN(Dashboard!$F$10,B387+D387),0)</x:f>
      </x:c>
      <x:c r="F387" s="32" t="e">
        <x:f>IF(A387&lt;=Dashboard!$F$15,MAX(0,B387-MAX(0,E387-D387)),0)</x:f>
      </x:c>
      <x:c r="G387" s="32" t="e">
        <x:f>IF(A387=1,D387,G386+D387)</x:f>
      </x:c>
      <x:c r="H387" s="32"/>
      <x:c r="I387" s="32" t="e">
        <x:f>IF(A387=1,Dashboard!$F$14,M386)</x:f>
      </x:c>
      <x:c r="J387" s="32" t="e">
        <x:f>IF(A387&lt;=Dashboard!$F$17,MIN(I387,$B$5),0)</x:f>
      </x:c>
      <x:c r="K387" s="32" t="e">
        <x:f>IF(A387&lt;=Dashboard!$F$17,MAX(0,I387-J387)*Dashboard!$F$6,0)</x:f>
      </x:c>
      <x:c r="L387" s="32" t="e">
        <x:f>IF(A387&lt;=Dashboard!$F$17,MIN(Dashboard!$F$10,MAX(0,I387-J387)+K387),0)</x:f>
      </x:c>
      <x:c r="M387" s="32" t="e">
        <x:f>IF(A387&lt;=Dashboard!$F$17,MAX(0,I387-J387-MAX(0,L387-K387)),0)</x:f>
      </x:c>
      <x:c r="N387" s="32" t="e">
        <x:f>IF(A387=1,K387,N386+K387)</x:f>
      </x:c>
      <x:c r="O387" s="32"/>
      <x:c r="P387" s="32" t="e">
        <x:f>IF(A387=1,Dashboard!$F$14,T386)</x:f>
      </x:c>
      <x:c r="Q387" s="32" t="e">
        <x:f>IF(A387&lt;=Dashboard!$F$17,MIN(P387,$B$6*52/12),0)</x:f>
      </x:c>
      <x:c r="R387" s="32" t="e">
        <x:f>IF(A387&lt;=Dashboard!$F$17,MAX(0,P387-Q387)*Dashboard!$F$6,0)</x:f>
      </x:c>
      <x:c r="S387" s="32" t="e">
        <x:f>IF(A387&lt;=Dashboard!$F$17,MIN(Dashboard!$F$10,MAX(0,P387-Q387)+R387),0)</x:f>
      </x:c>
      <x:c r="T387" s="32" t="e">
        <x:f>IF(A387&lt;=Dashboard!$F$17,MAX(0,P387-Q387-MAX(0,S387-R387)),0)</x:f>
      </x:c>
      <x:c r="U387" s="32" t="e">
        <x:f>IF(A387=1,R387,U386+R387)</x:f>
      </x:c>
      <x:c r="V387" s="32"/>
      <x:c r="W387" s="32" t="e">
        <x:f>IF(A387=1,Dashboard!$F$14,AA386)</x:f>
      </x:c>
      <x:c r="X387" s="32" t="e">
        <x:f>IF(AND(A387&lt;=Dashboard!$F$17,MOD(A387-1,12)=0),MIN(W387,$B$7),0)</x:f>
      </x:c>
      <x:c r="Y387" s="32" t="e">
        <x:f>IF(A387&lt;=Dashboard!$F$17,MAX(0,W387-X387)*Dashboard!$F$6,0)</x:f>
      </x:c>
      <x:c r="Z387" s="32" t="e">
        <x:f>IF(A387&lt;=Dashboard!$F$17,MIN(Dashboard!$F$10,MAX(0,W387-X387)+Y387),0)</x:f>
      </x:c>
      <x:c r="AA387" s="32" t="e">
        <x:f>IF(A387&lt;=Dashboard!$F$17,MAX(0,W387-X387-MAX(0,Z387-Y387)),0)</x:f>
      </x:c>
      <x:c r="AB387" s="32" t="e">
        <x:f>IF(A387=1,Y387,AB386+Y387)</x:f>
      </x:c>
      <x:c r="AC387" s="32"/>
      <x:c r="AD387" s="32" t="e">
        <x:f>IF(A387=1,MAX(0,Dashboard!$F$14-$B$8),AG386)</x:f>
      </x:c>
      <x:c r="AE387" s="32" t="n">
        <x:f>0</x:f>
        <x:v>0</x:v>
      </x:c>
      <x:c r="AF387" s="32" t="e">
        <x:f>IF(A387&lt;=Dashboard!$F$17,AD387*Dashboard!$F$6,0)</x:f>
      </x:c>
      <x:c r="AG387" s="32" t="e">
        <x:f>IF(A387&lt;=Dashboard!$F$17,MIN(Dashboard!$F$10,AD387+AF387),0)</x:f>
      </x:c>
      <x:c r="AH387" s="32" t="e">
        <x:f>IF(A387&lt;=Dashboard!$F$17,MAX(0,AD387-MAX(0,AG387-AF387)),0)</x:f>
      </x:c>
      <x:c r="AI387" s="32" t="e">
        <x:f>IF(A387=1,AF387,AI386+AF387)</x:f>
      </x:c>
      <x:c r="AJ387" s="33"/>
      <x:c r="AK387" s="33"/>
      <x:c r="AL387" s="33"/>
      <x:c r="AM387" s="33"/>
    </x:row>
    <x:row r="388">
      <x:c r="A388" s="33" t="n">
        <x:v>376</x:v>
      </x:c>
      <x:c r="B388" s="32" t="e">
        <x:f>IF(A388=1,Dashboard!$F$14,F387)</x:f>
      </x:c>
      <x:c r="C388" s="32" t="n">
        <x:f>0</x:f>
        <x:v>0</x:v>
      </x:c>
      <x:c r="D388" s="32" t="e">
        <x:f>IF(A388&lt;=Dashboard!$F$15,B388*Dashboard!$F$6,0)</x:f>
      </x:c>
      <x:c r="E388" s="32" t="e">
        <x:f>IF(A388&lt;=Dashboard!$F$15,MIN(Dashboard!$F$10,B388+D388),0)</x:f>
      </x:c>
      <x:c r="F388" s="32" t="e">
        <x:f>IF(A388&lt;=Dashboard!$F$15,MAX(0,B388-MAX(0,E388-D388)),0)</x:f>
      </x:c>
      <x:c r="G388" s="32" t="e">
        <x:f>IF(A388=1,D388,G387+D388)</x:f>
      </x:c>
      <x:c r="H388" s="32"/>
      <x:c r="I388" s="32" t="e">
        <x:f>IF(A388=1,Dashboard!$F$14,M387)</x:f>
      </x:c>
      <x:c r="J388" s="32" t="e">
        <x:f>IF(A388&lt;=Dashboard!$F$17,MIN(I388,$B$5),0)</x:f>
      </x:c>
      <x:c r="K388" s="32" t="e">
        <x:f>IF(A388&lt;=Dashboard!$F$17,MAX(0,I388-J388)*Dashboard!$F$6,0)</x:f>
      </x:c>
      <x:c r="L388" s="32" t="e">
        <x:f>IF(A388&lt;=Dashboard!$F$17,MIN(Dashboard!$F$10,MAX(0,I388-J388)+K388),0)</x:f>
      </x:c>
      <x:c r="M388" s="32" t="e">
        <x:f>IF(A388&lt;=Dashboard!$F$17,MAX(0,I388-J388-MAX(0,L388-K388)),0)</x:f>
      </x:c>
      <x:c r="N388" s="32" t="e">
        <x:f>IF(A388=1,K388,N387+K388)</x:f>
      </x:c>
      <x:c r="O388" s="32"/>
      <x:c r="P388" s="32" t="e">
        <x:f>IF(A388=1,Dashboard!$F$14,T387)</x:f>
      </x:c>
      <x:c r="Q388" s="32" t="e">
        <x:f>IF(A388&lt;=Dashboard!$F$17,MIN(P388,$B$6*52/12),0)</x:f>
      </x:c>
      <x:c r="R388" s="32" t="e">
        <x:f>IF(A388&lt;=Dashboard!$F$17,MAX(0,P388-Q388)*Dashboard!$F$6,0)</x:f>
      </x:c>
      <x:c r="S388" s="32" t="e">
        <x:f>IF(A388&lt;=Dashboard!$F$17,MIN(Dashboard!$F$10,MAX(0,P388-Q388)+R388),0)</x:f>
      </x:c>
      <x:c r="T388" s="32" t="e">
        <x:f>IF(A388&lt;=Dashboard!$F$17,MAX(0,P388-Q388-MAX(0,S388-R388)),0)</x:f>
      </x:c>
      <x:c r="U388" s="32" t="e">
        <x:f>IF(A388=1,R388,U387+R388)</x:f>
      </x:c>
      <x:c r="V388" s="32"/>
      <x:c r="W388" s="32" t="e">
        <x:f>IF(A388=1,Dashboard!$F$14,AA387)</x:f>
      </x:c>
      <x:c r="X388" s="32" t="e">
        <x:f>IF(AND(A388&lt;=Dashboard!$F$17,MOD(A388-1,12)=0),MIN(W388,$B$7),0)</x:f>
      </x:c>
      <x:c r="Y388" s="32" t="e">
        <x:f>IF(A388&lt;=Dashboard!$F$17,MAX(0,W388-X388)*Dashboard!$F$6,0)</x:f>
      </x:c>
      <x:c r="Z388" s="32" t="e">
        <x:f>IF(A388&lt;=Dashboard!$F$17,MIN(Dashboard!$F$10,MAX(0,W388-X388)+Y388),0)</x:f>
      </x:c>
      <x:c r="AA388" s="32" t="e">
        <x:f>IF(A388&lt;=Dashboard!$F$17,MAX(0,W388-X388-MAX(0,Z388-Y388)),0)</x:f>
      </x:c>
      <x:c r="AB388" s="32" t="e">
        <x:f>IF(A388=1,Y388,AB387+Y388)</x:f>
      </x:c>
      <x:c r="AC388" s="32"/>
      <x:c r="AD388" s="32" t="e">
        <x:f>IF(A388=1,MAX(0,Dashboard!$F$14-$B$8),AG387)</x:f>
      </x:c>
      <x:c r="AE388" s="32" t="n">
        <x:f>0</x:f>
        <x:v>0</x:v>
      </x:c>
      <x:c r="AF388" s="32" t="e">
        <x:f>IF(A388&lt;=Dashboard!$F$17,AD388*Dashboard!$F$6,0)</x:f>
      </x:c>
      <x:c r="AG388" s="32" t="e">
        <x:f>IF(A388&lt;=Dashboard!$F$17,MIN(Dashboard!$F$10,AD388+AF388),0)</x:f>
      </x:c>
      <x:c r="AH388" s="32" t="e">
        <x:f>IF(A388&lt;=Dashboard!$F$17,MAX(0,AD388-MAX(0,AG388-AF388)),0)</x:f>
      </x:c>
      <x:c r="AI388" s="32" t="e">
        <x:f>IF(A388=1,AF388,AI387+AF388)</x:f>
      </x:c>
      <x:c r="AJ388" s="33"/>
      <x:c r="AK388" s="33"/>
      <x:c r="AL388" s="33"/>
      <x:c r="AM388" s="33"/>
    </x:row>
    <x:row r="389">
      <x:c r="A389" s="33" t="n">
        <x:v>377</x:v>
      </x:c>
      <x:c r="B389" s="32" t="e">
        <x:f>IF(A389=1,Dashboard!$F$14,F388)</x:f>
      </x:c>
      <x:c r="C389" s="32" t="n">
        <x:f>0</x:f>
        <x:v>0</x:v>
      </x:c>
      <x:c r="D389" s="32" t="e">
        <x:f>IF(A389&lt;=Dashboard!$F$15,B389*Dashboard!$F$6,0)</x:f>
      </x:c>
      <x:c r="E389" s="32" t="e">
        <x:f>IF(A389&lt;=Dashboard!$F$15,MIN(Dashboard!$F$10,B389+D389),0)</x:f>
      </x:c>
      <x:c r="F389" s="32" t="e">
        <x:f>IF(A389&lt;=Dashboard!$F$15,MAX(0,B389-MAX(0,E389-D389)),0)</x:f>
      </x:c>
      <x:c r="G389" s="32" t="e">
        <x:f>IF(A389=1,D389,G388+D389)</x:f>
      </x:c>
      <x:c r="H389" s="32"/>
      <x:c r="I389" s="32" t="e">
        <x:f>IF(A389=1,Dashboard!$F$14,M388)</x:f>
      </x:c>
      <x:c r="J389" s="32" t="e">
        <x:f>IF(A389&lt;=Dashboard!$F$17,MIN(I389,$B$5),0)</x:f>
      </x:c>
      <x:c r="K389" s="32" t="e">
        <x:f>IF(A389&lt;=Dashboard!$F$17,MAX(0,I389-J389)*Dashboard!$F$6,0)</x:f>
      </x:c>
      <x:c r="L389" s="32" t="e">
        <x:f>IF(A389&lt;=Dashboard!$F$17,MIN(Dashboard!$F$10,MAX(0,I389-J389)+K389),0)</x:f>
      </x:c>
      <x:c r="M389" s="32" t="e">
        <x:f>IF(A389&lt;=Dashboard!$F$17,MAX(0,I389-J389-MAX(0,L389-K389)),0)</x:f>
      </x:c>
      <x:c r="N389" s="32" t="e">
        <x:f>IF(A389=1,K389,N388+K389)</x:f>
      </x:c>
      <x:c r="O389" s="32"/>
      <x:c r="P389" s="32" t="e">
        <x:f>IF(A389=1,Dashboard!$F$14,T388)</x:f>
      </x:c>
      <x:c r="Q389" s="32" t="e">
        <x:f>IF(A389&lt;=Dashboard!$F$17,MIN(P389,$B$6*52/12),0)</x:f>
      </x:c>
      <x:c r="R389" s="32" t="e">
        <x:f>IF(A389&lt;=Dashboard!$F$17,MAX(0,P389-Q389)*Dashboard!$F$6,0)</x:f>
      </x:c>
      <x:c r="S389" s="32" t="e">
        <x:f>IF(A389&lt;=Dashboard!$F$17,MIN(Dashboard!$F$10,MAX(0,P389-Q389)+R389),0)</x:f>
      </x:c>
      <x:c r="T389" s="32" t="e">
        <x:f>IF(A389&lt;=Dashboard!$F$17,MAX(0,P389-Q389-MAX(0,S389-R389)),0)</x:f>
      </x:c>
      <x:c r="U389" s="32" t="e">
        <x:f>IF(A389=1,R389,U388+R389)</x:f>
      </x:c>
      <x:c r="V389" s="32"/>
      <x:c r="W389" s="32" t="e">
        <x:f>IF(A389=1,Dashboard!$F$14,AA388)</x:f>
      </x:c>
      <x:c r="X389" s="32" t="e">
        <x:f>IF(AND(A389&lt;=Dashboard!$F$17,MOD(A389-1,12)=0),MIN(W389,$B$7),0)</x:f>
      </x:c>
      <x:c r="Y389" s="32" t="e">
        <x:f>IF(A389&lt;=Dashboard!$F$17,MAX(0,W389-X389)*Dashboard!$F$6,0)</x:f>
      </x:c>
      <x:c r="Z389" s="32" t="e">
        <x:f>IF(A389&lt;=Dashboard!$F$17,MIN(Dashboard!$F$10,MAX(0,W389-X389)+Y389),0)</x:f>
      </x:c>
      <x:c r="AA389" s="32" t="e">
        <x:f>IF(A389&lt;=Dashboard!$F$17,MAX(0,W389-X389-MAX(0,Z389-Y389)),0)</x:f>
      </x:c>
      <x:c r="AB389" s="32" t="e">
        <x:f>IF(A389=1,Y389,AB388+Y389)</x:f>
      </x:c>
      <x:c r="AC389" s="32"/>
      <x:c r="AD389" s="32" t="e">
        <x:f>IF(A389=1,MAX(0,Dashboard!$F$14-$B$8),AG388)</x:f>
      </x:c>
      <x:c r="AE389" s="32" t="n">
        <x:f>0</x:f>
        <x:v>0</x:v>
      </x:c>
      <x:c r="AF389" s="32" t="e">
        <x:f>IF(A389&lt;=Dashboard!$F$17,AD389*Dashboard!$F$6,0)</x:f>
      </x:c>
      <x:c r="AG389" s="32" t="e">
        <x:f>IF(A389&lt;=Dashboard!$F$17,MIN(Dashboard!$F$10,AD389+AF389),0)</x:f>
      </x:c>
      <x:c r="AH389" s="32" t="e">
        <x:f>IF(A389&lt;=Dashboard!$F$17,MAX(0,AD389-MAX(0,AG389-AF389)),0)</x:f>
      </x:c>
      <x:c r="AI389" s="32" t="e">
        <x:f>IF(A389=1,AF389,AI388+AF389)</x:f>
      </x:c>
      <x:c r="AJ389" s="33"/>
      <x:c r="AK389" s="33"/>
      <x:c r="AL389" s="33"/>
      <x:c r="AM389" s="33"/>
    </x:row>
    <x:row r="390">
      <x:c r="A390" s="33" t="n">
        <x:v>378</x:v>
      </x:c>
      <x:c r="B390" s="32" t="e">
        <x:f>IF(A390=1,Dashboard!$F$14,F389)</x:f>
      </x:c>
      <x:c r="C390" s="32" t="n">
        <x:f>0</x:f>
        <x:v>0</x:v>
      </x:c>
      <x:c r="D390" s="32" t="e">
        <x:f>IF(A390&lt;=Dashboard!$F$15,B390*Dashboard!$F$6,0)</x:f>
      </x:c>
      <x:c r="E390" s="32" t="e">
        <x:f>IF(A390&lt;=Dashboard!$F$15,MIN(Dashboard!$F$10,B390+D390),0)</x:f>
      </x:c>
      <x:c r="F390" s="32" t="e">
        <x:f>IF(A390&lt;=Dashboard!$F$15,MAX(0,B390-MAX(0,E390-D390)),0)</x:f>
      </x:c>
      <x:c r="G390" s="32" t="e">
        <x:f>IF(A390=1,D390,G389+D390)</x:f>
      </x:c>
      <x:c r="H390" s="32"/>
      <x:c r="I390" s="32" t="e">
        <x:f>IF(A390=1,Dashboard!$F$14,M389)</x:f>
      </x:c>
      <x:c r="J390" s="32" t="e">
        <x:f>IF(A390&lt;=Dashboard!$F$17,MIN(I390,$B$5),0)</x:f>
      </x:c>
      <x:c r="K390" s="32" t="e">
        <x:f>IF(A390&lt;=Dashboard!$F$17,MAX(0,I390-J390)*Dashboard!$F$6,0)</x:f>
      </x:c>
      <x:c r="L390" s="32" t="e">
        <x:f>IF(A390&lt;=Dashboard!$F$17,MIN(Dashboard!$F$10,MAX(0,I390-J390)+K390),0)</x:f>
      </x:c>
      <x:c r="M390" s="32" t="e">
        <x:f>IF(A390&lt;=Dashboard!$F$17,MAX(0,I390-J390-MAX(0,L390-K390)),0)</x:f>
      </x:c>
      <x:c r="N390" s="32" t="e">
        <x:f>IF(A390=1,K390,N389+K390)</x:f>
      </x:c>
      <x:c r="O390" s="32"/>
      <x:c r="P390" s="32" t="e">
        <x:f>IF(A390=1,Dashboard!$F$14,T389)</x:f>
      </x:c>
      <x:c r="Q390" s="32" t="e">
        <x:f>IF(A390&lt;=Dashboard!$F$17,MIN(P390,$B$6*52/12),0)</x:f>
      </x:c>
      <x:c r="R390" s="32" t="e">
        <x:f>IF(A390&lt;=Dashboard!$F$17,MAX(0,P390-Q390)*Dashboard!$F$6,0)</x:f>
      </x:c>
      <x:c r="S390" s="32" t="e">
        <x:f>IF(A390&lt;=Dashboard!$F$17,MIN(Dashboard!$F$10,MAX(0,P390-Q390)+R390),0)</x:f>
      </x:c>
      <x:c r="T390" s="32" t="e">
        <x:f>IF(A390&lt;=Dashboard!$F$17,MAX(0,P390-Q390-MAX(0,S390-R390)),0)</x:f>
      </x:c>
      <x:c r="U390" s="32" t="e">
        <x:f>IF(A390=1,R390,U389+R390)</x:f>
      </x:c>
      <x:c r="V390" s="32"/>
      <x:c r="W390" s="32" t="e">
        <x:f>IF(A390=1,Dashboard!$F$14,AA389)</x:f>
      </x:c>
      <x:c r="X390" s="32" t="e">
        <x:f>IF(AND(A390&lt;=Dashboard!$F$17,MOD(A390-1,12)=0),MIN(W390,$B$7),0)</x:f>
      </x:c>
      <x:c r="Y390" s="32" t="e">
        <x:f>IF(A390&lt;=Dashboard!$F$17,MAX(0,W390-X390)*Dashboard!$F$6,0)</x:f>
      </x:c>
      <x:c r="Z390" s="32" t="e">
        <x:f>IF(A390&lt;=Dashboard!$F$17,MIN(Dashboard!$F$10,MAX(0,W390-X390)+Y390),0)</x:f>
      </x:c>
      <x:c r="AA390" s="32" t="e">
        <x:f>IF(A390&lt;=Dashboard!$F$17,MAX(0,W390-X390-MAX(0,Z390-Y390)),0)</x:f>
      </x:c>
      <x:c r="AB390" s="32" t="e">
        <x:f>IF(A390=1,Y390,AB389+Y390)</x:f>
      </x:c>
      <x:c r="AC390" s="32"/>
      <x:c r="AD390" s="32" t="e">
        <x:f>IF(A390=1,MAX(0,Dashboard!$F$14-$B$8),AG389)</x:f>
      </x:c>
      <x:c r="AE390" s="32" t="n">
        <x:f>0</x:f>
        <x:v>0</x:v>
      </x:c>
      <x:c r="AF390" s="32" t="e">
        <x:f>IF(A390&lt;=Dashboard!$F$17,AD390*Dashboard!$F$6,0)</x:f>
      </x:c>
      <x:c r="AG390" s="32" t="e">
        <x:f>IF(A390&lt;=Dashboard!$F$17,MIN(Dashboard!$F$10,AD390+AF390),0)</x:f>
      </x:c>
      <x:c r="AH390" s="32" t="e">
        <x:f>IF(A390&lt;=Dashboard!$F$17,MAX(0,AD390-MAX(0,AG390-AF390)),0)</x:f>
      </x:c>
      <x:c r="AI390" s="32" t="e">
        <x:f>IF(A390=1,AF390,AI389+AF390)</x:f>
      </x:c>
      <x:c r="AJ390" s="33"/>
      <x:c r="AK390" s="33"/>
      <x:c r="AL390" s="33"/>
      <x:c r="AM390" s="33"/>
    </x:row>
    <x:row r="391">
      <x:c r="A391" s="33" t="n">
        <x:v>379</x:v>
      </x:c>
      <x:c r="B391" s="32" t="e">
        <x:f>IF(A391=1,Dashboard!$F$14,F390)</x:f>
      </x:c>
      <x:c r="C391" s="32" t="n">
        <x:f>0</x:f>
        <x:v>0</x:v>
      </x:c>
      <x:c r="D391" s="32" t="e">
        <x:f>IF(A391&lt;=Dashboard!$F$15,B391*Dashboard!$F$6,0)</x:f>
      </x:c>
      <x:c r="E391" s="32" t="e">
        <x:f>IF(A391&lt;=Dashboard!$F$15,MIN(Dashboard!$F$10,B391+D391),0)</x:f>
      </x:c>
      <x:c r="F391" s="32" t="e">
        <x:f>IF(A391&lt;=Dashboard!$F$15,MAX(0,B391-MAX(0,E391-D391)),0)</x:f>
      </x:c>
      <x:c r="G391" s="32" t="e">
        <x:f>IF(A391=1,D391,G390+D391)</x:f>
      </x:c>
      <x:c r="H391" s="32"/>
      <x:c r="I391" s="32" t="e">
        <x:f>IF(A391=1,Dashboard!$F$14,M390)</x:f>
      </x:c>
      <x:c r="J391" s="32" t="e">
        <x:f>IF(A391&lt;=Dashboard!$F$17,MIN(I391,$B$5),0)</x:f>
      </x:c>
      <x:c r="K391" s="32" t="e">
        <x:f>IF(A391&lt;=Dashboard!$F$17,MAX(0,I391-J391)*Dashboard!$F$6,0)</x:f>
      </x:c>
      <x:c r="L391" s="32" t="e">
        <x:f>IF(A391&lt;=Dashboard!$F$17,MIN(Dashboard!$F$10,MAX(0,I391-J391)+K391),0)</x:f>
      </x:c>
      <x:c r="M391" s="32" t="e">
        <x:f>IF(A391&lt;=Dashboard!$F$17,MAX(0,I391-J391-MAX(0,L391-K391)),0)</x:f>
      </x:c>
      <x:c r="N391" s="32" t="e">
        <x:f>IF(A391=1,K391,N390+K391)</x:f>
      </x:c>
      <x:c r="O391" s="32"/>
      <x:c r="P391" s="32" t="e">
        <x:f>IF(A391=1,Dashboard!$F$14,T390)</x:f>
      </x:c>
      <x:c r="Q391" s="32" t="e">
        <x:f>IF(A391&lt;=Dashboard!$F$17,MIN(P391,$B$6*52/12),0)</x:f>
      </x:c>
      <x:c r="R391" s="32" t="e">
        <x:f>IF(A391&lt;=Dashboard!$F$17,MAX(0,P391-Q391)*Dashboard!$F$6,0)</x:f>
      </x:c>
      <x:c r="S391" s="32" t="e">
        <x:f>IF(A391&lt;=Dashboard!$F$17,MIN(Dashboard!$F$10,MAX(0,P391-Q391)+R391),0)</x:f>
      </x:c>
      <x:c r="T391" s="32" t="e">
        <x:f>IF(A391&lt;=Dashboard!$F$17,MAX(0,P391-Q391-MAX(0,S391-R391)),0)</x:f>
      </x:c>
      <x:c r="U391" s="32" t="e">
        <x:f>IF(A391=1,R391,U390+R391)</x:f>
      </x:c>
      <x:c r="V391" s="32"/>
      <x:c r="W391" s="32" t="e">
        <x:f>IF(A391=1,Dashboard!$F$14,AA390)</x:f>
      </x:c>
      <x:c r="X391" s="32" t="e">
        <x:f>IF(AND(A391&lt;=Dashboard!$F$17,MOD(A391-1,12)=0),MIN(W391,$B$7),0)</x:f>
      </x:c>
      <x:c r="Y391" s="32" t="e">
        <x:f>IF(A391&lt;=Dashboard!$F$17,MAX(0,W391-X391)*Dashboard!$F$6,0)</x:f>
      </x:c>
      <x:c r="Z391" s="32" t="e">
        <x:f>IF(A391&lt;=Dashboard!$F$17,MIN(Dashboard!$F$10,MAX(0,W391-X391)+Y391),0)</x:f>
      </x:c>
      <x:c r="AA391" s="32" t="e">
        <x:f>IF(A391&lt;=Dashboard!$F$17,MAX(0,W391-X391-MAX(0,Z391-Y391)),0)</x:f>
      </x:c>
      <x:c r="AB391" s="32" t="e">
        <x:f>IF(A391=1,Y391,AB390+Y391)</x:f>
      </x:c>
      <x:c r="AC391" s="32"/>
      <x:c r="AD391" s="32" t="e">
        <x:f>IF(A391=1,MAX(0,Dashboard!$F$14-$B$8),AG390)</x:f>
      </x:c>
      <x:c r="AE391" s="32" t="n">
        <x:f>0</x:f>
        <x:v>0</x:v>
      </x:c>
      <x:c r="AF391" s="32" t="e">
        <x:f>IF(A391&lt;=Dashboard!$F$17,AD391*Dashboard!$F$6,0)</x:f>
      </x:c>
      <x:c r="AG391" s="32" t="e">
        <x:f>IF(A391&lt;=Dashboard!$F$17,MIN(Dashboard!$F$10,AD391+AF391),0)</x:f>
      </x:c>
      <x:c r="AH391" s="32" t="e">
        <x:f>IF(A391&lt;=Dashboard!$F$17,MAX(0,AD391-MAX(0,AG391-AF391)),0)</x:f>
      </x:c>
      <x:c r="AI391" s="32" t="e">
        <x:f>IF(A391=1,AF391,AI390+AF391)</x:f>
      </x:c>
      <x:c r="AJ391" s="33"/>
      <x:c r="AK391" s="33"/>
      <x:c r="AL391" s="33"/>
      <x:c r="AM391" s="33"/>
    </x:row>
    <x:row r="392">
      <x:c r="A392" s="33" t="n">
        <x:v>380</x:v>
      </x:c>
      <x:c r="B392" s="32" t="e">
        <x:f>IF(A392=1,Dashboard!$F$14,F391)</x:f>
      </x:c>
      <x:c r="C392" s="32" t="n">
        <x:f>0</x:f>
        <x:v>0</x:v>
      </x:c>
      <x:c r="D392" s="32" t="e">
        <x:f>IF(A392&lt;=Dashboard!$F$15,B392*Dashboard!$F$6,0)</x:f>
      </x:c>
      <x:c r="E392" s="32" t="e">
        <x:f>IF(A392&lt;=Dashboard!$F$15,MIN(Dashboard!$F$10,B392+D392),0)</x:f>
      </x:c>
      <x:c r="F392" s="32" t="e">
        <x:f>IF(A392&lt;=Dashboard!$F$15,MAX(0,B392-MAX(0,E392-D392)),0)</x:f>
      </x:c>
      <x:c r="G392" s="32" t="e">
        <x:f>IF(A392=1,D392,G391+D392)</x:f>
      </x:c>
      <x:c r="H392" s="32"/>
      <x:c r="I392" s="32" t="e">
        <x:f>IF(A392=1,Dashboard!$F$14,M391)</x:f>
      </x:c>
      <x:c r="J392" s="32" t="e">
        <x:f>IF(A392&lt;=Dashboard!$F$17,MIN(I392,$B$5),0)</x:f>
      </x:c>
      <x:c r="K392" s="32" t="e">
        <x:f>IF(A392&lt;=Dashboard!$F$17,MAX(0,I392-J392)*Dashboard!$F$6,0)</x:f>
      </x:c>
      <x:c r="L392" s="32" t="e">
        <x:f>IF(A392&lt;=Dashboard!$F$17,MIN(Dashboard!$F$10,MAX(0,I392-J392)+K392),0)</x:f>
      </x:c>
      <x:c r="M392" s="32" t="e">
        <x:f>IF(A392&lt;=Dashboard!$F$17,MAX(0,I392-J392-MAX(0,L392-K392)),0)</x:f>
      </x:c>
      <x:c r="N392" s="32" t="e">
        <x:f>IF(A392=1,K392,N391+K392)</x:f>
      </x:c>
      <x:c r="O392" s="32"/>
      <x:c r="P392" s="32" t="e">
        <x:f>IF(A392=1,Dashboard!$F$14,T391)</x:f>
      </x:c>
      <x:c r="Q392" s="32" t="e">
        <x:f>IF(A392&lt;=Dashboard!$F$17,MIN(P392,$B$6*52/12),0)</x:f>
      </x:c>
      <x:c r="R392" s="32" t="e">
        <x:f>IF(A392&lt;=Dashboard!$F$17,MAX(0,P392-Q392)*Dashboard!$F$6,0)</x:f>
      </x:c>
      <x:c r="S392" s="32" t="e">
        <x:f>IF(A392&lt;=Dashboard!$F$17,MIN(Dashboard!$F$10,MAX(0,P392-Q392)+R392),0)</x:f>
      </x:c>
      <x:c r="T392" s="32" t="e">
        <x:f>IF(A392&lt;=Dashboard!$F$17,MAX(0,P392-Q392-MAX(0,S392-R392)),0)</x:f>
      </x:c>
      <x:c r="U392" s="32" t="e">
        <x:f>IF(A392=1,R392,U391+R392)</x:f>
      </x:c>
      <x:c r="V392" s="32"/>
      <x:c r="W392" s="32" t="e">
        <x:f>IF(A392=1,Dashboard!$F$14,AA391)</x:f>
      </x:c>
      <x:c r="X392" s="32" t="e">
        <x:f>IF(AND(A392&lt;=Dashboard!$F$17,MOD(A392-1,12)=0),MIN(W392,$B$7),0)</x:f>
      </x:c>
      <x:c r="Y392" s="32" t="e">
        <x:f>IF(A392&lt;=Dashboard!$F$17,MAX(0,W392-X392)*Dashboard!$F$6,0)</x:f>
      </x:c>
      <x:c r="Z392" s="32" t="e">
        <x:f>IF(A392&lt;=Dashboard!$F$17,MIN(Dashboard!$F$10,MAX(0,W392-X392)+Y392),0)</x:f>
      </x:c>
      <x:c r="AA392" s="32" t="e">
        <x:f>IF(A392&lt;=Dashboard!$F$17,MAX(0,W392-X392-MAX(0,Z392-Y392)),0)</x:f>
      </x:c>
      <x:c r="AB392" s="32" t="e">
        <x:f>IF(A392=1,Y392,AB391+Y392)</x:f>
      </x:c>
      <x:c r="AC392" s="32"/>
      <x:c r="AD392" s="32" t="e">
        <x:f>IF(A392=1,MAX(0,Dashboard!$F$14-$B$8),AG391)</x:f>
      </x:c>
      <x:c r="AE392" s="32" t="n">
        <x:f>0</x:f>
        <x:v>0</x:v>
      </x:c>
      <x:c r="AF392" s="32" t="e">
        <x:f>IF(A392&lt;=Dashboard!$F$17,AD392*Dashboard!$F$6,0)</x:f>
      </x:c>
      <x:c r="AG392" s="32" t="e">
        <x:f>IF(A392&lt;=Dashboard!$F$17,MIN(Dashboard!$F$10,AD392+AF392),0)</x:f>
      </x:c>
      <x:c r="AH392" s="32" t="e">
        <x:f>IF(A392&lt;=Dashboard!$F$17,MAX(0,AD392-MAX(0,AG392-AF392)),0)</x:f>
      </x:c>
      <x:c r="AI392" s="32" t="e">
        <x:f>IF(A392=1,AF392,AI391+AF392)</x:f>
      </x:c>
      <x:c r="AJ392" s="33"/>
      <x:c r="AK392" s="33"/>
      <x:c r="AL392" s="33"/>
      <x:c r="AM392" s="33"/>
    </x:row>
    <x:row r="393">
      <x:c r="A393" s="33" t="n">
        <x:v>381</x:v>
      </x:c>
      <x:c r="B393" s="32" t="e">
        <x:f>IF(A393=1,Dashboard!$F$14,F392)</x:f>
      </x:c>
      <x:c r="C393" s="32" t="n">
        <x:f>0</x:f>
        <x:v>0</x:v>
      </x:c>
      <x:c r="D393" s="32" t="e">
        <x:f>IF(A393&lt;=Dashboard!$F$15,B393*Dashboard!$F$6,0)</x:f>
      </x:c>
      <x:c r="E393" s="32" t="e">
        <x:f>IF(A393&lt;=Dashboard!$F$15,MIN(Dashboard!$F$10,B393+D393),0)</x:f>
      </x:c>
      <x:c r="F393" s="32" t="e">
        <x:f>IF(A393&lt;=Dashboard!$F$15,MAX(0,B393-MAX(0,E393-D393)),0)</x:f>
      </x:c>
      <x:c r="G393" s="32" t="e">
        <x:f>IF(A393=1,D393,G392+D393)</x:f>
      </x:c>
      <x:c r="H393" s="32"/>
      <x:c r="I393" s="32" t="e">
        <x:f>IF(A393=1,Dashboard!$F$14,M392)</x:f>
      </x:c>
      <x:c r="J393" s="32" t="e">
        <x:f>IF(A393&lt;=Dashboard!$F$17,MIN(I393,$B$5),0)</x:f>
      </x:c>
      <x:c r="K393" s="32" t="e">
        <x:f>IF(A393&lt;=Dashboard!$F$17,MAX(0,I393-J393)*Dashboard!$F$6,0)</x:f>
      </x:c>
      <x:c r="L393" s="32" t="e">
        <x:f>IF(A393&lt;=Dashboard!$F$17,MIN(Dashboard!$F$10,MAX(0,I393-J393)+K393),0)</x:f>
      </x:c>
      <x:c r="M393" s="32" t="e">
        <x:f>IF(A393&lt;=Dashboard!$F$17,MAX(0,I393-J393-MAX(0,L393-K393)),0)</x:f>
      </x:c>
      <x:c r="N393" s="32" t="e">
        <x:f>IF(A393=1,K393,N392+K393)</x:f>
      </x:c>
      <x:c r="O393" s="32"/>
      <x:c r="P393" s="32" t="e">
        <x:f>IF(A393=1,Dashboard!$F$14,T392)</x:f>
      </x:c>
      <x:c r="Q393" s="32" t="e">
        <x:f>IF(A393&lt;=Dashboard!$F$17,MIN(P393,$B$6*52/12),0)</x:f>
      </x:c>
      <x:c r="R393" s="32" t="e">
        <x:f>IF(A393&lt;=Dashboard!$F$17,MAX(0,P393-Q393)*Dashboard!$F$6,0)</x:f>
      </x:c>
      <x:c r="S393" s="32" t="e">
        <x:f>IF(A393&lt;=Dashboard!$F$17,MIN(Dashboard!$F$10,MAX(0,P393-Q393)+R393),0)</x:f>
      </x:c>
      <x:c r="T393" s="32" t="e">
        <x:f>IF(A393&lt;=Dashboard!$F$17,MAX(0,P393-Q393-MAX(0,S393-R393)),0)</x:f>
      </x:c>
      <x:c r="U393" s="32" t="e">
        <x:f>IF(A393=1,R393,U392+R393)</x:f>
      </x:c>
      <x:c r="V393" s="32"/>
      <x:c r="W393" s="32" t="e">
        <x:f>IF(A393=1,Dashboard!$F$14,AA392)</x:f>
      </x:c>
      <x:c r="X393" s="32" t="e">
        <x:f>IF(AND(A393&lt;=Dashboard!$F$17,MOD(A393-1,12)=0),MIN(W393,$B$7),0)</x:f>
      </x:c>
      <x:c r="Y393" s="32" t="e">
        <x:f>IF(A393&lt;=Dashboard!$F$17,MAX(0,W393-X393)*Dashboard!$F$6,0)</x:f>
      </x:c>
      <x:c r="Z393" s="32" t="e">
        <x:f>IF(A393&lt;=Dashboard!$F$17,MIN(Dashboard!$F$10,MAX(0,W393-X393)+Y393),0)</x:f>
      </x:c>
      <x:c r="AA393" s="32" t="e">
        <x:f>IF(A393&lt;=Dashboard!$F$17,MAX(0,W393-X393-MAX(0,Z393-Y393)),0)</x:f>
      </x:c>
      <x:c r="AB393" s="32" t="e">
        <x:f>IF(A393=1,Y393,AB392+Y393)</x:f>
      </x:c>
      <x:c r="AC393" s="32"/>
      <x:c r="AD393" s="32" t="e">
        <x:f>IF(A393=1,MAX(0,Dashboard!$F$14-$B$8),AG392)</x:f>
      </x:c>
      <x:c r="AE393" s="32" t="n">
        <x:f>0</x:f>
        <x:v>0</x:v>
      </x:c>
      <x:c r="AF393" s="32" t="e">
        <x:f>IF(A393&lt;=Dashboard!$F$17,AD393*Dashboard!$F$6,0)</x:f>
      </x:c>
      <x:c r="AG393" s="32" t="e">
        <x:f>IF(A393&lt;=Dashboard!$F$17,MIN(Dashboard!$F$10,AD393+AF393),0)</x:f>
      </x:c>
      <x:c r="AH393" s="32" t="e">
        <x:f>IF(A393&lt;=Dashboard!$F$17,MAX(0,AD393-MAX(0,AG393-AF393)),0)</x:f>
      </x:c>
      <x:c r="AI393" s="32" t="e">
        <x:f>IF(A393=1,AF393,AI392+AF393)</x:f>
      </x:c>
      <x:c r="AJ393" s="33"/>
      <x:c r="AK393" s="33"/>
      <x:c r="AL393" s="33"/>
      <x:c r="AM393" s="33"/>
    </x:row>
    <x:row r="394">
      <x:c r="A394" s="33" t="n">
        <x:v>382</x:v>
      </x:c>
      <x:c r="B394" s="32" t="e">
        <x:f>IF(A394=1,Dashboard!$F$14,F393)</x:f>
      </x:c>
      <x:c r="C394" s="32" t="n">
        <x:f>0</x:f>
        <x:v>0</x:v>
      </x:c>
      <x:c r="D394" s="32" t="e">
        <x:f>IF(A394&lt;=Dashboard!$F$15,B394*Dashboard!$F$6,0)</x:f>
      </x:c>
      <x:c r="E394" s="32" t="e">
        <x:f>IF(A394&lt;=Dashboard!$F$15,MIN(Dashboard!$F$10,B394+D394),0)</x:f>
      </x:c>
      <x:c r="F394" s="32" t="e">
        <x:f>IF(A394&lt;=Dashboard!$F$15,MAX(0,B394-MAX(0,E394-D394)),0)</x:f>
      </x:c>
      <x:c r="G394" s="32" t="e">
        <x:f>IF(A394=1,D394,G393+D394)</x:f>
      </x:c>
      <x:c r="H394" s="32"/>
      <x:c r="I394" s="32" t="e">
        <x:f>IF(A394=1,Dashboard!$F$14,M393)</x:f>
      </x:c>
      <x:c r="J394" s="32" t="e">
        <x:f>IF(A394&lt;=Dashboard!$F$17,MIN(I394,$B$5),0)</x:f>
      </x:c>
      <x:c r="K394" s="32" t="e">
        <x:f>IF(A394&lt;=Dashboard!$F$17,MAX(0,I394-J394)*Dashboard!$F$6,0)</x:f>
      </x:c>
      <x:c r="L394" s="32" t="e">
        <x:f>IF(A394&lt;=Dashboard!$F$17,MIN(Dashboard!$F$10,MAX(0,I394-J394)+K394),0)</x:f>
      </x:c>
      <x:c r="M394" s="32" t="e">
        <x:f>IF(A394&lt;=Dashboard!$F$17,MAX(0,I394-J394-MAX(0,L394-K394)),0)</x:f>
      </x:c>
      <x:c r="N394" s="32" t="e">
        <x:f>IF(A394=1,K394,N393+K394)</x:f>
      </x:c>
      <x:c r="O394" s="32"/>
      <x:c r="P394" s="32" t="e">
        <x:f>IF(A394=1,Dashboard!$F$14,T393)</x:f>
      </x:c>
      <x:c r="Q394" s="32" t="e">
        <x:f>IF(A394&lt;=Dashboard!$F$17,MIN(P394,$B$6*52/12),0)</x:f>
      </x:c>
      <x:c r="R394" s="32" t="e">
        <x:f>IF(A394&lt;=Dashboard!$F$17,MAX(0,P394-Q394)*Dashboard!$F$6,0)</x:f>
      </x:c>
      <x:c r="S394" s="32" t="e">
        <x:f>IF(A394&lt;=Dashboard!$F$17,MIN(Dashboard!$F$10,MAX(0,P394-Q394)+R394),0)</x:f>
      </x:c>
      <x:c r="T394" s="32" t="e">
        <x:f>IF(A394&lt;=Dashboard!$F$17,MAX(0,P394-Q394-MAX(0,S394-R394)),0)</x:f>
      </x:c>
      <x:c r="U394" s="32" t="e">
        <x:f>IF(A394=1,R394,U393+R394)</x:f>
      </x:c>
      <x:c r="V394" s="32"/>
      <x:c r="W394" s="32" t="e">
        <x:f>IF(A394=1,Dashboard!$F$14,AA393)</x:f>
      </x:c>
      <x:c r="X394" s="32" t="e">
        <x:f>IF(AND(A394&lt;=Dashboard!$F$17,MOD(A394-1,12)=0),MIN(W394,$B$7),0)</x:f>
      </x:c>
      <x:c r="Y394" s="32" t="e">
        <x:f>IF(A394&lt;=Dashboard!$F$17,MAX(0,W394-X394)*Dashboard!$F$6,0)</x:f>
      </x:c>
      <x:c r="Z394" s="32" t="e">
        <x:f>IF(A394&lt;=Dashboard!$F$17,MIN(Dashboard!$F$10,MAX(0,W394-X394)+Y394),0)</x:f>
      </x:c>
      <x:c r="AA394" s="32" t="e">
        <x:f>IF(A394&lt;=Dashboard!$F$17,MAX(0,W394-X394-MAX(0,Z394-Y394)),0)</x:f>
      </x:c>
      <x:c r="AB394" s="32" t="e">
        <x:f>IF(A394=1,Y394,AB393+Y394)</x:f>
      </x:c>
      <x:c r="AC394" s="32"/>
      <x:c r="AD394" s="32" t="e">
        <x:f>IF(A394=1,MAX(0,Dashboard!$F$14-$B$8),AG393)</x:f>
      </x:c>
      <x:c r="AE394" s="32" t="n">
        <x:f>0</x:f>
        <x:v>0</x:v>
      </x:c>
      <x:c r="AF394" s="32" t="e">
        <x:f>IF(A394&lt;=Dashboard!$F$17,AD394*Dashboard!$F$6,0)</x:f>
      </x:c>
      <x:c r="AG394" s="32" t="e">
        <x:f>IF(A394&lt;=Dashboard!$F$17,MIN(Dashboard!$F$10,AD394+AF394),0)</x:f>
      </x:c>
      <x:c r="AH394" s="32" t="e">
        <x:f>IF(A394&lt;=Dashboard!$F$17,MAX(0,AD394-MAX(0,AG394-AF394)),0)</x:f>
      </x:c>
      <x:c r="AI394" s="32" t="e">
        <x:f>IF(A394=1,AF394,AI393+AF394)</x:f>
      </x:c>
      <x:c r="AJ394" s="33"/>
      <x:c r="AK394" s="33"/>
      <x:c r="AL394" s="33"/>
      <x:c r="AM394" s="33"/>
    </x:row>
    <x:row r="395">
      <x:c r="A395" s="33" t="n">
        <x:v>383</x:v>
      </x:c>
      <x:c r="B395" s="32" t="e">
        <x:f>IF(A395=1,Dashboard!$F$14,F394)</x:f>
      </x:c>
      <x:c r="C395" s="32" t="n">
        <x:f>0</x:f>
        <x:v>0</x:v>
      </x:c>
      <x:c r="D395" s="32" t="e">
        <x:f>IF(A395&lt;=Dashboard!$F$15,B395*Dashboard!$F$6,0)</x:f>
      </x:c>
      <x:c r="E395" s="32" t="e">
        <x:f>IF(A395&lt;=Dashboard!$F$15,MIN(Dashboard!$F$10,B395+D395),0)</x:f>
      </x:c>
      <x:c r="F395" s="32" t="e">
        <x:f>IF(A395&lt;=Dashboard!$F$15,MAX(0,B395-MAX(0,E395-D395)),0)</x:f>
      </x:c>
      <x:c r="G395" s="32" t="e">
        <x:f>IF(A395=1,D395,G394+D395)</x:f>
      </x:c>
      <x:c r="H395" s="32"/>
      <x:c r="I395" s="32" t="e">
        <x:f>IF(A395=1,Dashboard!$F$14,M394)</x:f>
      </x:c>
      <x:c r="J395" s="32" t="e">
        <x:f>IF(A395&lt;=Dashboard!$F$17,MIN(I395,$B$5),0)</x:f>
      </x:c>
      <x:c r="K395" s="32" t="e">
        <x:f>IF(A395&lt;=Dashboard!$F$17,MAX(0,I395-J395)*Dashboard!$F$6,0)</x:f>
      </x:c>
      <x:c r="L395" s="32" t="e">
        <x:f>IF(A395&lt;=Dashboard!$F$17,MIN(Dashboard!$F$10,MAX(0,I395-J395)+K395),0)</x:f>
      </x:c>
      <x:c r="M395" s="32" t="e">
        <x:f>IF(A395&lt;=Dashboard!$F$17,MAX(0,I395-J395-MAX(0,L395-K395)),0)</x:f>
      </x:c>
      <x:c r="N395" s="32" t="e">
        <x:f>IF(A395=1,K395,N394+K395)</x:f>
      </x:c>
      <x:c r="O395" s="32"/>
      <x:c r="P395" s="32" t="e">
        <x:f>IF(A395=1,Dashboard!$F$14,T394)</x:f>
      </x:c>
      <x:c r="Q395" s="32" t="e">
        <x:f>IF(A395&lt;=Dashboard!$F$17,MIN(P395,$B$6*52/12),0)</x:f>
      </x:c>
      <x:c r="R395" s="32" t="e">
        <x:f>IF(A395&lt;=Dashboard!$F$17,MAX(0,P395-Q395)*Dashboard!$F$6,0)</x:f>
      </x:c>
      <x:c r="S395" s="32" t="e">
        <x:f>IF(A395&lt;=Dashboard!$F$17,MIN(Dashboard!$F$10,MAX(0,P395-Q395)+R395),0)</x:f>
      </x:c>
      <x:c r="T395" s="32" t="e">
        <x:f>IF(A395&lt;=Dashboard!$F$17,MAX(0,P395-Q395-MAX(0,S395-R395)),0)</x:f>
      </x:c>
      <x:c r="U395" s="32" t="e">
        <x:f>IF(A395=1,R395,U394+R395)</x:f>
      </x:c>
      <x:c r="V395" s="32"/>
      <x:c r="W395" s="32" t="e">
        <x:f>IF(A395=1,Dashboard!$F$14,AA394)</x:f>
      </x:c>
      <x:c r="X395" s="32" t="e">
        <x:f>IF(AND(A395&lt;=Dashboard!$F$17,MOD(A395-1,12)=0),MIN(W395,$B$7),0)</x:f>
      </x:c>
      <x:c r="Y395" s="32" t="e">
        <x:f>IF(A395&lt;=Dashboard!$F$17,MAX(0,W395-X395)*Dashboard!$F$6,0)</x:f>
      </x:c>
      <x:c r="Z395" s="32" t="e">
        <x:f>IF(A395&lt;=Dashboard!$F$17,MIN(Dashboard!$F$10,MAX(0,W395-X395)+Y395),0)</x:f>
      </x:c>
      <x:c r="AA395" s="32" t="e">
        <x:f>IF(A395&lt;=Dashboard!$F$17,MAX(0,W395-X395-MAX(0,Z395-Y395)),0)</x:f>
      </x:c>
      <x:c r="AB395" s="32" t="e">
        <x:f>IF(A395=1,Y395,AB394+Y395)</x:f>
      </x:c>
      <x:c r="AC395" s="32"/>
      <x:c r="AD395" s="32" t="e">
        <x:f>IF(A395=1,MAX(0,Dashboard!$F$14-$B$8),AG394)</x:f>
      </x:c>
      <x:c r="AE395" s="32" t="n">
        <x:f>0</x:f>
        <x:v>0</x:v>
      </x:c>
      <x:c r="AF395" s="32" t="e">
        <x:f>IF(A395&lt;=Dashboard!$F$17,AD395*Dashboard!$F$6,0)</x:f>
      </x:c>
      <x:c r="AG395" s="32" t="e">
        <x:f>IF(A395&lt;=Dashboard!$F$17,MIN(Dashboard!$F$10,AD395+AF395),0)</x:f>
      </x:c>
      <x:c r="AH395" s="32" t="e">
        <x:f>IF(A395&lt;=Dashboard!$F$17,MAX(0,AD395-MAX(0,AG395-AF395)),0)</x:f>
      </x:c>
      <x:c r="AI395" s="32" t="e">
        <x:f>IF(A395=1,AF395,AI394+AF395)</x:f>
      </x:c>
      <x:c r="AJ395" s="33"/>
      <x:c r="AK395" s="33"/>
      <x:c r="AL395" s="33"/>
      <x:c r="AM395" s="33"/>
    </x:row>
    <x:row r="396">
      <x:c r="A396" s="33" t="n">
        <x:v>384</x:v>
      </x:c>
      <x:c r="B396" s="32" t="e">
        <x:f>IF(A396=1,Dashboard!$F$14,F395)</x:f>
      </x:c>
      <x:c r="C396" s="32" t="n">
        <x:f>0</x:f>
        <x:v>0</x:v>
      </x:c>
      <x:c r="D396" s="32" t="e">
        <x:f>IF(A396&lt;=Dashboard!$F$15,B396*Dashboard!$F$6,0)</x:f>
      </x:c>
      <x:c r="E396" s="32" t="e">
        <x:f>IF(A396&lt;=Dashboard!$F$15,MIN(Dashboard!$F$10,B396+D396),0)</x:f>
      </x:c>
      <x:c r="F396" s="32" t="e">
        <x:f>IF(A396&lt;=Dashboard!$F$15,MAX(0,B396-MAX(0,E396-D396)),0)</x:f>
      </x:c>
      <x:c r="G396" s="32" t="e">
        <x:f>IF(A396=1,D396,G395+D396)</x:f>
      </x:c>
      <x:c r="H396" s="32"/>
      <x:c r="I396" s="32" t="e">
        <x:f>IF(A396=1,Dashboard!$F$14,M395)</x:f>
      </x:c>
      <x:c r="J396" s="32" t="e">
        <x:f>IF(A396&lt;=Dashboard!$F$17,MIN(I396,$B$5),0)</x:f>
      </x:c>
      <x:c r="K396" s="32" t="e">
        <x:f>IF(A396&lt;=Dashboard!$F$17,MAX(0,I396-J396)*Dashboard!$F$6,0)</x:f>
      </x:c>
      <x:c r="L396" s="32" t="e">
        <x:f>IF(A396&lt;=Dashboard!$F$17,MIN(Dashboard!$F$10,MAX(0,I396-J396)+K396),0)</x:f>
      </x:c>
      <x:c r="M396" s="32" t="e">
        <x:f>IF(A396&lt;=Dashboard!$F$17,MAX(0,I396-J396-MAX(0,L396-K396)),0)</x:f>
      </x:c>
      <x:c r="N396" s="32" t="e">
        <x:f>IF(A396=1,K396,N395+K396)</x:f>
      </x:c>
      <x:c r="O396" s="32"/>
      <x:c r="P396" s="32" t="e">
        <x:f>IF(A396=1,Dashboard!$F$14,T395)</x:f>
      </x:c>
      <x:c r="Q396" s="32" t="e">
        <x:f>IF(A396&lt;=Dashboard!$F$17,MIN(P396,$B$6*52/12),0)</x:f>
      </x:c>
      <x:c r="R396" s="32" t="e">
        <x:f>IF(A396&lt;=Dashboard!$F$17,MAX(0,P396-Q396)*Dashboard!$F$6,0)</x:f>
      </x:c>
      <x:c r="S396" s="32" t="e">
        <x:f>IF(A396&lt;=Dashboard!$F$17,MIN(Dashboard!$F$10,MAX(0,P396-Q396)+R396),0)</x:f>
      </x:c>
      <x:c r="T396" s="32" t="e">
        <x:f>IF(A396&lt;=Dashboard!$F$17,MAX(0,P396-Q396-MAX(0,S396-R396)),0)</x:f>
      </x:c>
      <x:c r="U396" s="32" t="e">
        <x:f>IF(A396=1,R396,U395+R396)</x:f>
      </x:c>
      <x:c r="V396" s="32"/>
      <x:c r="W396" s="32" t="e">
        <x:f>IF(A396=1,Dashboard!$F$14,AA395)</x:f>
      </x:c>
      <x:c r="X396" s="32" t="e">
        <x:f>IF(AND(A396&lt;=Dashboard!$F$17,MOD(A396-1,12)=0),MIN(W396,$B$7),0)</x:f>
      </x:c>
      <x:c r="Y396" s="32" t="e">
        <x:f>IF(A396&lt;=Dashboard!$F$17,MAX(0,W396-X396)*Dashboard!$F$6,0)</x:f>
      </x:c>
      <x:c r="Z396" s="32" t="e">
        <x:f>IF(A396&lt;=Dashboard!$F$17,MIN(Dashboard!$F$10,MAX(0,W396-X396)+Y396),0)</x:f>
      </x:c>
      <x:c r="AA396" s="32" t="e">
        <x:f>IF(A396&lt;=Dashboard!$F$17,MAX(0,W396-X396-MAX(0,Z396-Y396)),0)</x:f>
      </x:c>
      <x:c r="AB396" s="32" t="e">
        <x:f>IF(A396=1,Y396,AB395+Y396)</x:f>
      </x:c>
      <x:c r="AC396" s="32"/>
      <x:c r="AD396" s="32" t="e">
        <x:f>IF(A396=1,MAX(0,Dashboard!$F$14-$B$8),AG395)</x:f>
      </x:c>
      <x:c r="AE396" s="32" t="n">
        <x:f>0</x:f>
        <x:v>0</x:v>
      </x:c>
      <x:c r="AF396" s="32" t="e">
        <x:f>IF(A396&lt;=Dashboard!$F$17,AD396*Dashboard!$F$6,0)</x:f>
      </x:c>
      <x:c r="AG396" s="32" t="e">
        <x:f>IF(A396&lt;=Dashboard!$F$17,MIN(Dashboard!$F$10,AD396+AF396),0)</x:f>
      </x:c>
      <x:c r="AH396" s="32" t="e">
        <x:f>IF(A396&lt;=Dashboard!$F$17,MAX(0,AD396-MAX(0,AG396-AF396)),0)</x:f>
      </x:c>
      <x:c r="AI396" s="32" t="e">
        <x:f>IF(A396=1,AF396,AI395+AF396)</x:f>
      </x:c>
      <x:c r="AJ396" s="33"/>
      <x:c r="AK396" s="33"/>
      <x:c r="AL396" s="33"/>
      <x:c r="AM396" s="33"/>
    </x:row>
    <x:row r="397">
      <x:c r="A397" s="33" t="n">
        <x:v>385</x:v>
      </x:c>
      <x:c r="B397" s="32" t="e">
        <x:f>IF(A397=1,Dashboard!$F$14,F396)</x:f>
      </x:c>
      <x:c r="C397" s="32" t="n">
        <x:f>0</x:f>
        <x:v>0</x:v>
      </x:c>
      <x:c r="D397" s="32" t="e">
        <x:f>IF(A397&lt;=Dashboard!$F$15,B397*Dashboard!$F$6,0)</x:f>
      </x:c>
      <x:c r="E397" s="32" t="e">
        <x:f>IF(A397&lt;=Dashboard!$F$15,MIN(Dashboard!$F$10,B397+D397),0)</x:f>
      </x:c>
      <x:c r="F397" s="32" t="e">
        <x:f>IF(A397&lt;=Dashboard!$F$15,MAX(0,B397-MAX(0,E397-D397)),0)</x:f>
      </x:c>
      <x:c r="G397" s="32" t="e">
        <x:f>IF(A397=1,D397,G396+D397)</x:f>
      </x:c>
      <x:c r="H397" s="32"/>
      <x:c r="I397" s="32" t="e">
        <x:f>IF(A397=1,Dashboard!$F$14,M396)</x:f>
      </x:c>
      <x:c r="J397" s="32" t="e">
        <x:f>IF(A397&lt;=Dashboard!$F$17,MIN(I397,$B$5),0)</x:f>
      </x:c>
      <x:c r="K397" s="32" t="e">
        <x:f>IF(A397&lt;=Dashboard!$F$17,MAX(0,I397-J397)*Dashboard!$F$6,0)</x:f>
      </x:c>
      <x:c r="L397" s="32" t="e">
        <x:f>IF(A397&lt;=Dashboard!$F$17,MIN(Dashboard!$F$10,MAX(0,I397-J397)+K397),0)</x:f>
      </x:c>
      <x:c r="M397" s="32" t="e">
        <x:f>IF(A397&lt;=Dashboard!$F$17,MAX(0,I397-J397-MAX(0,L397-K397)),0)</x:f>
      </x:c>
      <x:c r="N397" s="32" t="e">
        <x:f>IF(A397=1,K397,N396+K397)</x:f>
      </x:c>
      <x:c r="O397" s="32"/>
      <x:c r="P397" s="32" t="e">
        <x:f>IF(A397=1,Dashboard!$F$14,T396)</x:f>
      </x:c>
      <x:c r="Q397" s="32" t="e">
        <x:f>IF(A397&lt;=Dashboard!$F$17,MIN(P397,$B$6*52/12),0)</x:f>
      </x:c>
      <x:c r="R397" s="32" t="e">
        <x:f>IF(A397&lt;=Dashboard!$F$17,MAX(0,P397-Q397)*Dashboard!$F$6,0)</x:f>
      </x:c>
      <x:c r="S397" s="32" t="e">
        <x:f>IF(A397&lt;=Dashboard!$F$17,MIN(Dashboard!$F$10,MAX(0,P397-Q397)+R397),0)</x:f>
      </x:c>
      <x:c r="T397" s="32" t="e">
        <x:f>IF(A397&lt;=Dashboard!$F$17,MAX(0,P397-Q397-MAX(0,S397-R397)),0)</x:f>
      </x:c>
      <x:c r="U397" s="32" t="e">
        <x:f>IF(A397=1,R397,U396+R397)</x:f>
      </x:c>
      <x:c r="V397" s="32"/>
      <x:c r="W397" s="32" t="e">
        <x:f>IF(A397=1,Dashboard!$F$14,AA396)</x:f>
      </x:c>
      <x:c r="X397" s="32" t="e">
        <x:f>IF(AND(A397&lt;=Dashboard!$F$17,MOD(A397-1,12)=0),MIN(W397,$B$7),0)</x:f>
      </x:c>
      <x:c r="Y397" s="32" t="e">
        <x:f>IF(A397&lt;=Dashboard!$F$17,MAX(0,W397-X397)*Dashboard!$F$6,0)</x:f>
      </x:c>
      <x:c r="Z397" s="32" t="e">
        <x:f>IF(A397&lt;=Dashboard!$F$17,MIN(Dashboard!$F$10,MAX(0,W397-X397)+Y397),0)</x:f>
      </x:c>
      <x:c r="AA397" s="32" t="e">
        <x:f>IF(A397&lt;=Dashboard!$F$17,MAX(0,W397-X397-MAX(0,Z397-Y397)),0)</x:f>
      </x:c>
      <x:c r="AB397" s="32" t="e">
        <x:f>IF(A397=1,Y397,AB396+Y397)</x:f>
      </x:c>
      <x:c r="AC397" s="32"/>
      <x:c r="AD397" s="32" t="e">
        <x:f>IF(A397=1,MAX(0,Dashboard!$F$14-$B$8),AG396)</x:f>
      </x:c>
      <x:c r="AE397" s="32" t="n">
        <x:f>0</x:f>
        <x:v>0</x:v>
      </x:c>
      <x:c r="AF397" s="32" t="e">
        <x:f>IF(A397&lt;=Dashboard!$F$17,AD397*Dashboard!$F$6,0)</x:f>
      </x:c>
      <x:c r="AG397" s="32" t="e">
        <x:f>IF(A397&lt;=Dashboard!$F$17,MIN(Dashboard!$F$10,AD397+AF397),0)</x:f>
      </x:c>
      <x:c r="AH397" s="32" t="e">
        <x:f>IF(A397&lt;=Dashboard!$F$17,MAX(0,AD397-MAX(0,AG397-AF397)),0)</x:f>
      </x:c>
      <x:c r="AI397" s="32" t="e">
        <x:f>IF(A397=1,AF397,AI396+AF397)</x:f>
      </x:c>
      <x:c r="AJ397" s="33"/>
      <x:c r="AK397" s="33"/>
      <x:c r="AL397" s="33"/>
      <x:c r="AM397" s="33"/>
    </x:row>
    <x:row r="398">
      <x:c r="A398" s="33" t="n">
        <x:v>386</x:v>
      </x:c>
      <x:c r="B398" s="32" t="e">
        <x:f>IF(A398=1,Dashboard!$F$14,F397)</x:f>
      </x:c>
      <x:c r="C398" s="32" t="n">
        <x:f>0</x:f>
        <x:v>0</x:v>
      </x:c>
      <x:c r="D398" s="32" t="e">
        <x:f>IF(A398&lt;=Dashboard!$F$15,B398*Dashboard!$F$6,0)</x:f>
      </x:c>
      <x:c r="E398" s="32" t="e">
        <x:f>IF(A398&lt;=Dashboard!$F$15,MIN(Dashboard!$F$10,B398+D398),0)</x:f>
      </x:c>
      <x:c r="F398" s="32" t="e">
        <x:f>IF(A398&lt;=Dashboard!$F$15,MAX(0,B398-MAX(0,E398-D398)),0)</x:f>
      </x:c>
      <x:c r="G398" s="32" t="e">
        <x:f>IF(A398=1,D398,G397+D398)</x:f>
      </x:c>
      <x:c r="H398" s="32"/>
      <x:c r="I398" s="32" t="e">
        <x:f>IF(A398=1,Dashboard!$F$14,M397)</x:f>
      </x:c>
      <x:c r="J398" s="32" t="e">
        <x:f>IF(A398&lt;=Dashboard!$F$17,MIN(I398,$B$5),0)</x:f>
      </x:c>
      <x:c r="K398" s="32" t="e">
        <x:f>IF(A398&lt;=Dashboard!$F$17,MAX(0,I398-J398)*Dashboard!$F$6,0)</x:f>
      </x:c>
      <x:c r="L398" s="32" t="e">
        <x:f>IF(A398&lt;=Dashboard!$F$17,MIN(Dashboard!$F$10,MAX(0,I398-J398)+K398),0)</x:f>
      </x:c>
      <x:c r="M398" s="32" t="e">
        <x:f>IF(A398&lt;=Dashboard!$F$17,MAX(0,I398-J398-MAX(0,L398-K398)),0)</x:f>
      </x:c>
      <x:c r="N398" s="32" t="e">
        <x:f>IF(A398=1,K398,N397+K398)</x:f>
      </x:c>
      <x:c r="O398" s="32"/>
      <x:c r="P398" s="32" t="e">
        <x:f>IF(A398=1,Dashboard!$F$14,T397)</x:f>
      </x:c>
      <x:c r="Q398" s="32" t="e">
        <x:f>IF(A398&lt;=Dashboard!$F$17,MIN(P398,$B$6*52/12),0)</x:f>
      </x:c>
      <x:c r="R398" s="32" t="e">
        <x:f>IF(A398&lt;=Dashboard!$F$17,MAX(0,P398-Q398)*Dashboard!$F$6,0)</x:f>
      </x:c>
      <x:c r="S398" s="32" t="e">
        <x:f>IF(A398&lt;=Dashboard!$F$17,MIN(Dashboard!$F$10,MAX(0,P398-Q398)+R398),0)</x:f>
      </x:c>
      <x:c r="T398" s="32" t="e">
        <x:f>IF(A398&lt;=Dashboard!$F$17,MAX(0,P398-Q398-MAX(0,S398-R398)),0)</x:f>
      </x:c>
      <x:c r="U398" s="32" t="e">
        <x:f>IF(A398=1,R398,U397+R398)</x:f>
      </x:c>
      <x:c r="V398" s="32"/>
      <x:c r="W398" s="32" t="e">
        <x:f>IF(A398=1,Dashboard!$F$14,AA397)</x:f>
      </x:c>
      <x:c r="X398" s="32" t="e">
        <x:f>IF(AND(A398&lt;=Dashboard!$F$17,MOD(A398-1,12)=0),MIN(W398,$B$7),0)</x:f>
      </x:c>
      <x:c r="Y398" s="32" t="e">
        <x:f>IF(A398&lt;=Dashboard!$F$17,MAX(0,W398-X398)*Dashboard!$F$6,0)</x:f>
      </x:c>
      <x:c r="Z398" s="32" t="e">
        <x:f>IF(A398&lt;=Dashboard!$F$17,MIN(Dashboard!$F$10,MAX(0,W398-X398)+Y398),0)</x:f>
      </x:c>
      <x:c r="AA398" s="32" t="e">
        <x:f>IF(A398&lt;=Dashboard!$F$17,MAX(0,W398-X398-MAX(0,Z398-Y398)),0)</x:f>
      </x:c>
      <x:c r="AB398" s="32" t="e">
        <x:f>IF(A398=1,Y398,AB397+Y398)</x:f>
      </x:c>
      <x:c r="AC398" s="32"/>
      <x:c r="AD398" s="32" t="e">
        <x:f>IF(A398=1,MAX(0,Dashboard!$F$14-$B$8),AG397)</x:f>
      </x:c>
      <x:c r="AE398" s="32" t="n">
        <x:f>0</x:f>
        <x:v>0</x:v>
      </x:c>
      <x:c r="AF398" s="32" t="e">
        <x:f>IF(A398&lt;=Dashboard!$F$17,AD398*Dashboard!$F$6,0)</x:f>
      </x:c>
      <x:c r="AG398" s="32" t="e">
        <x:f>IF(A398&lt;=Dashboard!$F$17,MIN(Dashboard!$F$10,AD398+AF398),0)</x:f>
      </x:c>
      <x:c r="AH398" s="32" t="e">
        <x:f>IF(A398&lt;=Dashboard!$F$17,MAX(0,AD398-MAX(0,AG398-AF398)),0)</x:f>
      </x:c>
      <x:c r="AI398" s="32" t="e">
        <x:f>IF(A398=1,AF398,AI397+AF398)</x:f>
      </x:c>
      <x:c r="AJ398" s="33"/>
      <x:c r="AK398" s="33"/>
      <x:c r="AL398" s="33"/>
      <x:c r="AM398" s="33"/>
    </x:row>
    <x:row r="399">
      <x:c r="A399" s="33" t="n">
        <x:v>387</x:v>
      </x:c>
      <x:c r="B399" s="32" t="e">
        <x:f>IF(A399=1,Dashboard!$F$14,F398)</x:f>
      </x:c>
      <x:c r="C399" s="32" t="n">
        <x:f>0</x:f>
        <x:v>0</x:v>
      </x:c>
      <x:c r="D399" s="32" t="e">
        <x:f>IF(A399&lt;=Dashboard!$F$15,B399*Dashboard!$F$6,0)</x:f>
      </x:c>
      <x:c r="E399" s="32" t="e">
        <x:f>IF(A399&lt;=Dashboard!$F$15,MIN(Dashboard!$F$10,B399+D399),0)</x:f>
      </x:c>
      <x:c r="F399" s="32" t="e">
        <x:f>IF(A399&lt;=Dashboard!$F$15,MAX(0,B399-MAX(0,E399-D399)),0)</x:f>
      </x:c>
      <x:c r="G399" s="32" t="e">
        <x:f>IF(A399=1,D399,G398+D399)</x:f>
      </x:c>
      <x:c r="H399" s="32"/>
      <x:c r="I399" s="32" t="e">
        <x:f>IF(A399=1,Dashboard!$F$14,M398)</x:f>
      </x:c>
      <x:c r="J399" s="32" t="e">
        <x:f>IF(A399&lt;=Dashboard!$F$17,MIN(I399,$B$5),0)</x:f>
      </x:c>
      <x:c r="K399" s="32" t="e">
        <x:f>IF(A399&lt;=Dashboard!$F$17,MAX(0,I399-J399)*Dashboard!$F$6,0)</x:f>
      </x:c>
      <x:c r="L399" s="32" t="e">
        <x:f>IF(A399&lt;=Dashboard!$F$17,MIN(Dashboard!$F$10,MAX(0,I399-J399)+K399),0)</x:f>
      </x:c>
      <x:c r="M399" s="32" t="e">
        <x:f>IF(A399&lt;=Dashboard!$F$17,MAX(0,I399-J399-MAX(0,L399-K399)),0)</x:f>
      </x:c>
      <x:c r="N399" s="32" t="e">
        <x:f>IF(A399=1,K399,N398+K399)</x:f>
      </x:c>
      <x:c r="O399" s="32"/>
      <x:c r="P399" s="32" t="e">
        <x:f>IF(A399=1,Dashboard!$F$14,T398)</x:f>
      </x:c>
      <x:c r="Q399" s="32" t="e">
        <x:f>IF(A399&lt;=Dashboard!$F$17,MIN(P399,$B$6*52/12),0)</x:f>
      </x:c>
      <x:c r="R399" s="32" t="e">
        <x:f>IF(A399&lt;=Dashboard!$F$17,MAX(0,P399-Q399)*Dashboard!$F$6,0)</x:f>
      </x:c>
      <x:c r="S399" s="32" t="e">
        <x:f>IF(A399&lt;=Dashboard!$F$17,MIN(Dashboard!$F$10,MAX(0,P399-Q399)+R399),0)</x:f>
      </x:c>
      <x:c r="T399" s="32" t="e">
        <x:f>IF(A399&lt;=Dashboard!$F$17,MAX(0,P399-Q399-MAX(0,S399-R399)),0)</x:f>
      </x:c>
      <x:c r="U399" s="32" t="e">
        <x:f>IF(A399=1,R399,U398+R399)</x:f>
      </x:c>
      <x:c r="V399" s="32"/>
      <x:c r="W399" s="32" t="e">
        <x:f>IF(A399=1,Dashboard!$F$14,AA398)</x:f>
      </x:c>
      <x:c r="X399" s="32" t="e">
        <x:f>IF(AND(A399&lt;=Dashboard!$F$17,MOD(A399-1,12)=0),MIN(W399,$B$7),0)</x:f>
      </x:c>
      <x:c r="Y399" s="32" t="e">
        <x:f>IF(A399&lt;=Dashboard!$F$17,MAX(0,W399-X399)*Dashboard!$F$6,0)</x:f>
      </x:c>
      <x:c r="Z399" s="32" t="e">
        <x:f>IF(A399&lt;=Dashboard!$F$17,MIN(Dashboard!$F$10,MAX(0,W399-X399)+Y399),0)</x:f>
      </x:c>
      <x:c r="AA399" s="32" t="e">
        <x:f>IF(A399&lt;=Dashboard!$F$17,MAX(0,W399-X399-MAX(0,Z399-Y399)),0)</x:f>
      </x:c>
      <x:c r="AB399" s="32" t="e">
        <x:f>IF(A399=1,Y399,AB398+Y399)</x:f>
      </x:c>
      <x:c r="AC399" s="32"/>
      <x:c r="AD399" s="32" t="e">
        <x:f>IF(A399=1,MAX(0,Dashboard!$F$14-$B$8),AG398)</x:f>
      </x:c>
      <x:c r="AE399" s="32" t="n">
        <x:f>0</x:f>
        <x:v>0</x:v>
      </x:c>
      <x:c r="AF399" s="32" t="e">
        <x:f>IF(A399&lt;=Dashboard!$F$17,AD399*Dashboard!$F$6,0)</x:f>
      </x:c>
      <x:c r="AG399" s="32" t="e">
        <x:f>IF(A399&lt;=Dashboard!$F$17,MIN(Dashboard!$F$10,AD399+AF399),0)</x:f>
      </x:c>
      <x:c r="AH399" s="32" t="e">
        <x:f>IF(A399&lt;=Dashboard!$F$17,MAX(0,AD399-MAX(0,AG399-AF399)),0)</x:f>
      </x:c>
      <x:c r="AI399" s="32" t="e">
        <x:f>IF(A399=1,AF399,AI398+AF399)</x:f>
      </x:c>
      <x:c r="AJ399" s="33"/>
      <x:c r="AK399" s="33"/>
      <x:c r="AL399" s="33"/>
      <x:c r="AM399" s="33"/>
    </x:row>
    <x:row r="400">
      <x:c r="A400" s="33" t="n">
        <x:v>388</x:v>
      </x:c>
      <x:c r="B400" s="32" t="e">
        <x:f>IF(A400=1,Dashboard!$F$14,F399)</x:f>
      </x:c>
      <x:c r="C400" s="32" t="n">
        <x:f>0</x:f>
        <x:v>0</x:v>
      </x:c>
      <x:c r="D400" s="32" t="e">
        <x:f>IF(A400&lt;=Dashboard!$F$15,B400*Dashboard!$F$6,0)</x:f>
      </x:c>
      <x:c r="E400" s="32" t="e">
        <x:f>IF(A400&lt;=Dashboard!$F$15,MIN(Dashboard!$F$10,B400+D400),0)</x:f>
      </x:c>
      <x:c r="F400" s="32" t="e">
        <x:f>IF(A400&lt;=Dashboard!$F$15,MAX(0,B400-MAX(0,E400-D400)),0)</x:f>
      </x:c>
      <x:c r="G400" s="32" t="e">
        <x:f>IF(A400=1,D400,G399+D400)</x:f>
      </x:c>
      <x:c r="H400" s="32"/>
      <x:c r="I400" s="32" t="e">
        <x:f>IF(A400=1,Dashboard!$F$14,M399)</x:f>
      </x:c>
      <x:c r="J400" s="32" t="e">
        <x:f>IF(A400&lt;=Dashboard!$F$17,MIN(I400,$B$5),0)</x:f>
      </x:c>
      <x:c r="K400" s="32" t="e">
        <x:f>IF(A400&lt;=Dashboard!$F$17,MAX(0,I400-J400)*Dashboard!$F$6,0)</x:f>
      </x:c>
      <x:c r="L400" s="32" t="e">
        <x:f>IF(A400&lt;=Dashboard!$F$17,MIN(Dashboard!$F$10,MAX(0,I400-J400)+K400),0)</x:f>
      </x:c>
      <x:c r="M400" s="32" t="e">
        <x:f>IF(A400&lt;=Dashboard!$F$17,MAX(0,I400-J400-MAX(0,L400-K400)),0)</x:f>
      </x:c>
      <x:c r="N400" s="32" t="e">
        <x:f>IF(A400=1,K400,N399+K400)</x:f>
      </x:c>
      <x:c r="O400" s="32"/>
      <x:c r="P400" s="32" t="e">
        <x:f>IF(A400=1,Dashboard!$F$14,T399)</x:f>
      </x:c>
      <x:c r="Q400" s="32" t="e">
        <x:f>IF(A400&lt;=Dashboard!$F$17,MIN(P400,$B$6*52/12),0)</x:f>
      </x:c>
      <x:c r="R400" s="32" t="e">
        <x:f>IF(A400&lt;=Dashboard!$F$17,MAX(0,P400-Q400)*Dashboard!$F$6,0)</x:f>
      </x:c>
      <x:c r="S400" s="32" t="e">
        <x:f>IF(A400&lt;=Dashboard!$F$17,MIN(Dashboard!$F$10,MAX(0,P400-Q400)+R400),0)</x:f>
      </x:c>
      <x:c r="T400" s="32" t="e">
        <x:f>IF(A400&lt;=Dashboard!$F$17,MAX(0,P400-Q400-MAX(0,S400-R400)),0)</x:f>
      </x:c>
      <x:c r="U400" s="32" t="e">
        <x:f>IF(A400=1,R400,U399+R400)</x:f>
      </x:c>
      <x:c r="V400" s="32"/>
      <x:c r="W400" s="32" t="e">
        <x:f>IF(A400=1,Dashboard!$F$14,AA399)</x:f>
      </x:c>
      <x:c r="X400" s="32" t="e">
        <x:f>IF(AND(A400&lt;=Dashboard!$F$17,MOD(A400-1,12)=0),MIN(W400,$B$7),0)</x:f>
      </x:c>
      <x:c r="Y400" s="32" t="e">
        <x:f>IF(A400&lt;=Dashboard!$F$17,MAX(0,W400-X400)*Dashboard!$F$6,0)</x:f>
      </x:c>
      <x:c r="Z400" s="32" t="e">
        <x:f>IF(A400&lt;=Dashboard!$F$17,MIN(Dashboard!$F$10,MAX(0,W400-X400)+Y400),0)</x:f>
      </x:c>
      <x:c r="AA400" s="32" t="e">
        <x:f>IF(A400&lt;=Dashboard!$F$17,MAX(0,W400-X400-MAX(0,Z400-Y400)),0)</x:f>
      </x:c>
      <x:c r="AB400" s="32" t="e">
        <x:f>IF(A400=1,Y400,AB399+Y400)</x:f>
      </x:c>
      <x:c r="AC400" s="32"/>
      <x:c r="AD400" s="32" t="e">
        <x:f>IF(A400=1,MAX(0,Dashboard!$F$14-$B$8),AG399)</x:f>
      </x:c>
      <x:c r="AE400" s="32" t="n">
        <x:f>0</x:f>
        <x:v>0</x:v>
      </x:c>
      <x:c r="AF400" s="32" t="e">
        <x:f>IF(A400&lt;=Dashboard!$F$17,AD400*Dashboard!$F$6,0)</x:f>
      </x:c>
      <x:c r="AG400" s="32" t="e">
        <x:f>IF(A400&lt;=Dashboard!$F$17,MIN(Dashboard!$F$10,AD400+AF400),0)</x:f>
      </x:c>
      <x:c r="AH400" s="32" t="e">
        <x:f>IF(A400&lt;=Dashboard!$F$17,MAX(0,AD400-MAX(0,AG400-AF400)),0)</x:f>
      </x:c>
      <x:c r="AI400" s="32" t="e">
        <x:f>IF(A400=1,AF400,AI399+AF400)</x:f>
      </x:c>
      <x:c r="AJ400" s="33"/>
      <x:c r="AK400" s="33"/>
      <x:c r="AL400" s="33"/>
      <x:c r="AM400" s="33"/>
    </x:row>
    <x:row r="401">
      <x:c r="A401" s="33" t="n">
        <x:v>389</x:v>
      </x:c>
      <x:c r="B401" s="32" t="e">
        <x:f>IF(A401=1,Dashboard!$F$14,F400)</x:f>
      </x:c>
      <x:c r="C401" s="32" t="n">
        <x:f>0</x:f>
        <x:v>0</x:v>
      </x:c>
      <x:c r="D401" s="32" t="e">
        <x:f>IF(A401&lt;=Dashboard!$F$15,B401*Dashboard!$F$6,0)</x:f>
      </x:c>
      <x:c r="E401" s="32" t="e">
        <x:f>IF(A401&lt;=Dashboard!$F$15,MIN(Dashboard!$F$10,B401+D401),0)</x:f>
      </x:c>
      <x:c r="F401" s="32" t="e">
        <x:f>IF(A401&lt;=Dashboard!$F$15,MAX(0,B401-MAX(0,E401-D401)),0)</x:f>
      </x:c>
      <x:c r="G401" s="32" t="e">
        <x:f>IF(A401=1,D401,G400+D401)</x:f>
      </x:c>
      <x:c r="H401" s="32"/>
      <x:c r="I401" s="32" t="e">
        <x:f>IF(A401=1,Dashboard!$F$14,M400)</x:f>
      </x:c>
      <x:c r="J401" s="32" t="e">
        <x:f>IF(A401&lt;=Dashboard!$F$17,MIN(I401,$B$5),0)</x:f>
      </x:c>
      <x:c r="K401" s="32" t="e">
        <x:f>IF(A401&lt;=Dashboard!$F$17,MAX(0,I401-J401)*Dashboard!$F$6,0)</x:f>
      </x:c>
      <x:c r="L401" s="32" t="e">
        <x:f>IF(A401&lt;=Dashboard!$F$17,MIN(Dashboard!$F$10,MAX(0,I401-J401)+K401),0)</x:f>
      </x:c>
      <x:c r="M401" s="32" t="e">
        <x:f>IF(A401&lt;=Dashboard!$F$17,MAX(0,I401-J401-MAX(0,L401-K401)),0)</x:f>
      </x:c>
      <x:c r="N401" s="32" t="e">
        <x:f>IF(A401=1,K401,N400+K401)</x:f>
      </x:c>
      <x:c r="O401" s="32"/>
      <x:c r="P401" s="32" t="e">
        <x:f>IF(A401=1,Dashboard!$F$14,T400)</x:f>
      </x:c>
      <x:c r="Q401" s="32" t="e">
        <x:f>IF(A401&lt;=Dashboard!$F$17,MIN(P401,$B$6*52/12),0)</x:f>
      </x:c>
      <x:c r="R401" s="32" t="e">
        <x:f>IF(A401&lt;=Dashboard!$F$17,MAX(0,P401-Q401)*Dashboard!$F$6,0)</x:f>
      </x:c>
      <x:c r="S401" s="32" t="e">
        <x:f>IF(A401&lt;=Dashboard!$F$17,MIN(Dashboard!$F$10,MAX(0,P401-Q401)+R401),0)</x:f>
      </x:c>
      <x:c r="T401" s="32" t="e">
        <x:f>IF(A401&lt;=Dashboard!$F$17,MAX(0,P401-Q401-MAX(0,S401-R401)),0)</x:f>
      </x:c>
      <x:c r="U401" s="32" t="e">
        <x:f>IF(A401=1,R401,U400+R401)</x:f>
      </x:c>
      <x:c r="V401" s="32"/>
      <x:c r="W401" s="32" t="e">
        <x:f>IF(A401=1,Dashboard!$F$14,AA400)</x:f>
      </x:c>
      <x:c r="X401" s="32" t="e">
        <x:f>IF(AND(A401&lt;=Dashboard!$F$17,MOD(A401-1,12)=0),MIN(W401,$B$7),0)</x:f>
      </x:c>
      <x:c r="Y401" s="32" t="e">
        <x:f>IF(A401&lt;=Dashboard!$F$17,MAX(0,W401-X401)*Dashboard!$F$6,0)</x:f>
      </x:c>
      <x:c r="Z401" s="32" t="e">
        <x:f>IF(A401&lt;=Dashboard!$F$17,MIN(Dashboard!$F$10,MAX(0,W401-X401)+Y401),0)</x:f>
      </x:c>
      <x:c r="AA401" s="32" t="e">
        <x:f>IF(A401&lt;=Dashboard!$F$17,MAX(0,W401-X401-MAX(0,Z401-Y401)),0)</x:f>
      </x:c>
      <x:c r="AB401" s="32" t="e">
        <x:f>IF(A401=1,Y401,AB400+Y401)</x:f>
      </x:c>
      <x:c r="AC401" s="32"/>
      <x:c r="AD401" s="32" t="e">
        <x:f>IF(A401=1,MAX(0,Dashboard!$F$14-$B$8),AG400)</x:f>
      </x:c>
      <x:c r="AE401" s="32" t="n">
        <x:f>0</x:f>
        <x:v>0</x:v>
      </x:c>
      <x:c r="AF401" s="32" t="e">
        <x:f>IF(A401&lt;=Dashboard!$F$17,AD401*Dashboard!$F$6,0)</x:f>
      </x:c>
      <x:c r="AG401" s="32" t="e">
        <x:f>IF(A401&lt;=Dashboard!$F$17,MIN(Dashboard!$F$10,AD401+AF401),0)</x:f>
      </x:c>
      <x:c r="AH401" s="32" t="e">
        <x:f>IF(A401&lt;=Dashboard!$F$17,MAX(0,AD401-MAX(0,AG401-AF401)),0)</x:f>
      </x:c>
      <x:c r="AI401" s="32" t="e">
        <x:f>IF(A401=1,AF401,AI400+AF401)</x:f>
      </x:c>
      <x:c r="AJ401" s="33"/>
      <x:c r="AK401" s="33"/>
      <x:c r="AL401" s="33"/>
      <x:c r="AM401" s="33"/>
    </x:row>
    <x:row r="402">
      <x:c r="A402" s="33" t="n">
        <x:v>390</x:v>
      </x:c>
      <x:c r="B402" s="32" t="e">
        <x:f>IF(A402=1,Dashboard!$F$14,F401)</x:f>
      </x:c>
      <x:c r="C402" s="32" t="n">
        <x:f>0</x:f>
        <x:v>0</x:v>
      </x:c>
      <x:c r="D402" s="32" t="e">
        <x:f>IF(A402&lt;=Dashboard!$F$15,B402*Dashboard!$F$6,0)</x:f>
      </x:c>
      <x:c r="E402" s="32" t="e">
        <x:f>IF(A402&lt;=Dashboard!$F$15,MIN(Dashboard!$F$10,B402+D402),0)</x:f>
      </x:c>
      <x:c r="F402" s="32" t="e">
        <x:f>IF(A402&lt;=Dashboard!$F$15,MAX(0,B402-MAX(0,E402-D402)),0)</x:f>
      </x:c>
      <x:c r="G402" s="32" t="e">
        <x:f>IF(A402=1,D402,G401+D402)</x:f>
      </x:c>
      <x:c r="H402" s="32"/>
      <x:c r="I402" s="32" t="e">
        <x:f>IF(A402=1,Dashboard!$F$14,M401)</x:f>
      </x:c>
      <x:c r="J402" s="32" t="e">
        <x:f>IF(A402&lt;=Dashboard!$F$17,MIN(I402,$B$5),0)</x:f>
      </x:c>
      <x:c r="K402" s="32" t="e">
        <x:f>IF(A402&lt;=Dashboard!$F$17,MAX(0,I402-J402)*Dashboard!$F$6,0)</x:f>
      </x:c>
      <x:c r="L402" s="32" t="e">
        <x:f>IF(A402&lt;=Dashboard!$F$17,MIN(Dashboard!$F$10,MAX(0,I402-J402)+K402),0)</x:f>
      </x:c>
      <x:c r="M402" s="32" t="e">
        <x:f>IF(A402&lt;=Dashboard!$F$17,MAX(0,I402-J402-MAX(0,L402-K402)),0)</x:f>
      </x:c>
      <x:c r="N402" s="32" t="e">
        <x:f>IF(A402=1,K402,N401+K402)</x:f>
      </x:c>
      <x:c r="O402" s="32"/>
      <x:c r="P402" s="32" t="e">
        <x:f>IF(A402=1,Dashboard!$F$14,T401)</x:f>
      </x:c>
      <x:c r="Q402" s="32" t="e">
        <x:f>IF(A402&lt;=Dashboard!$F$17,MIN(P402,$B$6*52/12),0)</x:f>
      </x:c>
      <x:c r="R402" s="32" t="e">
        <x:f>IF(A402&lt;=Dashboard!$F$17,MAX(0,P402-Q402)*Dashboard!$F$6,0)</x:f>
      </x:c>
      <x:c r="S402" s="32" t="e">
        <x:f>IF(A402&lt;=Dashboard!$F$17,MIN(Dashboard!$F$10,MAX(0,P402-Q402)+R402),0)</x:f>
      </x:c>
      <x:c r="T402" s="32" t="e">
        <x:f>IF(A402&lt;=Dashboard!$F$17,MAX(0,P402-Q402-MAX(0,S402-R402)),0)</x:f>
      </x:c>
      <x:c r="U402" s="32" t="e">
        <x:f>IF(A402=1,R402,U401+R402)</x:f>
      </x:c>
      <x:c r="V402" s="32"/>
      <x:c r="W402" s="32" t="e">
        <x:f>IF(A402=1,Dashboard!$F$14,AA401)</x:f>
      </x:c>
      <x:c r="X402" s="32" t="e">
        <x:f>IF(AND(A402&lt;=Dashboard!$F$17,MOD(A402-1,12)=0),MIN(W402,$B$7),0)</x:f>
      </x:c>
      <x:c r="Y402" s="32" t="e">
        <x:f>IF(A402&lt;=Dashboard!$F$17,MAX(0,W402-X402)*Dashboard!$F$6,0)</x:f>
      </x:c>
      <x:c r="Z402" s="32" t="e">
        <x:f>IF(A402&lt;=Dashboard!$F$17,MIN(Dashboard!$F$10,MAX(0,W402-X402)+Y402),0)</x:f>
      </x:c>
      <x:c r="AA402" s="32" t="e">
        <x:f>IF(A402&lt;=Dashboard!$F$17,MAX(0,W402-X402-MAX(0,Z402-Y402)),0)</x:f>
      </x:c>
      <x:c r="AB402" s="32" t="e">
        <x:f>IF(A402=1,Y402,AB401+Y402)</x:f>
      </x:c>
      <x:c r="AC402" s="32"/>
      <x:c r="AD402" s="32" t="e">
        <x:f>IF(A402=1,MAX(0,Dashboard!$F$14-$B$8),AG401)</x:f>
      </x:c>
      <x:c r="AE402" s="32" t="n">
        <x:f>0</x:f>
        <x:v>0</x:v>
      </x:c>
      <x:c r="AF402" s="32" t="e">
        <x:f>IF(A402&lt;=Dashboard!$F$17,AD402*Dashboard!$F$6,0)</x:f>
      </x:c>
      <x:c r="AG402" s="32" t="e">
        <x:f>IF(A402&lt;=Dashboard!$F$17,MIN(Dashboard!$F$10,AD402+AF402),0)</x:f>
      </x:c>
      <x:c r="AH402" s="32" t="e">
        <x:f>IF(A402&lt;=Dashboard!$F$17,MAX(0,AD402-MAX(0,AG402-AF402)),0)</x:f>
      </x:c>
      <x:c r="AI402" s="32" t="e">
        <x:f>IF(A402=1,AF402,AI401+AF402)</x:f>
      </x:c>
      <x:c r="AJ402" s="33"/>
      <x:c r="AK402" s="33"/>
      <x:c r="AL402" s="33"/>
      <x:c r="AM402" s="33"/>
    </x:row>
    <x:row r="403">
      <x:c r="A403" s="33" t="n">
        <x:v>391</x:v>
      </x:c>
      <x:c r="B403" s="32" t="e">
        <x:f>IF(A403=1,Dashboard!$F$14,F402)</x:f>
      </x:c>
      <x:c r="C403" s="32" t="n">
        <x:f>0</x:f>
        <x:v>0</x:v>
      </x:c>
      <x:c r="D403" s="32" t="e">
        <x:f>IF(A403&lt;=Dashboard!$F$15,B403*Dashboard!$F$6,0)</x:f>
      </x:c>
      <x:c r="E403" s="32" t="e">
        <x:f>IF(A403&lt;=Dashboard!$F$15,MIN(Dashboard!$F$10,B403+D403),0)</x:f>
      </x:c>
      <x:c r="F403" s="32" t="e">
        <x:f>IF(A403&lt;=Dashboard!$F$15,MAX(0,B403-MAX(0,E403-D403)),0)</x:f>
      </x:c>
      <x:c r="G403" s="32" t="e">
        <x:f>IF(A403=1,D403,G402+D403)</x:f>
      </x:c>
      <x:c r="H403" s="32"/>
      <x:c r="I403" s="32" t="e">
        <x:f>IF(A403=1,Dashboard!$F$14,M402)</x:f>
      </x:c>
      <x:c r="J403" s="32" t="e">
        <x:f>IF(A403&lt;=Dashboard!$F$17,MIN(I403,$B$5),0)</x:f>
      </x:c>
      <x:c r="K403" s="32" t="e">
        <x:f>IF(A403&lt;=Dashboard!$F$17,MAX(0,I403-J403)*Dashboard!$F$6,0)</x:f>
      </x:c>
      <x:c r="L403" s="32" t="e">
        <x:f>IF(A403&lt;=Dashboard!$F$17,MIN(Dashboard!$F$10,MAX(0,I403-J403)+K403),0)</x:f>
      </x:c>
      <x:c r="M403" s="32" t="e">
        <x:f>IF(A403&lt;=Dashboard!$F$17,MAX(0,I403-J403-MAX(0,L403-K403)),0)</x:f>
      </x:c>
      <x:c r="N403" s="32" t="e">
        <x:f>IF(A403=1,K403,N402+K403)</x:f>
      </x:c>
      <x:c r="O403" s="32"/>
      <x:c r="P403" s="32" t="e">
        <x:f>IF(A403=1,Dashboard!$F$14,T402)</x:f>
      </x:c>
      <x:c r="Q403" s="32" t="e">
        <x:f>IF(A403&lt;=Dashboard!$F$17,MIN(P403,$B$6*52/12),0)</x:f>
      </x:c>
      <x:c r="R403" s="32" t="e">
        <x:f>IF(A403&lt;=Dashboard!$F$17,MAX(0,P403-Q403)*Dashboard!$F$6,0)</x:f>
      </x:c>
      <x:c r="S403" s="32" t="e">
        <x:f>IF(A403&lt;=Dashboard!$F$17,MIN(Dashboard!$F$10,MAX(0,P403-Q403)+R403),0)</x:f>
      </x:c>
      <x:c r="T403" s="32" t="e">
        <x:f>IF(A403&lt;=Dashboard!$F$17,MAX(0,P403-Q403-MAX(0,S403-R403)),0)</x:f>
      </x:c>
      <x:c r="U403" s="32" t="e">
        <x:f>IF(A403=1,R403,U402+R403)</x:f>
      </x:c>
      <x:c r="V403" s="32"/>
      <x:c r="W403" s="32" t="e">
        <x:f>IF(A403=1,Dashboard!$F$14,AA402)</x:f>
      </x:c>
      <x:c r="X403" s="32" t="e">
        <x:f>IF(AND(A403&lt;=Dashboard!$F$17,MOD(A403-1,12)=0),MIN(W403,$B$7),0)</x:f>
      </x:c>
      <x:c r="Y403" s="32" t="e">
        <x:f>IF(A403&lt;=Dashboard!$F$17,MAX(0,W403-X403)*Dashboard!$F$6,0)</x:f>
      </x:c>
      <x:c r="Z403" s="32" t="e">
        <x:f>IF(A403&lt;=Dashboard!$F$17,MIN(Dashboard!$F$10,MAX(0,W403-X403)+Y403),0)</x:f>
      </x:c>
      <x:c r="AA403" s="32" t="e">
        <x:f>IF(A403&lt;=Dashboard!$F$17,MAX(0,W403-X403-MAX(0,Z403-Y403)),0)</x:f>
      </x:c>
      <x:c r="AB403" s="32" t="e">
        <x:f>IF(A403=1,Y403,AB402+Y403)</x:f>
      </x:c>
      <x:c r="AC403" s="32"/>
      <x:c r="AD403" s="32" t="e">
        <x:f>IF(A403=1,MAX(0,Dashboard!$F$14-$B$8),AG402)</x:f>
      </x:c>
      <x:c r="AE403" s="32" t="n">
        <x:f>0</x:f>
        <x:v>0</x:v>
      </x:c>
      <x:c r="AF403" s="32" t="e">
        <x:f>IF(A403&lt;=Dashboard!$F$17,AD403*Dashboard!$F$6,0)</x:f>
      </x:c>
      <x:c r="AG403" s="32" t="e">
        <x:f>IF(A403&lt;=Dashboard!$F$17,MIN(Dashboard!$F$10,AD403+AF403),0)</x:f>
      </x:c>
      <x:c r="AH403" s="32" t="e">
        <x:f>IF(A403&lt;=Dashboard!$F$17,MAX(0,AD403-MAX(0,AG403-AF403)),0)</x:f>
      </x:c>
      <x:c r="AI403" s="32" t="e">
        <x:f>IF(A403=1,AF403,AI402+AF403)</x:f>
      </x:c>
      <x:c r="AJ403" s="33"/>
      <x:c r="AK403" s="33"/>
      <x:c r="AL403" s="33"/>
      <x:c r="AM403" s="33"/>
    </x:row>
    <x:row r="404">
      <x:c r="A404" s="33" t="n">
        <x:v>392</x:v>
      </x:c>
      <x:c r="B404" s="32" t="e">
        <x:f>IF(A404=1,Dashboard!$F$14,F403)</x:f>
      </x:c>
      <x:c r="C404" s="32" t="n">
        <x:f>0</x:f>
        <x:v>0</x:v>
      </x:c>
      <x:c r="D404" s="32" t="e">
        <x:f>IF(A404&lt;=Dashboard!$F$15,B404*Dashboard!$F$6,0)</x:f>
      </x:c>
      <x:c r="E404" s="32" t="e">
        <x:f>IF(A404&lt;=Dashboard!$F$15,MIN(Dashboard!$F$10,B404+D404),0)</x:f>
      </x:c>
      <x:c r="F404" s="32" t="e">
        <x:f>IF(A404&lt;=Dashboard!$F$15,MAX(0,B404-MAX(0,E404-D404)),0)</x:f>
      </x:c>
      <x:c r="G404" s="32" t="e">
        <x:f>IF(A404=1,D404,G403+D404)</x:f>
      </x:c>
      <x:c r="H404" s="32"/>
      <x:c r="I404" s="32" t="e">
        <x:f>IF(A404=1,Dashboard!$F$14,M403)</x:f>
      </x:c>
      <x:c r="J404" s="32" t="e">
        <x:f>IF(A404&lt;=Dashboard!$F$17,MIN(I404,$B$5),0)</x:f>
      </x:c>
      <x:c r="K404" s="32" t="e">
        <x:f>IF(A404&lt;=Dashboard!$F$17,MAX(0,I404-J404)*Dashboard!$F$6,0)</x:f>
      </x:c>
      <x:c r="L404" s="32" t="e">
        <x:f>IF(A404&lt;=Dashboard!$F$17,MIN(Dashboard!$F$10,MAX(0,I404-J404)+K404),0)</x:f>
      </x:c>
      <x:c r="M404" s="32" t="e">
        <x:f>IF(A404&lt;=Dashboard!$F$17,MAX(0,I404-J404-MAX(0,L404-K404)),0)</x:f>
      </x:c>
      <x:c r="N404" s="32" t="e">
        <x:f>IF(A404=1,K404,N403+K404)</x:f>
      </x:c>
      <x:c r="O404" s="32"/>
      <x:c r="P404" s="32" t="e">
        <x:f>IF(A404=1,Dashboard!$F$14,T403)</x:f>
      </x:c>
      <x:c r="Q404" s="32" t="e">
        <x:f>IF(A404&lt;=Dashboard!$F$17,MIN(P404,$B$6*52/12),0)</x:f>
      </x:c>
      <x:c r="R404" s="32" t="e">
        <x:f>IF(A404&lt;=Dashboard!$F$17,MAX(0,P404-Q404)*Dashboard!$F$6,0)</x:f>
      </x:c>
      <x:c r="S404" s="32" t="e">
        <x:f>IF(A404&lt;=Dashboard!$F$17,MIN(Dashboard!$F$10,MAX(0,P404-Q404)+R404),0)</x:f>
      </x:c>
      <x:c r="T404" s="32" t="e">
        <x:f>IF(A404&lt;=Dashboard!$F$17,MAX(0,P404-Q404-MAX(0,S404-R404)),0)</x:f>
      </x:c>
      <x:c r="U404" s="32" t="e">
        <x:f>IF(A404=1,R404,U403+R404)</x:f>
      </x:c>
      <x:c r="V404" s="32"/>
      <x:c r="W404" s="32" t="e">
        <x:f>IF(A404=1,Dashboard!$F$14,AA403)</x:f>
      </x:c>
      <x:c r="X404" s="32" t="e">
        <x:f>IF(AND(A404&lt;=Dashboard!$F$17,MOD(A404-1,12)=0),MIN(W404,$B$7),0)</x:f>
      </x:c>
      <x:c r="Y404" s="32" t="e">
        <x:f>IF(A404&lt;=Dashboard!$F$17,MAX(0,W404-X404)*Dashboard!$F$6,0)</x:f>
      </x:c>
      <x:c r="Z404" s="32" t="e">
        <x:f>IF(A404&lt;=Dashboard!$F$17,MIN(Dashboard!$F$10,MAX(0,W404-X404)+Y404),0)</x:f>
      </x:c>
      <x:c r="AA404" s="32" t="e">
        <x:f>IF(A404&lt;=Dashboard!$F$17,MAX(0,W404-X404-MAX(0,Z404-Y404)),0)</x:f>
      </x:c>
      <x:c r="AB404" s="32" t="e">
        <x:f>IF(A404=1,Y404,AB403+Y404)</x:f>
      </x:c>
      <x:c r="AC404" s="32"/>
      <x:c r="AD404" s="32" t="e">
        <x:f>IF(A404=1,MAX(0,Dashboard!$F$14-$B$8),AG403)</x:f>
      </x:c>
      <x:c r="AE404" s="32" t="n">
        <x:f>0</x:f>
        <x:v>0</x:v>
      </x:c>
      <x:c r="AF404" s="32" t="e">
        <x:f>IF(A404&lt;=Dashboard!$F$17,AD404*Dashboard!$F$6,0)</x:f>
      </x:c>
      <x:c r="AG404" s="32" t="e">
        <x:f>IF(A404&lt;=Dashboard!$F$17,MIN(Dashboard!$F$10,AD404+AF404),0)</x:f>
      </x:c>
      <x:c r="AH404" s="32" t="e">
        <x:f>IF(A404&lt;=Dashboard!$F$17,MAX(0,AD404-MAX(0,AG404-AF404)),0)</x:f>
      </x:c>
      <x:c r="AI404" s="32" t="e">
        <x:f>IF(A404=1,AF404,AI403+AF404)</x:f>
      </x:c>
      <x:c r="AJ404" s="33"/>
      <x:c r="AK404" s="33"/>
      <x:c r="AL404" s="33"/>
      <x:c r="AM404" s="33"/>
    </x:row>
    <x:row r="405">
      <x:c r="A405" s="33" t="n">
        <x:v>393</x:v>
      </x:c>
      <x:c r="B405" s="32" t="e">
        <x:f>IF(A405=1,Dashboard!$F$14,F404)</x:f>
      </x:c>
      <x:c r="C405" s="32" t="n">
        <x:f>0</x:f>
        <x:v>0</x:v>
      </x:c>
      <x:c r="D405" s="32" t="e">
        <x:f>IF(A405&lt;=Dashboard!$F$15,B405*Dashboard!$F$6,0)</x:f>
      </x:c>
      <x:c r="E405" s="32" t="e">
        <x:f>IF(A405&lt;=Dashboard!$F$15,MIN(Dashboard!$F$10,B405+D405),0)</x:f>
      </x:c>
      <x:c r="F405" s="32" t="e">
        <x:f>IF(A405&lt;=Dashboard!$F$15,MAX(0,B405-MAX(0,E405-D405)),0)</x:f>
      </x:c>
      <x:c r="G405" s="32" t="e">
        <x:f>IF(A405=1,D405,G404+D405)</x:f>
      </x:c>
      <x:c r="H405" s="32"/>
      <x:c r="I405" s="32" t="e">
        <x:f>IF(A405=1,Dashboard!$F$14,M404)</x:f>
      </x:c>
      <x:c r="J405" s="32" t="e">
        <x:f>IF(A405&lt;=Dashboard!$F$17,MIN(I405,$B$5),0)</x:f>
      </x:c>
      <x:c r="K405" s="32" t="e">
        <x:f>IF(A405&lt;=Dashboard!$F$17,MAX(0,I405-J405)*Dashboard!$F$6,0)</x:f>
      </x:c>
      <x:c r="L405" s="32" t="e">
        <x:f>IF(A405&lt;=Dashboard!$F$17,MIN(Dashboard!$F$10,MAX(0,I405-J405)+K405),0)</x:f>
      </x:c>
      <x:c r="M405" s="32" t="e">
        <x:f>IF(A405&lt;=Dashboard!$F$17,MAX(0,I405-J405-MAX(0,L405-K405)),0)</x:f>
      </x:c>
      <x:c r="N405" s="32" t="e">
        <x:f>IF(A405=1,K405,N404+K405)</x:f>
      </x:c>
      <x:c r="O405" s="32"/>
      <x:c r="P405" s="32" t="e">
        <x:f>IF(A405=1,Dashboard!$F$14,T404)</x:f>
      </x:c>
      <x:c r="Q405" s="32" t="e">
        <x:f>IF(A405&lt;=Dashboard!$F$17,MIN(P405,$B$6*52/12),0)</x:f>
      </x:c>
      <x:c r="R405" s="32" t="e">
        <x:f>IF(A405&lt;=Dashboard!$F$17,MAX(0,P405-Q405)*Dashboard!$F$6,0)</x:f>
      </x:c>
      <x:c r="S405" s="32" t="e">
        <x:f>IF(A405&lt;=Dashboard!$F$17,MIN(Dashboard!$F$10,MAX(0,P405-Q405)+R405),0)</x:f>
      </x:c>
      <x:c r="T405" s="32" t="e">
        <x:f>IF(A405&lt;=Dashboard!$F$17,MAX(0,P405-Q405-MAX(0,S405-R405)),0)</x:f>
      </x:c>
      <x:c r="U405" s="32" t="e">
        <x:f>IF(A405=1,R405,U404+R405)</x:f>
      </x:c>
      <x:c r="V405" s="32"/>
      <x:c r="W405" s="32" t="e">
        <x:f>IF(A405=1,Dashboard!$F$14,AA404)</x:f>
      </x:c>
      <x:c r="X405" s="32" t="e">
        <x:f>IF(AND(A405&lt;=Dashboard!$F$17,MOD(A405-1,12)=0),MIN(W405,$B$7),0)</x:f>
      </x:c>
      <x:c r="Y405" s="32" t="e">
        <x:f>IF(A405&lt;=Dashboard!$F$17,MAX(0,W405-X405)*Dashboard!$F$6,0)</x:f>
      </x:c>
      <x:c r="Z405" s="32" t="e">
        <x:f>IF(A405&lt;=Dashboard!$F$17,MIN(Dashboard!$F$10,MAX(0,W405-X405)+Y405),0)</x:f>
      </x:c>
      <x:c r="AA405" s="32" t="e">
        <x:f>IF(A405&lt;=Dashboard!$F$17,MAX(0,W405-X405-MAX(0,Z405-Y405)),0)</x:f>
      </x:c>
      <x:c r="AB405" s="32" t="e">
        <x:f>IF(A405=1,Y405,AB404+Y405)</x:f>
      </x:c>
      <x:c r="AC405" s="32"/>
      <x:c r="AD405" s="32" t="e">
        <x:f>IF(A405=1,MAX(0,Dashboard!$F$14-$B$8),AG404)</x:f>
      </x:c>
      <x:c r="AE405" s="32" t="n">
        <x:f>0</x:f>
        <x:v>0</x:v>
      </x:c>
      <x:c r="AF405" s="32" t="e">
        <x:f>IF(A405&lt;=Dashboard!$F$17,AD405*Dashboard!$F$6,0)</x:f>
      </x:c>
      <x:c r="AG405" s="32" t="e">
        <x:f>IF(A405&lt;=Dashboard!$F$17,MIN(Dashboard!$F$10,AD405+AF405),0)</x:f>
      </x:c>
      <x:c r="AH405" s="32" t="e">
        <x:f>IF(A405&lt;=Dashboard!$F$17,MAX(0,AD405-MAX(0,AG405-AF405)),0)</x:f>
      </x:c>
      <x:c r="AI405" s="32" t="e">
        <x:f>IF(A405=1,AF405,AI404+AF405)</x:f>
      </x:c>
      <x:c r="AJ405" s="33"/>
      <x:c r="AK405" s="33"/>
      <x:c r="AL405" s="33"/>
      <x:c r="AM405" s="33"/>
    </x:row>
    <x:row r="406">
      <x:c r="A406" s="33" t="n">
        <x:v>394</x:v>
      </x:c>
      <x:c r="B406" s="32" t="e">
        <x:f>IF(A406=1,Dashboard!$F$14,F405)</x:f>
      </x:c>
      <x:c r="C406" s="32" t="n">
        <x:f>0</x:f>
        <x:v>0</x:v>
      </x:c>
      <x:c r="D406" s="32" t="e">
        <x:f>IF(A406&lt;=Dashboard!$F$15,B406*Dashboard!$F$6,0)</x:f>
      </x:c>
      <x:c r="E406" s="32" t="e">
        <x:f>IF(A406&lt;=Dashboard!$F$15,MIN(Dashboard!$F$10,B406+D406),0)</x:f>
      </x:c>
      <x:c r="F406" s="32" t="e">
        <x:f>IF(A406&lt;=Dashboard!$F$15,MAX(0,B406-MAX(0,E406-D406)),0)</x:f>
      </x:c>
      <x:c r="G406" s="32" t="e">
        <x:f>IF(A406=1,D406,G405+D406)</x:f>
      </x:c>
      <x:c r="H406" s="32"/>
      <x:c r="I406" s="32" t="e">
        <x:f>IF(A406=1,Dashboard!$F$14,M405)</x:f>
      </x:c>
      <x:c r="J406" s="32" t="e">
        <x:f>IF(A406&lt;=Dashboard!$F$17,MIN(I406,$B$5),0)</x:f>
      </x:c>
      <x:c r="K406" s="32" t="e">
        <x:f>IF(A406&lt;=Dashboard!$F$17,MAX(0,I406-J406)*Dashboard!$F$6,0)</x:f>
      </x:c>
      <x:c r="L406" s="32" t="e">
        <x:f>IF(A406&lt;=Dashboard!$F$17,MIN(Dashboard!$F$10,MAX(0,I406-J406)+K406),0)</x:f>
      </x:c>
      <x:c r="M406" s="32" t="e">
        <x:f>IF(A406&lt;=Dashboard!$F$17,MAX(0,I406-J406-MAX(0,L406-K406)),0)</x:f>
      </x:c>
      <x:c r="N406" s="32" t="e">
        <x:f>IF(A406=1,K406,N405+K406)</x:f>
      </x:c>
      <x:c r="O406" s="32"/>
      <x:c r="P406" s="32" t="e">
        <x:f>IF(A406=1,Dashboard!$F$14,T405)</x:f>
      </x:c>
      <x:c r="Q406" s="32" t="e">
        <x:f>IF(A406&lt;=Dashboard!$F$17,MIN(P406,$B$6*52/12),0)</x:f>
      </x:c>
      <x:c r="R406" s="32" t="e">
        <x:f>IF(A406&lt;=Dashboard!$F$17,MAX(0,P406-Q406)*Dashboard!$F$6,0)</x:f>
      </x:c>
      <x:c r="S406" s="32" t="e">
        <x:f>IF(A406&lt;=Dashboard!$F$17,MIN(Dashboard!$F$10,MAX(0,P406-Q406)+R406),0)</x:f>
      </x:c>
      <x:c r="T406" s="32" t="e">
        <x:f>IF(A406&lt;=Dashboard!$F$17,MAX(0,P406-Q406-MAX(0,S406-R406)),0)</x:f>
      </x:c>
      <x:c r="U406" s="32" t="e">
        <x:f>IF(A406=1,R406,U405+R406)</x:f>
      </x:c>
      <x:c r="V406" s="32"/>
      <x:c r="W406" s="32" t="e">
        <x:f>IF(A406=1,Dashboard!$F$14,AA405)</x:f>
      </x:c>
      <x:c r="X406" s="32" t="e">
        <x:f>IF(AND(A406&lt;=Dashboard!$F$17,MOD(A406-1,12)=0),MIN(W406,$B$7),0)</x:f>
      </x:c>
      <x:c r="Y406" s="32" t="e">
        <x:f>IF(A406&lt;=Dashboard!$F$17,MAX(0,W406-X406)*Dashboard!$F$6,0)</x:f>
      </x:c>
      <x:c r="Z406" s="32" t="e">
        <x:f>IF(A406&lt;=Dashboard!$F$17,MIN(Dashboard!$F$10,MAX(0,W406-X406)+Y406),0)</x:f>
      </x:c>
      <x:c r="AA406" s="32" t="e">
        <x:f>IF(A406&lt;=Dashboard!$F$17,MAX(0,W406-X406-MAX(0,Z406-Y406)),0)</x:f>
      </x:c>
      <x:c r="AB406" s="32" t="e">
        <x:f>IF(A406=1,Y406,AB405+Y406)</x:f>
      </x:c>
      <x:c r="AC406" s="32"/>
      <x:c r="AD406" s="32" t="e">
        <x:f>IF(A406=1,MAX(0,Dashboard!$F$14-$B$8),AG405)</x:f>
      </x:c>
      <x:c r="AE406" s="32" t="n">
        <x:f>0</x:f>
        <x:v>0</x:v>
      </x:c>
      <x:c r="AF406" s="32" t="e">
        <x:f>IF(A406&lt;=Dashboard!$F$17,AD406*Dashboard!$F$6,0)</x:f>
      </x:c>
      <x:c r="AG406" s="32" t="e">
        <x:f>IF(A406&lt;=Dashboard!$F$17,MIN(Dashboard!$F$10,AD406+AF406),0)</x:f>
      </x:c>
      <x:c r="AH406" s="32" t="e">
        <x:f>IF(A406&lt;=Dashboard!$F$17,MAX(0,AD406-MAX(0,AG406-AF406)),0)</x:f>
      </x:c>
      <x:c r="AI406" s="32" t="e">
        <x:f>IF(A406=1,AF406,AI405+AF406)</x:f>
      </x:c>
      <x:c r="AJ406" s="33"/>
      <x:c r="AK406" s="33"/>
      <x:c r="AL406" s="33"/>
      <x:c r="AM406" s="33"/>
    </x:row>
    <x:row r="407">
      <x:c r="A407" s="33" t="n">
        <x:v>395</x:v>
      </x:c>
      <x:c r="B407" s="32" t="e">
        <x:f>IF(A407=1,Dashboard!$F$14,F406)</x:f>
      </x:c>
      <x:c r="C407" s="32" t="n">
        <x:f>0</x:f>
        <x:v>0</x:v>
      </x:c>
      <x:c r="D407" s="32" t="e">
        <x:f>IF(A407&lt;=Dashboard!$F$15,B407*Dashboard!$F$6,0)</x:f>
      </x:c>
      <x:c r="E407" s="32" t="e">
        <x:f>IF(A407&lt;=Dashboard!$F$15,MIN(Dashboard!$F$10,B407+D407),0)</x:f>
      </x:c>
      <x:c r="F407" s="32" t="e">
        <x:f>IF(A407&lt;=Dashboard!$F$15,MAX(0,B407-MAX(0,E407-D407)),0)</x:f>
      </x:c>
      <x:c r="G407" s="32" t="e">
        <x:f>IF(A407=1,D407,G406+D407)</x:f>
      </x:c>
      <x:c r="H407" s="32"/>
      <x:c r="I407" s="32" t="e">
        <x:f>IF(A407=1,Dashboard!$F$14,M406)</x:f>
      </x:c>
      <x:c r="J407" s="32" t="e">
        <x:f>IF(A407&lt;=Dashboard!$F$17,MIN(I407,$B$5),0)</x:f>
      </x:c>
      <x:c r="K407" s="32" t="e">
        <x:f>IF(A407&lt;=Dashboard!$F$17,MAX(0,I407-J407)*Dashboard!$F$6,0)</x:f>
      </x:c>
      <x:c r="L407" s="32" t="e">
        <x:f>IF(A407&lt;=Dashboard!$F$17,MIN(Dashboard!$F$10,MAX(0,I407-J407)+K407),0)</x:f>
      </x:c>
      <x:c r="M407" s="32" t="e">
        <x:f>IF(A407&lt;=Dashboard!$F$17,MAX(0,I407-J407-MAX(0,L407-K407)),0)</x:f>
      </x:c>
      <x:c r="N407" s="32" t="e">
        <x:f>IF(A407=1,K407,N406+K407)</x:f>
      </x:c>
      <x:c r="O407" s="32"/>
      <x:c r="P407" s="32" t="e">
        <x:f>IF(A407=1,Dashboard!$F$14,T406)</x:f>
      </x:c>
      <x:c r="Q407" s="32" t="e">
        <x:f>IF(A407&lt;=Dashboard!$F$17,MIN(P407,$B$6*52/12),0)</x:f>
      </x:c>
      <x:c r="R407" s="32" t="e">
        <x:f>IF(A407&lt;=Dashboard!$F$17,MAX(0,P407-Q407)*Dashboard!$F$6,0)</x:f>
      </x:c>
      <x:c r="S407" s="32" t="e">
        <x:f>IF(A407&lt;=Dashboard!$F$17,MIN(Dashboard!$F$10,MAX(0,P407-Q407)+R407),0)</x:f>
      </x:c>
      <x:c r="T407" s="32" t="e">
        <x:f>IF(A407&lt;=Dashboard!$F$17,MAX(0,P407-Q407-MAX(0,S407-R407)),0)</x:f>
      </x:c>
      <x:c r="U407" s="32" t="e">
        <x:f>IF(A407=1,R407,U406+R407)</x:f>
      </x:c>
      <x:c r="V407" s="32"/>
      <x:c r="W407" s="32" t="e">
        <x:f>IF(A407=1,Dashboard!$F$14,AA406)</x:f>
      </x:c>
      <x:c r="X407" s="32" t="e">
        <x:f>IF(AND(A407&lt;=Dashboard!$F$17,MOD(A407-1,12)=0),MIN(W407,$B$7),0)</x:f>
      </x:c>
      <x:c r="Y407" s="32" t="e">
        <x:f>IF(A407&lt;=Dashboard!$F$17,MAX(0,W407-X407)*Dashboard!$F$6,0)</x:f>
      </x:c>
      <x:c r="Z407" s="32" t="e">
        <x:f>IF(A407&lt;=Dashboard!$F$17,MIN(Dashboard!$F$10,MAX(0,W407-X407)+Y407),0)</x:f>
      </x:c>
      <x:c r="AA407" s="32" t="e">
        <x:f>IF(A407&lt;=Dashboard!$F$17,MAX(0,W407-X407-MAX(0,Z407-Y407)),0)</x:f>
      </x:c>
      <x:c r="AB407" s="32" t="e">
        <x:f>IF(A407=1,Y407,AB406+Y407)</x:f>
      </x:c>
      <x:c r="AC407" s="32"/>
      <x:c r="AD407" s="32" t="e">
        <x:f>IF(A407=1,MAX(0,Dashboard!$F$14-$B$8),AG406)</x:f>
      </x:c>
      <x:c r="AE407" s="32" t="n">
        <x:f>0</x:f>
        <x:v>0</x:v>
      </x:c>
      <x:c r="AF407" s="32" t="e">
        <x:f>IF(A407&lt;=Dashboard!$F$17,AD407*Dashboard!$F$6,0)</x:f>
      </x:c>
      <x:c r="AG407" s="32" t="e">
        <x:f>IF(A407&lt;=Dashboard!$F$17,MIN(Dashboard!$F$10,AD407+AF407),0)</x:f>
      </x:c>
      <x:c r="AH407" s="32" t="e">
        <x:f>IF(A407&lt;=Dashboard!$F$17,MAX(0,AD407-MAX(0,AG407-AF407)),0)</x:f>
      </x:c>
      <x:c r="AI407" s="32" t="e">
        <x:f>IF(A407=1,AF407,AI406+AF407)</x:f>
      </x:c>
      <x:c r="AJ407" s="33"/>
      <x:c r="AK407" s="33"/>
      <x:c r="AL407" s="33"/>
      <x:c r="AM407" s="33"/>
    </x:row>
    <x:row r="408">
      <x:c r="A408" s="33" t="n">
        <x:v>396</x:v>
      </x:c>
      <x:c r="B408" s="32" t="e">
        <x:f>IF(A408=1,Dashboard!$F$14,F407)</x:f>
      </x:c>
      <x:c r="C408" s="32" t="n">
        <x:f>0</x:f>
        <x:v>0</x:v>
      </x:c>
      <x:c r="D408" s="32" t="e">
        <x:f>IF(A408&lt;=Dashboard!$F$15,B408*Dashboard!$F$6,0)</x:f>
      </x:c>
      <x:c r="E408" s="32" t="e">
        <x:f>IF(A408&lt;=Dashboard!$F$15,MIN(Dashboard!$F$10,B408+D408),0)</x:f>
      </x:c>
      <x:c r="F408" s="32" t="e">
        <x:f>IF(A408&lt;=Dashboard!$F$15,MAX(0,B408-MAX(0,E408-D408)),0)</x:f>
      </x:c>
      <x:c r="G408" s="32" t="e">
        <x:f>IF(A408=1,D408,G407+D408)</x:f>
      </x:c>
      <x:c r="H408" s="32"/>
      <x:c r="I408" s="32" t="e">
        <x:f>IF(A408=1,Dashboard!$F$14,M407)</x:f>
      </x:c>
      <x:c r="J408" s="32" t="e">
        <x:f>IF(A408&lt;=Dashboard!$F$17,MIN(I408,$B$5),0)</x:f>
      </x:c>
      <x:c r="K408" s="32" t="e">
        <x:f>IF(A408&lt;=Dashboard!$F$17,MAX(0,I408-J408)*Dashboard!$F$6,0)</x:f>
      </x:c>
      <x:c r="L408" s="32" t="e">
        <x:f>IF(A408&lt;=Dashboard!$F$17,MIN(Dashboard!$F$10,MAX(0,I408-J408)+K408),0)</x:f>
      </x:c>
      <x:c r="M408" s="32" t="e">
        <x:f>IF(A408&lt;=Dashboard!$F$17,MAX(0,I408-J408-MAX(0,L408-K408)),0)</x:f>
      </x:c>
      <x:c r="N408" s="32" t="e">
        <x:f>IF(A408=1,K408,N407+K408)</x:f>
      </x:c>
      <x:c r="O408" s="32"/>
      <x:c r="P408" s="32" t="e">
        <x:f>IF(A408=1,Dashboard!$F$14,T407)</x:f>
      </x:c>
      <x:c r="Q408" s="32" t="e">
        <x:f>IF(A408&lt;=Dashboard!$F$17,MIN(P408,$B$6*52/12),0)</x:f>
      </x:c>
      <x:c r="R408" s="32" t="e">
        <x:f>IF(A408&lt;=Dashboard!$F$17,MAX(0,P408-Q408)*Dashboard!$F$6,0)</x:f>
      </x:c>
      <x:c r="S408" s="32" t="e">
        <x:f>IF(A408&lt;=Dashboard!$F$17,MIN(Dashboard!$F$10,MAX(0,P408-Q408)+R408),0)</x:f>
      </x:c>
      <x:c r="T408" s="32" t="e">
        <x:f>IF(A408&lt;=Dashboard!$F$17,MAX(0,P408-Q408-MAX(0,S408-R408)),0)</x:f>
      </x:c>
      <x:c r="U408" s="32" t="e">
        <x:f>IF(A408=1,R408,U407+R408)</x:f>
      </x:c>
      <x:c r="V408" s="32"/>
      <x:c r="W408" s="32" t="e">
        <x:f>IF(A408=1,Dashboard!$F$14,AA407)</x:f>
      </x:c>
      <x:c r="X408" s="32" t="e">
        <x:f>IF(AND(A408&lt;=Dashboard!$F$17,MOD(A408-1,12)=0),MIN(W408,$B$7),0)</x:f>
      </x:c>
      <x:c r="Y408" s="32" t="e">
        <x:f>IF(A408&lt;=Dashboard!$F$17,MAX(0,W408-X408)*Dashboard!$F$6,0)</x:f>
      </x:c>
      <x:c r="Z408" s="32" t="e">
        <x:f>IF(A408&lt;=Dashboard!$F$17,MIN(Dashboard!$F$10,MAX(0,W408-X408)+Y408),0)</x:f>
      </x:c>
      <x:c r="AA408" s="32" t="e">
        <x:f>IF(A408&lt;=Dashboard!$F$17,MAX(0,W408-X408-MAX(0,Z408-Y408)),0)</x:f>
      </x:c>
      <x:c r="AB408" s="32" t="e">
        <x:f>IF(A408=1,Y408,AB407+Y408)</x:f>
      </x:c>
      <x:c r="AC408" s="32"/>
      <x:c r="AD408" s="32" t="e">
        <x:f>IF(A408=1,MAX(0,Dashboard!$F$14-$B$8),AG407)</x:f>
      </x:c>
      <x:c r="AE408" s="32" t="n">
        <x:f>0</x:f>
        <x:v>0</x:v>
      </x:c>
      <x:c r="AF408" s="32" t="e">
        <x:f>IF(A408&lt;=Dashboard!$F$17,AD408*Dashboard!$F$6,0)</x:f>
      </x:c>
      <x:c r="AG408" s="32" t="e">
        <x:f>IF(A408&lt;=Dashboard!$F$17,MIN(Dashboard!$F$10,AD408+AF408),0)</x:f>
      </x:c>
      <x:c r="AH408" s="32" t="e">
        <x:f>IF(A408&lt;=Dashboard!$F$17,MAX(0,AD408-MAX(0,AG408-AF408)),0)</x:f>
      </x:c>
      <x:c r="AI408" s="32" t="e">
        <x:f>IF(A408=1,AF408,AI407+AF408)</x:f>
      </x:c>
      <x:c r="AJ408" s="33"/>
      <x:c r="AK408" s="33"/>
      <x:c r="AL408" s="33"/>
      <x:c r="AM408" s="33"/>
    </x:row>
    <x:row r="409">
      <x:c r="A409" s="33" t="n">
        <x:v>397</x:v>
      </x:c>
      <x:c r="B409" s="32" t="e">
        <x:f>IF(A409=1,Dashboard!$F$14,F408)</x:f>
      </x:c>
      <x:c r="C409" s="32" t="n">
        <x:f>0</x:f>
        <x:v>0</x:v>
      </x:c>
      <x:c r="D409" s="32" t="e">
        <x:f>IF(A409&lt;=Dashboard!$F$15,B409*Dashboard!$F$6,0)</x:f>
      </x:c>
      <x:c r="E409" s="32" t="e">
        <x:f>IF(A409&lt;=Dashboard!$F$15,MIN(Dashboard!$F$10,B409+D409),0)</x:f>
      </x:c>
      <x:c r="F409" s="32" t="e">
        <x:f>IF(A409&lt;=Dashboard!$F$15,MAX(0,B409-MAX(0,E409-D409)),0)</x:f>
      </x:c>
      <x:c r="G409" s="32" t="e">
        <x:f>IF(A409=1,D409,G408+D409)</x:f>
      </x:c>
      <x:c r="H409" s="32"/>
      <x:c r="I409" s="32" t="e">
        <x:f>IF(A409=1,Dashboard!$F$14,M408)</x:f>
      </x:c>
      <x:c r="J409" s="32" t="e">
        <x:f>IF(A409&lt;=Dashboard!$F$17,MIN(I409,$B$5),0)</x:f>
      </x:c>
      <x:c r="K409" s="32" t="e">
        <x:f>IF(A409&lt;=Dashboard!$F$17,MAX(0,I409-J409)*Dashboard!$F$6,0)</x:f>
      </x:c>
      <x:c r="L409" s="32" t="e">
        <x:f>IF(A409&lt;=Dashboard!$F$17,MIN(Dashboard!$F$10,MAX(0,I409-J409)+K409),0)</x:f>
      </x:c>
      <x:c r="M409" s="32" t="e">
        <x:f>IF(A409&lt;=Dashboard!$F$17,MAX(0,I409-J409-MAX(0,L409-K409)),0)</x:f>
      </x:c>
      <x:c r="N409" s="32" t="e">
        <x:f>IF(A409=1,K409,N408+K409)</x:f>
      </x:c>
      <x:c r="O409" s="32"/>
      <x:c r="P409" s="32" t="e">
        <x:f>IF(A409=1,Dashboard!$F$14,T408)</x:f>
      </x:c>
      <x:c r="Q409" s="32" t="e">
        <x:f>IF(A409&lt;=Dashboard!$F$17,MIN(P409,$B$6*52/12),0)</x:f>
      </x:c>
      <x:c r="R409" s="32" t="e">
        <x:f>IF(A409&lt;=Dashboard!$F$17,MAX(0,P409-Q409)*Dashboard!$F$6,0)</x:f>
      </x:c>
      <x:c r="S409" s="32" t="e">
        <x:f>IF(A409&lt;=Dashboard!$F$17,MIN(Dashboard!$F$10,MAX(0,P409-Q409)+R409),0)</x:f>
      </x:c>
      <x:c r="T409" s="32" t="e">
        <x:f>IF(A409&lt;=Dashboard!$F$17,MAX(0,P409-Q409-MAX(0,S409-R409)),0)</x:f>
      </x:c>
      <x:c r="U409" s="32" t="e">
        <x:f>IF(A409=1,R409,U408+R409)</x:f>
      </x:c>
      <x:c r="V409" s="32"/>
      <x:c r="W409" s="32" t="e">
        <x:f>IF(A409=1,Dashboard!$F$14,AA408)</x:f>
      </x:c>
      <x:c r="X409" s="32" t="e">
        <x:f>IF(AND(A409&lt;=Dashboard!$F$17,MOD(A409-1,12)=0),MIN(W409,$B$7),0)</x:f>
      </x:c>
      <x:c r="Y409" s="32" t="e">
        <x:f>IF(A409&lt;=Dashboard!$F$17,MAX(0,W409-X409)*Dashboard!$F$6,0)</x:f>
      </x:c>
      <x:c r="Z409" s="32" t="e">
        <x:f>IF(A409&lt;=Dashboard!$F$17,MIN(Dashboard!$F$10,MAX(0,W409-X409)+Y409),0)</x:f>
      </x:c>
      <x:c r="AA409" s="32" t="e">
        <x:f>IF(A409&lt;=Dashboard!$F$17,MAX(0,W409-X409-MAX(0,Z409-Y409)),0)</x:f>
      </x:c>
      <x:c r="AB409" s="32" t="e">
        <x:f>IF(A409=1,Y409,AB408+Y409)</x:f>
      </x:c>
      <x:c r="AC409" s="32"/>
      <x:c r="AD409" s="32" t="e">
        <x:f>IF(A409=1,MAX(0,Dashboard!$F$14-$B$8),AG408)</x:f>
      </x:c>
      <x:c r="AE409" s="32" t="n">
        <x:f>0</x:f>
        <x:v>0</x:v>
      </x:c>
      <x:c r="AF409" s="32" t="e">
        <x:f>IF(A409&lt;=Dashboard!$F$17,AD409*Dashboard!$F$6,0)</x:f>
      </x:c>
      <x:c r="AG409" s="32" t="e">
        <x:f>IF(A409&lt;=Dashboard!$F$17,MIN(Dashboard!$F$10,AD409+AF409),0)</x:f>
      </x:c>
      <x:c r="AH409" s="32" t="e">
        <x:f>IF(A409&lt;=Dashboard!$F$17,MAX(0,AD409-MAX(0,AG409-AF409)),0)</x:f>
      </x:c>
      <x:c r="AI409" s="32" t="e">
        <x:f>IF(A409=1,AF409,AI408+AF409)</x:f>
      </x:c>
      <x:c r="AJ409" s="33"/>
      <x:c r="AK409" s="33"/>
      <x:c r="AL409" s="33"/>
      <x:c r="AM409" s="33"/>
    </x:row>
    <x:row r="410">
      <x:c r="A410" s="33" t="n">
        <x:v>398</x:v>
      </x:c>
      <x:c r="B410" s="32" t="e">
        <x:f>IF(A410=1,Dashboard!$F$14,F409)</x:f>
      </x:c>
      <x:c r="C410" s="32" t="n">
        <x:f>0</x:f>
        <x:v>0</x:v>
      </x:c>
      <x:c r="D410" s="32" t="e">
        <x:f>IF(A410&lt;=Dashboard!$F$15,B410*Dashboard!$F$6,0)</x:f>
      </x:c>
      <x:c r="E410" s="32" t="e">
        <x:f>IF(A410&lt;=Dashboard!$F$15,MIN(Dashboard!$F$10,B410+D410),0)</x:f>
      </x:c>
      <x:c r="F410" s="32" t="e">
        <x:f>IF(A410&lt;=Dashboard!$F$15,MAX(0,B410-MAX(0,E410-D410)),0)</x:f>
      </x:c>
      <x:c r="G410" s="32" t="e">
        <x:f>IF(A410=1,D410,G409+D410)</x:f>
      </x:c>
      <x:c r="H410" s="32"/>
      <x:c r="I410" s="32" t="e">
        <x:f>IF(A410=1,Dashboard!$F$14,M409)</x:f>
      </x:c>
      <x:c r="J410" s="32" t="e">
        <x:f>IF(A410&lt;=Dashboard!$F$17,MIN(I410,$B$5),0)</x:f>
      </x:c>
      <x:c r="K410" s="32" t="e">
        <x:f>IF(A410&lt;=Dashboard!$F$17,MAX(0,I410-J410)*Dashboard!$F$6,0)</x:f>
      </x:c>
      <x:c r="L410" s="32" t="e">
        <x:f>IF(A410&lt;=Dashboard!$F$17,MIN(Dashboard!$F$10,MAX(0,I410-J410)+K410),0)</x:f>
      </x:c>
      <x:c r="M410" s="32" t="e">
        <x:f>IF(A410&lt;=Dashboard!$F$17,MAX(0,I410-J410-MAX(0,L410-K410)),0)</x:f>
      </x:c>
      <x:c r="N410" s="32" t="e">
        <x:f>IF(A410=1,K410,N409+K410)</x:f>
      </x:c>
      <x:c r="O410" s="32"/>
      <x:c r="P410" s="32" t="e">
        <x:f>IF(A410=1,Dashboard!$F$14,T409)</x:f>
      </x:c>
      <x:c r="Q410" s="32" t="e">
        <x:f>IF(A410&lt;=Dashboard!$F$17,MIN(P410,$B$6*52/12),0)</x:f>
      </x:c>
      <x:c r="R410" s="32" t="e">
        <x:f>IF(A410&lt;=Dashboard!$F$17,MAX(0,P410-Q410)*Dashboard!$F$6,0)</x:f>
      </x:c>
      <x:c r="S410" s="32" t="e">
        <x:f>IF(A410&lt;=Dashboard!$F$17,MIN(Dashboard!$F$10,MAX(0,P410-Q410)+R410),0)</x:f>
      </x:c>
      <x:c r="T410" s="32" t="e">
        <x:f>IF(A410&lt;=Dashboard!$F$17,MAX(0,P410-Q410-MAX(0,S410-R410)),0)</x:f>
      </x:c>
      <x:c r="U410" s="32" t="e">
        <x:f>IF(A410=1,R410,U409+R410)</x:f>
      </x:c>
      <x:c r="V410" s="32"/>
      <x:c r="W410" s="32" t="e">
        <x:f>IF(A410=1,Dashboard!$F$14,AA409)</x:f>
      </x:c>
      <x:c r="X410" s="32" t="e">
        <x:f>IF(AND(A410&lt;=Dashboard!$F$17,MOD(A410-1,12)=0),MIN(W410,$B$7),0)</x:f>
      </x:c>
      <x:c r="Y410" s="32" t="e">
        <x:f>IF(A410&lt;=Dashboard!$F$17,MAX(0,W410-X410)*Dashboard!$F$6,0)</x:f>
      </x:c>
      <x:c r="Z410" s="32" t="e">
        <x:f>IF(A410&lt;=Dashboard!$F$17,MIN(Dashboard!$F$10,MAX(0,W410-X410)+Y410),0)</x:f>
      </x:c>
      <x:c r="AA410" s="32" t="e">
        <x:f>IF(A410&lt;=Dashboard!$F$17,MAX(0,W410-X410-MAX(0,Z410-Y410)),0)</x:f>
      </x:c>
      <x:c r="AB410" s="32" t="e">
        <x:f>IF(A410=1,Y410,AB409+Y410)</x:f>
      </x:c>
      <x:c r="AC410" s="32"/>
      <x:c r="AD410" s="32" t="e">
        <x:f>IF(A410=1,MAX(0,Dashboard!$F$14-$B$8),AG409)</x:f>
      </x:c>
      <x:c r="AE410" s="32" t="n">
        <x:f>0</x:f>
        <x:v>0</x:v>
      </x:c>
      <x:c r="AF410" s="32" t="e">
        <x:f>IF(A410&lt;=Dashboard!$F$17,AD410*Dashboard!$F$6,0)</x:f>
      </x:c>
      <x:c r="AG410" s="32" t="e">
        <x:f>IF(A410&lt;=Dashboard!$F$17,MIN(Dashboard!$F$10,AD410+AF410),0)</x:f>
      </x:c>
      <x:c r="AH410" s="32" t="e">
        <x:f>IF(A410&lt;=Dashboard!$F$17,MAX(0,AD410-MAX(0,AG410-AF410)),0)</x:f>
      </x:c>
      <x:c r="AI410" s="32" t="e">
        <x:f>IF(A410=1,AF410,AI409+AF410)</x:f>
      </x:c>
      <x:c r="AJ410" s="33"/>
      <x:c r="AK410" s="33"/>
      <x:c r="AL410" s="33"/>
      <x:c r="AM410" s="33"/>
    </x:row>
    <x:row r="411">
      <x:c r="A411" s="33" t="n">
        <x:v>399</x:v>
      </x:c>
      <x:c r="B411" s="32" t="e">
        <x:f>IF(A411=1,Dashboard!$F$14,F410)</x:f>
      </x:c>
      <x:c r="C411" s="32" t="n">
        <x:f>0</x:f>
        <x:v>0</x:v>
      </x:c>
      <x:c r="D411" s="32" t="e">
        <x:f>IF(A411&lt;=Dashboard!$F$15,B411*Dashboard!$F$6,0)</x:f>
      </x:c>
      <x:c r="E411" s="32" t="e">
        <x:f>IF(A411&lt;=Dashboard!$F$15,MIN(Dashboard!$F$10,B411+D411),0)</x:f>
      </x:c>
      <x:c r="F411" s="32" t="e">
        <x:f>IF(A411&lt;=Dashboard!$F$15,MAX(0,B411-MAX(0,E411-D411)),0)</x:f>
      </x:c>
      <x:c r="G411" s="32" t="e">
        <x:f>IF(A411=1,D411,G410+D411)</x:f>
      </x:c>
      <x:c r="H411" s="32"/>
      <x:c r="I411" s="32" t="e">
        <x:f>IF(A411=1,Dashboard!$F$14,M410)</x:f>
      </x:c>
      <x:c r="J411" s="32" t="e">
        <x:f>IF(A411&lt;=Dashboard!$F$17,MIN(I411,$B$5),0)</x:f>
      </x:c>
      <x:c r="K411" s="32" t="e">
        <x:f>IF(A411&lt;=Dashboard!$F$17,MAX(0,I411-J411)*Dashboard!$F$6,0)</x:f>
      </x:c>
      <x:c r="L411" s="32" t="e">
        <x:f>IF(A411&lt;=Dashboard!$F$17,MIN(Dashboard!$F$10,MAX(0,I411-J411)+K411),0)</x:f>
      </x:c>
      <x:c r="M411" s="32" t="e">
        <x:f>IF(A411&lt;=Dashboard!$F$17,MAX(0,I411-J411-MAX(0,L411-K411)),0)</x:f>
      </x:c>
      <x:c r="N411" s="32" t="e">
        <x:f>IF(A411=1,K411,N410+K411)</x:f>
      </x:c>
      <x:c r="O411" s="32"/>
      <x:c r="P411" s="32" t="e">
        <x:f>IF(A411=1,Dashboard!$F$14,T410)</x:f>
      </x:c>
      <x:c r="Q411" s="32" t="e">
        <x:f>IF(A411&lt;=Dashboard!$F$17,MIN(P411,$B$6*52/12),0)</x:f>
      </x:c>
      <x:c r="R411" s="32" t="e">
        <x:f>IF(A411&lt;=Dashboard!$F$17,MAX(0,P411-Q411)*Dashboard!$F$6,0)</x:f>
      </x:c>
      <x:c r="S411" s="32" t="e">
        <x:f>IF(A411&lt;=Dashboard!$F$17,MIN(Dashboard!$F$10,MAX(0,P411-Q411)+R411),0)</x:f>
      </x:c>
      <x:c r="T411" s="32" t="e">
        <x:f>IF(A411&lt;=Dashboard!$F$17,MAX(0,P411-Q411-MAX(0,S411-R411)),0)</x:f>
      </x:c>
      <x:c r="U411" s="32" t="e">
        <x:f>IF(A411=1,R411,U410+R411)</x:f>
      </x:c>
      <x:c r="V411" s="32"/>
      <x:c r="W411" s="32" t="e">
        <x:f>IF(A411=1,Dashboard!$F$14,AA410)</x:f>
      </x:c>
      <x:c r="X411" s="32" t="e">
        <x:f>IF(AND(A411&lt;=Dashboard!$F$17,MOD(A411-1,12)=0),MIN(W411,$B$7),0)</x:f>
      </x:c>
      <x:c r="Y411" s="32" t="e">
        <x:f>IF(A411&lt;=Dashboard!$F$17,MAX(0,W411-X411)*Dashboard!$F$6,0)</x:f>
      </x:c>
      <x:c r="Z411" s="32" t="e">
        <x:f>IF(A411&lt;=Dashboard!$F$17,MIN(Dashboard!$F$10,MAX(0,W411-X411)+Y411),0)</x:f>
      </x:c>
      <x:c r="AA411" s="32" t="e">
        <x:f>IF(A411&lt;=Dashboard!$F$17,MAX(0,W411-X411-MAX(0,Z411-Y411)),0)</x:f>
      </x:c>
      <x:c r="AB411" s="32" t="e">
        <x:f>IF(A411=1,Y411,AB410+Y411)</x:f>
      </x:c>
      <x:c r="AC411" s="32"/>
      <x:c r="AD411" s="32" t="e">
        <x:f>IF(A411=1,MAX(0,Dashboard!$F$14-$B$8),AG410)</x:f>
      </x:c>
      <x:c r="AE411" s="32" t="n">
        <x:f>0</x:f>
        <x:v>0</x:v>
      </x:c>
      <x:c r="AF411" s="32" t="e">
        <x:f>IF(A411&lt;=Dashboard!$F$17,AD411*Dashboard!$F$6,0)</x:f>
      </x:c>
      <x:c r="AG411" s="32" t="e">
        <x:f>IF(A411&lt;=Dashboard!$F$17,MIN(Dashboard!$F$10,AD411+AF411),0)</x:f>
      </x:c>
      <x:c r="AH411" s="32" t="e">
        <x:f>IF(A411&lt;=Dashboard!$F$17,MAX(0,AD411-MAX(0,AG411-AF411)),0)</x:f>
      </x:c>
      <x:c r="AI411" s="32" t="e">
        <x:f>IF(A411=1,AF411,AI410+AF411)</x:f>
      </x:c>
      <x:c r="AJ411" s="33"/>
      <x:c r="AK411" s="33"/>
      <x:c r="AL411" s="33"/>
      <x:c r="AM411" s="33"/>
    </x:row>
    <x:row r="412">
      <x:c r="A412" s="33" t="n">
        <x:v>400</x:v>
      </x:c>
      <x:c r="B412" s="32" t="e">
        <x:f>IF(A412=1,Dashboard!$F$14,F411)</x:f>
      </x:c>
      <x:c r="C412" s="32" t="n">
        <x:f>0</x:f>
        <x:v>0</x:v>
      </x:c>
      <x:c r="D412" s="32" t="e">
        <x:f>IF(A412&lt;=Dashboard!$F$15,B412*Dashboard!$F$6,0)</x:f>
      </x:c>
      <x:c r="E412" s="32" t="e">
        <x:f>IF(A412&lt;=Dashboard!$F$15,MIN(Dashboard!$F$10,B412+D412),0)</x:f>
      </x:c>
      <x:c r="F412" s="32" t="e">
        <x:f>IF(A412&lt;=Dashboard!$F$15,MAX(0,B412-MAX(0,E412-D412)),0)</x:f>
      </x:c>
      <x:c r="G412" s="32" t="e">
        <x:f>IF(A412=1,D412,G411+D412)</x:f>
      </x:c>
      <x:c r="H412" s="32"/>
      <x:c r="I412" s="32" t="e">
        <x:f>IF(A412=1,Dashboard!$F$14,M411)</x:f>
      </x:c>
      <x:c r="J412" s="32" t="e">
        <x:f>IF(A412&lt;=Dashboard!$F$17,MIN(I412,$B$5),0)</x:f>
      </x:c>
      <x:c r="K412" s="32" t="e">
        <x:f>IF(A412&lt;=Dashboard!$F$17,MAX(0,I412-J412)*Dashboard!$F$6,0)</x:f>
      </x:c>
      <x:c r="L412" s="32" t="e">
        <x:f>IF(A412&lt;=Dashboard!$F$17,MIN(Dashboard!$F$10,MAX(0,I412-J412)+K412),0)</x:f>
      </x:c>
      <x:c r="M412" s="32" t="e">
        <x:f>IF(A412&lt;=Dashboard!$F$17,MAX(0,I412-J412-MAX(0,L412-K412)),0)</x:f>
      </x:c>
      <x:c r="N412" s="32" t="e">
        <x:f>IF(A412=1,K412,N411+K412)</x:f>
      </x:c>
      <x:c r="O412" s="32"/>
      <x:c r="P412" s="32" t="e">
        <x:f>IF(A412=1,Dashboard!$F$14,T411)</x:f>
      </x:c>
      <x:c r="Q412" s="32" t="e">
        <x:f>IF(A412&lt;=Dashboard!$F$17,MIN(P412,$B$6*52/12),0)</x:f>
      </x:c>
      <x:c r="R412" s="32" t="e">
        <x:f>IF(A412&lt;=Dashboard!$F$17,MAX(0,P412-Q412)*Dashboard!$F$6,0)</x:f>
      </x:c>
      <x:c r="S412" s="32" t="e">
        <x:f>IF(A412&lt;=Dashboard!$F$17,MIN(Dashboard!$F$10,MAX(0,P412-Q412)+R412),0)</x:f>
      </x:c>
      <x:c r="T412" s="32" t="e">
        <x:f>IF(A412&lt;=Dashboard!$F$17,MAX(0,P412-Q412-MAX(0,S412-R412)),0)</x:f>
      </x:c>
      <x:c r="U412" s="32" t="e">
        <x:f>IF(A412=1,R412,U411+R412)</x:f>
      </x:c>
      <x:c r="V412" s="32"/>
      <x:c r="W412" s="32" t="e">
        <x:f>IF(A412=1,Dashboard!$F$14,AA411)</x:f>
      </x:c>
      <x:c r="X412" s="32" t="e">
        <x:f>IF(AND(A412&lt;=Dashboard!$F$17,MOD(A412-1,12)=0),MIN(W412,$B$7),0)</x:f>
      </x:c>
      <x:c r="Y412" s="32" t="e">
        <x:f>IF(A412&lt;=Dashboard!$F$17,MAX(0,W412-X412)*Dashboard!$F$6,0)</x:f>
      </x:c>
      <x:c r="Z412" s="32" t="e">
        <x:f>IF(A412&lt;=Dashboard!$F$17,MIN(Dashboard!$F$10,MAX(0,W412-X412)+Y412),0)</x:f>
      </x:c>
      <x:c r="AA412" s="32" t="e">
        <x:f>IF(A412&lt;=Dashboard!$F$17,MAX(0,W412-X412-MAX(0,Z412-Y412)),0)</x:f>
      </x:c>
      <x:c r="AB412" s="32" t="e">
        <x:f>IF(A412=1,Y412,AB411+Y412)</x:f>
      </x:c>
      <x:c r="AC412" s="32"/>
      <x:c r="AD412" s="32" t="e">
        <x:f>IF(A412=1,MAX(0,Dashboard!$F$14-$B$8),AG411)</x:f>
      </x:c>
      <x:c r="AE412" s="32" t="n">
        <x:f>0</x:f>
        <x:v>0</x:v>
      </x:c>
      <x:c r="AF412" s="32" t="e">
        <x:f>IF(A412&lt;=Dashboard!$F$17,AD412*Dashboard!$F$6,0)</x:f>
      </x:c>
      <x:c r="AG412" s="32" t="e">
        <x:f>IF(A412&lt;=Dashboard!$F$17,MIN(Dashboard!$F$10,AD412+AF412),0)</x:f>
      </x:c>
      <x:c r="AH412" s="32" t="e">
        <x:f>IF(A412&lt;=Dashboard!$F$17,MAX(0,AD412-MAX(0,AG412-AF412)),0)</x:f>
      </x:c>
      <x:c r="AI412" s="32" t="e">
        <x:f>IF(A412=1,AF412,AI411+AF412)</x:f>
      </x:c>
      <x:c r="AJ412" s="33"/>
      <x:c r="AK412" s="33"/>
      <x:c r="AL412" s="33"/>
      <x:c r="AM412" s="33"/>
    </x:row>
    <x:row r="413">
      <x:c r="A413" s="33" t="n">
        <x:v>401</x:v>
      </x:c>
      <x:c r="B413" s="32" t="e">
        <x:f>IF(A413=1,Dashboard!$F$14,F412)</x:f>
      </x:c>
      <x:c r="C413" s="32" t="n">
        <x:f>0</x:f>
        <x:v>0</x:v>
      </x:c>
      <x:c r="D413" s="32" t="e">
        <x:f>IF(A413&lt;=Dashboard!$F$15,B413*Dashboard!$F$6,0)</x:f>
      </x:c>
      <x:c r="E413" s="32" t="e">
        <x:f>IF(A413&lt;=Dashboard!$F$15,MIN(Dashboard!$F$10,B413+D413),0)</x:f>
      </x:c>
      <x:c r="F413" s="32" t="e">
        <x:f>IF(A413&lt;=Dashboard!$F$15,MAX(0,B413-MAX(0,E413-D413)),0)</x:f>
      </x:c>
      <x:c r="G413" s="32" t="e">
        <x:f>IF(A413=1,D413,G412+D413)</x:f>
      </x:c>
      <x:c r="H413" s="32"/>
      <x:c r="I413" s="32" t="e">
        <x:f>IF(A413=1,Dashboard!$F$14,M412)</x:f>
      </x:c>
      <x:c r="J413" s="32" t="e">
        <x:f>IF(A413&lt;=Dashboard!$F$17,MIN(I413,$B$5),0)</x:f>
      </x:c>
      <x:c r="K413" s="32" t="e">
        <x:f>IF(A413&lt;=Dashboard!$F$17,MAX(0,I413-J413)*Dashboard!$F$6,0)</x:f>
      </x:c>
      <x:c r="L413" s="32" t="e">
        <x:f>IF(A413&lt;=Dashboard!$F$17,MIN(Dashboard!$F$10,MAX(0,I413-J413)+K413),0)</x:f>
      </x:c>
      <x:c r="M413" s="32" t="e">
        <x:f>IF(A413&lt;=Dashboard!$F$17,MAX(0,I413-J413-MAX(0,L413-K413)),0)</x:f>
      </x:c>
      <x:c r="N413" s="32" t="e">
        <x:f>IF(A413=1,K413,N412+K413)</x:f>
      </x:c>
      <x:c r="O413" s="32"/>
      <x:c r="P413" s="32" t="e">
        <x:f>IF(A413=1,Dashboard!$F$14,T412)</x:f>
      </x:c>
      <x:c r="Q413" s="32" t="e">
        <x:f>IF(A413&lt;=Dashboard!$F$17,MIN(P413,$B$6*52/12),0)</x:f>
      </x:c>
      <x:c r="R413" s="32" t="e">
        <x:f>IF(A413&lt;=Dashboard!$F$17,MAX(0,P413-Q413)*Dashboard!$F$6,0)</x:f>
      </x:c>
      <x:c r="S413" s="32" t="e">
        <x:f>IF(A413&lt;=Dashboard!$F$17,MIN(Dashboard!$F$10,MAX(0,P413-Q413)+R413),0)</x:f>
      </x:c>
      <x:c r="T413" s="32" t="e">
        <x:f>IF(A413&lt;=Dashboard!$F$17,MAX(0,P413-Q413-MAX(0,S413-R413)),0)</x:f>
      </x:c>
      <x:c r="U413" s="32" t="e">
        <x:f>IF(A413=1,R413,U412+R413)</x:f>
      </x:c>
      <x:c r="V413" s="32"/>
      <x:c r="W413" s="32" t="e">
        <x:f>IF(A413=1,Dashboard!$F$14,AA412)</x:f>
      </x:c>
      <x:c r="X413" s="32" t="e">
        <x:f>IF(AND(A413&lt;=Dashboard!$F$17,MOD(A413-1,12)=0),MIN(W413,$B$7),0)</x:f>
      </x:c>
      <x:c r="Y413" s="32" t="e">
        <x:f>IF(A413&lt;=Dashboard!$F$17,MAX(0,W413-X413)*Dashboard!$F$6,0)</x:f>
      </x:c>
      <x:c r="Z413" s="32" t="e">
        <x:f>IF(A413&lt;=Dashboard!$F$17,MIN(Dashboard!$F$10,MAX(0,W413-X413)+Y413),0)</x:f>
      </x:c>
      <x:c r="AA413" s="32" t="e">
        <x:f>IF(A413&lt;=Dashboard!$F$17,MAX(0,W413-X413-MAX(0,Z413-Y413)),0)</x:f>
      </x:c>
      <x:c r="AB413" s="32" t="e">
        <x:f>IF(A413=1,Y413,AB412+Y413)</x:f>
      </x:c>
      <x:c r="AC413" s="32"/>
      <x:c r="AD413" s="32" t="e">
        <x:f>IF(A413=1,MAX(0,Dashboard!$F$14-$B$8),AG412)</x:f>
      </x:c>
      <x:c r="AE413" s="32" t="n">
        <x:f>0</x:f>
        <x:v>0</x:v>
      </x:c>
      <x:c r="AF413" s="32" t="e">
        <x:f>IF(A413&lt;=Dashboard!$F$17,AD413*Dashboard!$F$6,0)</x:f>
      </x:c>
      <x:c r="AG413" s="32" t="e">
        <x:f>IF(A413&lt;=Dashboard!$F$17,MIN(Dashboard!$F$10,AD413+AF413),0)</x:f>
      </x:c>
      <x:c r="AH413" s="32" t="e">
        <x:f>IF(A413&lt;=Dashboard!$F$17,MAX(0,AD413-MAX(0,AG413-AF413)),0)</x:f>
      </x:c>
      <x:c r="AI413" s="32" t="e">
        <x:f>IF(A413=1,AF413,AI412+AF413)</x:f>
      </x:c>
      <x:c r="AJ413" s="33"/>
      <x:c r="AK413" s="33"/>
      <x:c r="AL413" s="33"/>
      <x:c r="AM413" s="33"/>
    </x:row>
    <x:row r="414">
      <x:c r="A414" s="33" t="n">
        <x:v>402</x:v>
      </x:c>
      <x:c r="B414" s="32" t="e">
        <x:f>IF(A414=1,Dashboard!$F$14,F413)</x:f>
      </x:c>
      <x:c r="C414" s="32" t="n">
        <x:f>0</x:f>
        <x:v>0</x:v>
      </x:c>
      <x:c r="D414" s="32" t="e">
        <x:f>IF(A414&lt;=Dashboard!$F$15,B414*Dashboard!$F$6,0)</x:f>
      </x:c>
      <x:c r="E414" s="32" t="e">
        <x:f>IF(A414&lt;=Dashboard!$F$15,MIN(Dashboard!$F$10,B414+D414),0)</x:f>
      </x:c>
      <x:c r="F414" s="32" t="e">
        <x:f>IF(A414&lt;=Dashboard!$F$15,MAX(0,B414-MAX(0,E414-D414)),0)</x:f>
      </x:c>
      <x:c r="G414" s="32" t="e">
        <x:f>IF(A414=1,D414,G413+D414)</x:f>
      </x:c>
      <x:c r="H414" s="32"/>
      <x:c r="I414" s="32" t="e">
        <x:f>IF(A414=1,Dashboard!$F$14,M413)</x:f>
      </x:c>
      <x:c r="J414" s="32" t="e">
        <x:f>IF(A414&lt;=Dashboard!$F$17,MIN(I414,$B$5),0)</x:f>
      </x:c>
      <x:c r="K414" s="32" t="e">
        <x:f>IF(A414&lt;=Dashboard!$F$17,MAX(0,I414-J414)*Dashboard!$F$6,0)</x:f>
      </x:c>
      <x:c r="L414" s="32" t="e">
        <x:f>IF(A414&lt;=Dashboard!$F$17,MIN(Dashboard!$F$10,MAX(0,I414-J414)+K414),0)</x:f>
      </x:c>
      <x:c r="M414" s="32" t="e">
        <x:f>IF(A414&lt;=Dashboard!$F$17,MAX(0,I414-J414-MAX(0,L414-K414)),0)</x:f>
      </x:c>
      <x:c r="N414" s="32" t="e">
        <x:f>IF(A414=1,K414,N413+K414)</x:f>
      </x:c>
      <x:c r="O414" s="32"/>
      <x:c r="P414" s="32" t="e">
        <x:f>IF(A414=1,Dashboard!$F$14,T413)</x:f>
      </x:c>
      <x:c r="Q414" s="32" t="e">
        <x:f>IF(A414&lt;=Dashboard!$F$17,MIN(P414,$B$6*52/12),0)</x:f>
      </x:c>
      <x:c r="R414" s="32" t="e">
        <x:f>IF(A414&lt;=Dashboard!$F$17,MAX(0,P414-Q414)*Dashboard!$F$6,0)</x:f>
      </x:c>
      <x:c r="S414" s="32" t="e">
        <x:f>IF(A414&lt;=Dashboard!$F$17,MIN(Dashboard!$F$10,MAX(0,P414-Q414)+R414),0)</x:f>
      </x:c>
      <x:c r="T414" s="32" t="e">
        <x:f>IF(A414&lt;=Dashboard!$F$17,MAX(0,P414-Q414-MAX(0,S414-R414)),0)</x:f>
      </x:c>
      <x:c r="U414" s="32" t="e">
        <x:f>IF(A414=1,R414,U413+R414)</x:f>
      </x:c>
      <x:c r="V414" s="32"/>
      <x:c r="W414" s="32" t="e">
        <x:f>IF(A414=1,Dashboard!$F$14,AA413)</x:f>
      </x:c>
      <x:c r="X414" s="32" t="e">
        <x:f>IF(AND(A414&lt;=Dashboard!$F$17,MOD(A414-1,12)=0),MIN(W414,$B$7),0)</x:f>
      </x:c>
      <x:c r="Y414" s="32" t="e">
        <x:f>IF(A414&lt;=Dashboard!$F$17,MAX(0,W414-X414)*Dashboard!$F$6,0)</x:f>
      </x:c>
      <x:c r="Z414" s="32" t="e">
        <x:f>IF(A414&lt;=Dashboard!$F$17,MIN(Dashboard!$F$10,MAX(0,W414-X414)+Y414),0)</x:f>
      </x:c>
      <x:c r="AA414" s="32" t="e">
        <x:f>IF(A414&lt;=Dashboard!$F$17,MAX(0,W414-X414-MAX(0,Z414-Y414)),0)</x:f>
      </x:c>
      <x:c r="AB414" s="32" t="e">
        <x:f>IF(A414=1,Y414,AB413+Y414)</x:f>
      </x:c>
      <x:c r="AC414" s="32"/>
      <x:c r="AD414" s="32" t="e">
        <x:f>IF(A414=1,MAX(0,Dashboard!$F$14-$B$8),AG413)</x:f>
      </x:c>
      <x:c r="AE414" s="32" t="n">
        <x:f>0</x:f>
        <x:v>0</x:v>
      </x:c>
      <x:c r="AF414" s="32" t="e">
        <x:f>IF(A414&lt;=Dashboard!$F$17,AD414*Dashboard!$F$6,0)</x:f>
      </x:c>
      <x:c r="AG414" s="32" t="e">
        <x:f>IF(A414&lt;=Dashboard!$F$17,MIN(Dashboard!$F$10,AD414+AF414),0)</x:f>
      </x:c>
      <x:c r="AH414" s="32" t="e">
        <x:f>IF(A414&lt;=Dashboard!$F$17,MAX(0,AD414-MAX(0,AG414-AF414)),0)</x:f>
      </x:c>
      <x:c r="AI414" s="32" t="e">
        <x:f>IF(A414=1,AF414,AI413+AF414)</x:f>
      </x:c>
      <x:c r="AJ414" s="33"/>
      <x:c r="AK414" s="33"/>
      <x:c r="AL414" s="33"/>
      <x:c r="AM414" s="33"/>
    </x:row>
    <x:row r="415">
      <x:c r="A415" s="33" t="n">
        <x:v>403</x:v>
      </x:c>
      <x:c r="B415" s="32" t="e">
        <x:f>IF(A415=1,Dashboard!$F$14,F414)</x:f>
      </x:c>
      <x:c r="C415" s="32" t="n">
        <x:f>0</x:f>
        <x:v>0</x:v>
      </x:c>
      <x:c r="D415" s="32" t="e">
        <x:f>IF(A415&lt;=Dashboard!$F$15,B415*Dashboard!$F$6,0)</x:f>
      </x:c>
      <x:c r="E415" s="32" t="e">
        <x:f>IF(A415&lt;=Dashboard!$F$15,MIN(Dashboard!$F$10,B415+D415),0)</x:f>
      </x:c>
      <x:c r="F415" s="32" t="e">
        <x:f>IF(A415&lt;=Dashboard!$F$15,MAX(0,B415-MAX(0,E415-D415)),0)</x:f>
      </x:c>
      <x:c r="G415" s="32" t="e">
        <x:f>IF(A415=1,D415,G414+D415)</x:f>
      </x:c>
      <x:c r="H415" s="32"/>
      <x:c r="I415" s="32" t="e">
        <x:f>IF(A415=1,Dashboard!$F$14,M414)</x:f>
      </x:c>
      <x:c r="J415" s="32" t="e">
        <x:f>IF(A415&lt;=Dashboard!$F$17,MIN(I415,$B$5),0)</x:f>
      </x:c>
      <x:c r="K415" s="32" t="e">
        <x:f>IF(A415&lt;=Dashboard!$F$17,MAX(0,I415-J415)*Dashboard!$F$6,0)</x:f>
      </x:c>
      <x:c r="L415" s="32" t="e">
        <x:f>IF(A415&lt;=Dashboard!$F$17,MIN(Dashboard!$F$10,MAX(0,I415-J415)+K415),0)</x:f>
      </x:c>
      <x:c r="M415" s="32" t="e">
        <x:f>IF(A415&lt;=Dashboard!$F$17,MAX(0,I415-J415-MAX(0,L415-K415)),0)</x:f>
      </x:c>
      <x:c r="N415" s="32" t="e">
        <x:f>IF(A415=1,K415,N414+K415)</x:f>
      </x:c>
      <x:c r="O415" s="32"/>
      <x:c r="P415" s="32" t="e">
        <x:f>IF(A415=1,Dashboard!$F$14,T414)</x:f>
      </x:c>
      <x:c r="Q415" s="32" t="e">
        <x:f>IF(A415&lt;=Dashboard!$F$17,MIN(P415,$B$6*52/12),0)</x:f>
      </x:c>
      <x:c r="R415" s="32" t="e">
        <x:f>IF(A415&lt;=Dashboard!$F$17,MAX(0,P415-Q415)*Dashboard!$F$6,0)</x:f>
      </x:c>
      <x:c r="S415" s="32" t="e">
        <x:f>IF(A415&lt;=Dashboard!$F$17,MIN(Dashboard!$F$10,MAX(0,P415-Q415)+R415),0)</x:f>
      </x:c>
      <x:c r="T415" s="32" t="e">
        <x:f>IF(A415&lt;=Dashboard!$F$17,MAX(0,P415-Q415-MAX(0,S415-R415)),0)</x:f>
      </x:c>
      <x:c r="U415" s="32" t="e">
        <x:f>IF(A415=1,R415,U414+R415)</x:f>
      </x:c>
      <x:c r="V415" s="32"/>
      <x:c r="W415" s="32" t="e">
        <x:f>IF(A415=1,Dashboard!$F$14,AA414)</x:f>
      </x:c>
      <x:c r="X415" s="32" t="e">
        <x:f>IF(AND(A415&lt;=Dashboard!$F$17,MOD(A415-1,12)=0),MIN(W415,$B$7),0)</x:f>
      </x:c>
      <x:c r="Y415" s="32" t="e">
        <x:f>IF(A415&lt;=Dashboard!$F$17,MAX(0,W415-X415)*Dashboard!$F$6,0)</x:f>
      </x:c>
      <x:c r="Z415" s="32" t="e">
        <x:f>IF(A415&lt;=Dashboard!$F$17,MIN(Dashboard!$F$10,MAX(0,W415-X415)+Y415),0)</x:f>
      </x:c>
      <x:c r="AA415" s="32" t="e">
        <x:f>IF(A415&lt;=Dashboard!$F$17,MAX(0,W415-X415-MAX(0,Z415-Y415)),0)</x:f>
      </x:c>
      <x:c r="AB415" s="32" t="e">
        <x:f>IF(A415=1,Y415,AB414+Y415)</x:f>
      </x:c>
      <x:c r="AC415" s="32"/>
      <x:c r="AD415" s="32" t="e">
        <x:f>IF(A415=1,MAX(0,Dashboard!$F$14-$B$8),AG414)</x:f>
      </x:c>
      <x:c r="AE415" s="32" t="n">
        <x:f>0</x:f>
        <x:v>0</x:v>
      </x:c>
      <x:c r="AF415" s="32" t="e">
        <x:f>IF(A415&lt;=Dashboard!$F$17,AD415*Dashboard!$F$6,0)</x:f>
      </x:c>
      <x:c r="AG415" s="32" t="e">
        <x:f>IF(A415&lt;=Dashboard!$F$17,MIN(Dashboard!$F$10,AD415+AF415),0)</x:f>
      </x:c>
      <x:c r="AH415" s="32" t="e">
        <x:f>IF(A415&lt;=Dashboard!$F$17,MAX(0,AD415-MAX(0,AG415-AF415)),0)</x:f>
      </x:c>
      <x:c r="AI415" s="32" t="e">
        <x:f>IF(A415=1,AF415,AI414+AF415)</x:f>
      </x:c>
      <x:c r="AJ415" s="33"/>
      <x:c r="AK415" s="33"/>
      <x:c r="AL415" s="33"/>
      <x:c r="AM415" s="33"/>
    </x:row>
    <x:row r="416">
      <x:c r="A416" s="33" t="n">
        <x:v>404</x:v>
      </x:c>
      <x:c r="B416" s="32" t="e">
        <x:f>IF(A416=1,Dashboard!$F$14,F415)</x:f>
      </x:c>
      <x:c r="C416" s="32" t="n">
        <x:f>0</x:f>
        <x:v>0</x:v>
      </x:c>
      <x:c r="D416" s="32" t="e">
        <x:f>IF(A416&lt;=Dashboard!$F$15,B416*Dashboard!$F$6,0)</x:f>
      </x:c>
      <x:c r="E416" s="32" t="e">
        <x:f>IF(A416&lt;=Dashboard!$F$15,MIN(Dashboard!$F$10,B416+D416),0)</x:f>
      </x:c>
      <x:c r="F416" s="32" t="e">
        <x:f>IF(A416&lt;=Dashboard!$F$15,MAX(0,B416-MAX(0,E416-D416)),0)</x:f>
      </x:c>
      <x:c r="G416" s="32" t="e">
        <x:f>IF(A416=1,D416,G415+D416)</x:f>
      </x:c>
      <x:c r="H416" s="32"/>
      <x:c r="I416" s="32" t="e">
        <x:f>IF(A416=1,Dashboard!$F$14,M415)</x:f>
      </x:c>
      <x:c r="J416" s="32" t="e">
        <x:f>IF(A416&lt;=Dashboard!$F$17,MIN(I416,$B$5),0)</x:f>
      </x:c>
      <x:c r="K416" s="32" t="e">
        <x:f>IF(A416&lt;=Dashboard!$F$17,MAX(0,I416-J416)*Dashboard!$F$6,0)</x:f>
      </x:c>
      <x:c r="L416" s="32" t="e">
        <x:f>IF(A416&lt;=Dashboard!$F$17,MIN(Dashboard!$F$10,MAX(0,I416-J416)+K416),0)</x:f>
      </x:c>
      <x:c r="M416" s="32" t="e">
        <x:f>IF(A416&lt;=Dashboard!$F$17,MAX(0,I416-J416-MAX(0,L416-K416)),0)</x:f>
      </x:c>
      <x:c r="N416" s="32" t="e">
        <x:f>IF(A416=1,K416,N415+K416)</x:f>
      </x:c>
      <x:c r="O416" s="32"/>
      <x:c r="P416" s="32" t="e">
        <x:f>IF(A416=1,Dashboard!$F$14,T415)</x:f>
      </x:c>
      <x:c r="Q416" s="32" t="e">
        <x:f>IF(A416&lt;=Dashboard!$F$17,MIN(P416,$B$6*52/12),0)</x:f>
      </x:c>
      <x:c r="R416" s="32" t="e">
        <x:f>IF(A416&lt;=Dashboard!$F$17,MAX(0,P416-Q416)*Dashboard!$F$6,0)</x:f>
      </x:c>
      <x:c r="S416" s="32" t="e">
        <x:f>IF(A416&lt;=Dashboard!$F$17,MIN(Dashboard!$F$10,MAX(0,P416-Q416)+R416),0)</x:f>
      </x:c>
      <x:c r="T416" s="32" t="e">
        <x:f>IF(A416&lt;=Dashboard!$F$17,MAX(0,P416-Q416-MAX(0,S416-R416)),0)</x:f>
      </x:c>
      <x:c r="U416" s="32" t="e">
        <x:f>IF(A416=1,R416,U415+R416)</x:f>
      </x:c>
      <x:c r="V416" s="32"/>
      <x:c r="W416" s="32" t="e">
        <x:f>IF(A416=1,Dashboard!$F$14,AA415)</x:f>
      </x:c>
      <x:c r="X416" s="32" t="e">
        <x:f>IF(AND(A416&lt;=Dashboard!$F$17,MOD(A416-1,12)=0),MIN(W416,$B$7),0)</x:f>
      </x:c>
      <x:c r="Y416" s="32" t="e">
        <x:f>IF(A416&lt;=Dashboard!$F$17,MAX(0,W416-X416)*Dashboard!$F$6,0)</x:f>
      </x:c>
      <x:c r="Z416" s="32" t="e">
        <x:f>IF(A416&lt;=Dashboard!$F$17,MIN(Dashboard!$F$10,MAX(0,W416-X416)+Y416),0)</x:f>
      </x:c>
      <x:c r="AA416" s="32" t="e">
        <x:f>IF(A416&lt;=Dashboard!$F$17,MAX(0,W416-X416-MAX(0,Z416-Y416)),0)</x:f>
      </x:c>
      <x:c r="AB416" s="32" t="e">
        <x:f>IF(A416=1,Y416,AB415+Y416)</x:f>
      </x:c>
      <x:c r="AC416" s="32"/>
      <x:c r="AD416" s="32" t="e">
        <x:f>IF(A416=1,MAX(0,Dashboard!$F$14-$B$8),AG415)</x:f>
      </x:c>
      <x:c r="AE416" s="32" t="n">
        <x:f>0</x:f>
        <x:v>0</x:v>
      </x:c>
      <x:c r="AF416" s="32" t="e">
        <x:f>IF(A416&lt;=Dashboard!$F$17,AD416*Dashboard!$F$6,0)</x:f>
      </x:c>
      <x:c r="AG416" s="32" t="e">
        <x:f>IF(A416&lt;=Dashboard!$F$17,MIN(Dashboard!$F$10,AD416+AF416),0)</x:f>
      </x:c>
      <x:c r="AH416" s="32" t="e">
        <x:f>IF(A416&lt;=Dashboard!$F$17,MAX(0,AD416-MAX(0,AG416-AF416)),0)</x:f>
      </x:c>
      <x:c r="AI416" s="32" t="e">
        <x:f>IF(A416=1,AF416,AI415+AF416)</x:f>
      </x:c>
      <x:c r="AJ416" s="33"/>
      <x:c r="AK416" s="33"/>
      <x:c r="AL416" s="33"/>
      <x:c r="AM416" s="33"/>
    </x:row>
    <x:row r="417">
      <x:c r="A417" s="33" t="n">
        <x:v>405</x:v>
      </x:c>
      <x:c r="B417" s="32" t="e">
        <x:f>IF(A417=1,Dashboard!$F$14,F416)</x:f>
      </x:c>
      <x:c r="C417" s="32" t="n">
        <x:f>0</x:f>
        <x:v>0</x:v>
      </x:c>
      <x:c r="D417" s="32" t="e">
        <x:f>IF(A417&lt;=Dashboard!$F$15,B417*Dashboard!$F$6,0)</x:f>
      </x:c>
      <x:c r="E417" s="32" t="e">
        <x:f>IF(A417&lt;=Dashboard!$F$15,MIN(Dashboard!$F$10,B417+D417),0)</x:f>
      </x:c>
      <x:c r="F417" s="32" t="e">
        <x:f>IF(A417&lt;=Dashboard!$F$15,MAX(0,B417-MAX(0,E417-D417)),0)</x:f>
      </x:c>
      <x:c r="G417" s="32" t="e">
        <x:f>IF(A417=1,D417,G416+D417)</x:f>
      </x:c>
      <x:c r="H417" s="32"/>
      <x:c r="I417" s="32" t="e">
        <x:f>IF(A417=1,Dashboard!$F$14,M416)</x:f>
      </x:c>
      <x:c r="J417" s="32" t="e">
        <x:f>IF(A417&lt;=Dashboard!$F$17,MIN(I417,$B$5),0)</x:f>
      </x:c>
      <x:c r="K417" s="32" t="e">
        <x:f>IF(A417&lt;=Dashboard!$F$17,MAX(0,I417-J417)*Dashboard!$F$6,0)</x:f>
      </x:c>
      <x:c r="L417" s="32" t="e">
        <x:f>IF(A417&lt;=Dashboard!$F$17,MIN(Dashboard!$F$10,MAX(0,I417-J417)+K417),0)</x:f>
      </x:c>
      <x:c r="M417" s="32" t="e">
        <x:f>IF(A417&lt;=Dashboard!$F$17,MAX(0,I417-J417-MAX(0,L417-K417)),0)</x:f>
      </x:c>
      <x:c r="N417" s="32" t="e">
        <x:f>IF(A417=1,K417,N416+K417)</x:f>
      </x:c>
      <x:c r="O417" s="32"/>
      <x:c r="P417" s="32" t="e">
        <x:f>IF(A417=1,Dashboard!$F$14,T416)</x:f>
      </x:c>
      <x:c r="Q417" s="32" t="e">
        <x:f>IF(A417&lt;=Dashboard!$F$17,MIN(P417,$B$6*52/12),0)</x:f>
      </x:c>
      <x:c r="R417" s="32" t="e">
        <x:f>IF(A417&lt;=Dashboard!$F$17,MAX(0,P417-Q417)*Dashboard!$F$6,0)</x:f>
      </x:c>
      <x:c r="S417" s="32" t="e">
        <x:f>IF(A417&lt;=Dashboard!$F$17,MIN(Dashboard!$F$10,MAX(0,P417-Q417)+R417),0)</x:f>
      </x:c>
      <x:c r="T417" s="32" t="e">
        <x:f>IF(A417&lt;=Dashboard!$F$17,MAX(0,P417-Q417-MAX(0,S417-R417)),0)</x:f>
      </x:c>
      <x:c r="U417" s="32" t="e">
        <x:f>IF(A417=1,R417,U416+R417)</x:f>
      </x:c>
      <x:c r="V417" s="32"/>
      <x:c r="W417" s="32" t="e">
        <x:f>IF(A417=1,Dashboard!$F$14,AA416)</x:f>
      </x:c>
      <x:c r="X417" s="32" t="e">
        <x:f>IF(AND(A417&lt;=Dashboard!$F$17,MOD(A417-1,12)=0),MIN(W417,$B$7),0)</x:f>
      </x:c>
      <x:c r="Y417" s="32" t="e">
        <x:f>IF(A417&lt;=Dashboard!$F$17,MAX(0,W417-X417)*Dashboard!$F$6,0)</x:f>
      </x:c>
      <x:c r="Z417" s="32" t="e">
        <x:f>IF(A417&lt;=Dashboard!$F$17,MIN(Dashboard!$F$10,MAX(0,W417-X417)+Y417),0)</x:f>
      </x:c>
      <x:c r="AA417" s="32" t="e">
        <x:f>IF(A417&lt;=Dashboard!$F$17,MAX(0,W417-X417-MAX(0,Z417-Y417)),0)</x:f>
      </x:c>
      <x:c r="AB417" s="32" t="e">
        <x:f>IF(A417=1,Y417,AB416+Y417)</x:f>
      </x:c>
      <x:c r="AC417" s="32"/>
      <x:c r="AD417" s="32" t="e">
        <x:f>IF(A417=1,MAX(0,Dashboard!$F$14-$B$8),AG416)</x:f>
      </x:c>
      <x:c r="AE417" s="32" t="n">
        <x:f>0</x:f>
        <x:v>0</x:v>
      </x:c>
      <x:c r="AF417" s="32" t="e">
        <x:f>IF(A417&lt;=Dashboard!$F$17,AD417*Dashboard!$F$6,0)</x:f>
      </x:c>
      <x:c r="AG417" s="32" t="e">
        <x:f>IF(A417&lt;=Dashboard!$F$17,MIN(Dashboard!$F$10,AD417+AF417),0)</x:f>
      </x:c>
      <x:c r="AH417" s="32" t="e">
        <x:f>IF(A417&lt;=Dashboard!$F$17,MAX(0,AD417-MAX(0,AG417-AF417)),0)</x:f>
      </x:c>
      <x:c r="AI417" s="32" t="e">
        <x:f>IF(A417=1,AF417,AI416+AF417)</x:f>
      </x:c>
      <x:c r="AJ417" s="33"/>
      <x:c r="AK417" s="33"/>
      <x:c r="AL417" s="33"/>
      <x:c r="AM417" s="33"/>
    </x:row>
    <x:row r="418">
      <x:c r="A418" s="33" t="n">
        <x:v>406</x:v>
      </x:c>
      <x:c r="B418" s="32" t="e">
        <x:f>IF(A418=1,Dashboard!$F$14,F417)</x:f>
      </x:c>
      <x:c r="C418" s="32" t="n">
        <x:f>0</x:f>
        <x:v>0</x:v>
      </x:c>
      <x:c r="D418" s="32" t="e">
        <x:f>IF(A418&lt;=Dashboard!$F$15,B418*Dashboard!$F$6,0)</x:f>
      </x:c>
      <x:c r="E418" s="32" t="e">
        <x:f>IF(A418&lt;=Dashboard!$F$15,MIN(Dashboard!$F$10,B418+D418),0)</x:f>
      </x:c>
      <x:c r="F418" s="32" t="e">
        <x:f>IF(A418&lt;=Dashboard!$F$15,MAX(0,B418-MAX(0,E418-D418)),0)</x:f>
      </x:c>
      <x:c r="G418" s="32" t="e">
        <x:f>IF(A418=1,D418,G417+D418)</x:f>
      </x:c>
      <x:c r="H418" s="32"/>
      <x:c r="I418" s="32" t="e">
        <x:f>IF(A418=1,Dashboard!$F$14,M417)</x:f>
      </x:c>
      <x:c r="J418" s="32" t="e">
        <x:f>IF(A418&lt;=Dashboard!$F$17,MIN(I418,$B$5),0)</x:f>
      </x:c>
      <x:c r="K418" s="32" t="e">
        <x:f>IF(A418&lt;=Dashboard!$F$17,MAX(0,I418-J418)*Dashboard!$F$6,0)</x:f>
      </x:c>
      <x:c r="L418" s="32" t="e">
        <x:f>IF(A418&lt;=Dashboard!$F$17,MIN(Dashboard!$F$10,MAX(0,I418-J418)+K418),0)</x:f>
      </x:c>
      <x:c r="M418" s="32" t="e">
        <x:f>IF(A418&lt;=Dashboard!$F$17,MAX(0,I418-J418-MAX(0,L418-K418)),0)</x:f>
      </x:c>
      <x:c r="N418" s="32" t="e">
        <x:f>IF(A418=1,K418,N417+K418)</x:f>
      </x:c>
      <x:c r="O418" s="32"/>
      <x:c r="P418" s="32" t="e">
        <x:f>IF(A418=1,Dashboard!$F$14,T417)</x:f>
      </x:c>
      <x:c r="Q418" s="32" t="e">
        <x:f>IF(A418&lt;=Dashboard!$F$17,MIN(P418,$B$6*52/12),0)</x:f>
      </x:c>
      <x:c r="R418" s="32" t="e">
        <x:f>IF(A418&lt;=Dashboard!$F$17,MAX(0,P418-Q418)*Dashboard!$F$6,0)</x:f>
      </x:c>
      <x:c r="S418" s="32" t="e">
        <x:f>IF(A418&lt;=Dashboard!$F$17,MIN(Dashboard!$F$10,MAX(0,P418-Q418)+R418),0)</x:f>
      </x:c>
      <x:c r="T418" s="32" t="e">
        <x:f>IF(A418&lt;=Dashboard!$F$17,MAX(0,P418-Q418-MAX(0,S418-R418)),0)</x:f>
      </x:c>
      <x:c r="U418" s="32" t="e">
        <x:f>IF(A418=1,R418,U417+R418)</x:f>
      </x:c>
      <x:c r="V418" s="32"/>
      <x:c r="W418" s="32" t="e">
        <x:f>IF(A418=1,Dashboard!$F$14,AA417)</x:f>
      </x:c>
      <x:c r="X418" s="32" t="e">
        <x:f>IF(AND(A418&lt;=Dashboard!$F$17,MOD(A418-1,12)=0),MIN(W418,$B$7),0)</x:f>
      </x:c>
      <x:c r="Y418" s="32" t="e">
        <x:f>IF(A418&lt;=Dashboard!$F$17,MAX(0,W418-X418)*Dashboard!$F$6,0)</x:f>
      </x:c>
      <x:c r="Z418" s="32" t="e">
        <x:f>IF(A418&lt;=Dashboard!$F$17,MIN(Dashboard!$F$10,MAX(0,W418-X418)+Y418),0)</x:f>
      </x:c>
      <x:c r="AA418" s="32" t="e">
        <x:f>IF(A418&lt;=Dashboard!$F$17,MAX(0,W418-X418-MAX(0,Z418-Y418)),0)</x:f>
      </x:c>
      <x:c r="AB418" s="32" t="e">
        <x:f>IF(A418=1,Y418,AB417+Y418)</x:f>
      </x:c>
      <x:c r="AC418" s="32"/>
      <x:c r="AD418" s="32" t="e">
        <x:f>IF(A418=1,MAX(0,Dashboard!$F$14-$B$8),AG417)</x:f>
      </x:c>
      <x:c r="AE418" s="32" t="n">
        <x:f>0</x:f>
        <x:v>0</x:v>
      </x:c>
      <x:c r="AF418" s="32" t="e">
        <x:f>IF(A418&lt;=Dashboard!$F$17,AD418*Dashboard!$F$6,0)</x:f>
      </x:c>
      <x:c r="AG418" s="32" t="e">
        <x:f>IF(A418&lt;=Dashboard!$F$17,MIN(Dashboard!$F$10,AD418+AF418),0)</x:f>
      </x:c>
      <x:c r="AH418" s="32" t="e">
        <x:f>IF(A418&lt;=Dashboard!$F$17,MAX(0,AD418-MAX(0,AG418-AF418)),0)</x:f>
      </x:c>
      <x:c r="AI418" s="32" t="e">
        <x:f>IF(A418=1,AF418,AI417+AF418)</x:f>
      </x:c>
      <x:c r="AJ418" s="33"/>
      <x:c r="AK418" s="33"/>
      <x:c r="AL418" s="33"/>
      <x:c r="AM418" s="33"/>
    </x:row>
    <x:row r="419">
      <x:c r="A419" s="33" t="n">
        <x:v>407</x:v>
      </x:c>
      <x:c r="B419" s="32" t="e">
        <x:f>IF(A419=1,Dashboard!$F$14,F418)</x:f>
      </x:c>
      <x:c r="C419" s="32" t="n">
        <x:f>0</x:f>
        <x:v>0</x:v>
      </x:c>
      <x:c r="D419" s="32" t="e">
        <x:f>IF(A419&lt;=Dashboard!$F$15,B419*Dashboard!$F$6,0)</x:f>
      </x:c>
      <x:c r="E419" s="32" t="e">
        <x:f>IF(A419&lt;=Dashboard!$F$15,MIN(Dashboard!$F$10,B419+D419),0)</x:f>
      </x:c>
      <x:c r="F419" s="32" t="e">
        <x:f>IF(A419&lt;=Dashboard!$F$15,MAX(0,B419-MAX(0,E419-D419)),0)</x:f>
      </x:c>
      <x:c r="G419" s="32" t="e">
        <x:f>IF(A419=1,D419,G418+D419)</x:f>
      </x:c>
      <x:c r="H419" s="32"/>
      <x:c r="I419" s="32" t="e">
        <x:f>IF(A419=1,Dashboard!$F$14,M418)</x:f>
      </x:c>
      <x:c r="J419" s="32" t="e">
        <x:f>IF(A419&lt;=Dashboard!$F$17,MIN(I419,$B$5),0)</x:f>
      </x:c>
      <x:c r="K419" s="32" t="e">
        <x:f>IF(A419&lt;=Dashboard!$F$17,MAX(0,I419-J419)*Dashboard!$F$6,0)</x:f>
      </x:c>
      <x:c r="L419" s="32" t="e">
        <x:f>IF(A419&lt;=Dashboard!$F$17,MIN(Dashboard!$F$10,MAX(0,I419-J419)+K419),0)</x:f>
      </x:c>
      <x:c r="M419" s="32" t="e">
        <x:f>IF(A419&lt;=Dashboard!$F$17,MAX(0,I419-J419-MAX(0,L419-K419)),0)</x:f>
      </x:c>
      <x:c r="N419" s="32" t="e">
        <x:f>IF(A419=1,K419,N418+K419)</x:f>
      </x:c>
      <x:c r="O419" s="32"/>
      <x:c r="P419" s="32" t="e">
        <x:f>IF(A419=1,Dashboard!$F$14,T418)</x:f>
      </x:c>
      <x:c r="Q419" s="32" t="e">
        <x:f>IF(A419&lt;=Dashboard!$F$17,MIN(P419,$B$6*52/12),0)</x:f>
      </x:c>
      <x:c r="R419" s="32" t="e">
        <x:f>IF(A419&lt;=Dashboard!$F$17,MAX(0,P419-Q419)*Dashboard!$F$6,0)</x:f>
      </x:c>
      <x:c r="S419" s="32" t="e">
        <x:f>IF(A419&lt;=Dashboard!$F$17,MIN(Dashboard!$F$10,MAX(0,P419-Q419)+R419),0)</x:f>
      </x:c>
      <x:c r="T419" s="32" t="e">
        <x:f>IF(A419&lt;=Dashboard!$F$17,MAX(0,P419-Q419-MAX(0,S419-R419)),0)</x:f>
      </x:c>
      <x:c r="U419" s="32" t="e">
        <x:f>IF(A419=1,R419,U418+R419)</x:f>
      </x:c>
      <x:c r="V419" s="32"/>
      <x:c r="W419" s="32" t="e">
        <x:f>IF(A419=1,Dashboard!$F$14,AA418)</x:f>
      </x:c>
      <x:c r="X419" s="32" t="e">
        <x:f>IF(AND(A419&lt;=Dashboard!$F$17,MOD(A419-1,12)=0),MIN(W419,$B$7),0)</x:f>
      </x:c>
      <x:c r="Y419" s="32" t="e">
        <x:f>IF(A419&lt;=Dashboard!$F$17,MAX(0,W419-X419)*Dashboard!$F$6,0)</x:f>
      </x:c>
      <x:c r="Z419" s="32" t="e">
        <x:f>IF(A419&lt;=Dashboard!$F$17,MIN(Dashboard!$F$10,MAX(0,W419-X419)+Y419),0)</x:f>
      </x:c>
      <x:c r="AA419" s="32" t="e">
        <x:f>IF(A419&lt;=Dashboard!$F$17,MAX(0,W419-X419-MAX(0,Z419-Y419)),0)</x:f>
      </x:c>
      <x:c r="AB419" s="32" t="e">
        <x:f>IF(A419=1,Y419,AB418+Y419)</x:f>
      </x:c>
      <x:c r="AC419" s="32"/>
      <x:c r="AD419" s="32" t="e">
        <x:f>IF(A419=1,MAX(0,Dashboard!$F$14-$B$8),AG418)</x:f>
      </x:c>
      <x:c r="AE419" s="32" t="n">
        <x:f>0</x:f>
        <x:v>0</x:v>
      </x:c>
      <x:c r="AF419" s="32" t="e">
        <x:f>IF(A419&lt;=Dashboard!$F$17,AD419*Dashboard!$F$6,0)</x:f>
      </x:c>
      <x:c r="AG419" s="32" t="e">
        <x:f>IF(A419&lt;=Dashboard!$F$17,MIN(Dashboard!$F$10,AD419+AF419),0)</x:f>
      </x:c>
      <x:c r="AH419" s="32" t="e">
        <x:f>IF(A419&lt;=Dashboard!$F$17,MAX(0,AD419-MAX(0,AG419-AF419)),0)</x:f>
      </x:c>
      <x:c r="AI419" s="32" t="e">
        <x:f>IF(A419=1,AF419,AI418+AF419)</x:f>
      </x:c>
      <x:c r="AJ419" s="33"/>
      <x:c r="AK419" s="33"/>
      <x:c r="AL419" s="33"/>
      <x:c r="AM419" s="33"/>
    </x:row>
    <x:row r="420">
      <x:c r="A420" s="33" t="n">
        <x:v>408</x:v>
      </x:c>
      <x:c r="B420" s="32" t="e">
        <x:f>IF(A420=1,Dashboard!$F$14,F419)</x:f>
      </x:c>
      <x:c r="C420" s="32" t="n">
        <x:f>0</x:f>
        <x:v>0</x:v>
      </x:c>
      <x:c r="D420" s="32" t="e">
        <x:f>IF(A420&lt;=Dashboard!$F$15,B420*Dashboard!$F$6,0)</x:f>
      </x:c>
      <x:c r="E420" s="32" t="e">
        <x:f>IF(A420&lt;=Dashboard!$F$15,MIN(Dashboard!$F$10,B420+D420),0)</x:f>
      </x:c>
      <x:c r="F420" s="32" t="e">
        <x:f>IF(A420&lt;=Dashboard!$F$15,MAX(0,B420-MAX(0,E420-D420)),0)</x:f>
      </x:c>
      <x:c r="G420" s="32" t="e">
        <x:f>IF(A420=1,D420,G419+D420)</x:f>
      </x:c>
      <x:c r="H420" s="32"/>
      <x:c r="I420" s="32" t="e">
        <x:f>IF(A420=1,Dashboard!$F$14,M419)</x:f>
      </x:c>
      <x:c r="J420" s="32" t="e">
        <x:f>IF(A420&lt;=Dashboard!$F$17,MIN(I420,$B$5),0)</x:f>
      </x:c>
      <x:c r="K420" s="32" t="e">
        <x:f>IF(A420&lt;=Dashboard!$F$17,MAX(0,I420-J420)*Dashboard!$F$6,0)</x:f>
      </x:c>
      <x:c r="L420" s="32" t="e">
        <x:f>IF(A420&lt;=Dashboard!$F$17,MIN(Dashboard!$F$10,MAX(0,I420-J420)+K420),0)</x:f>
      </x:c>
      <x:c r="M420" s="32" t="e">
        <x:f>IF(A420&lt;=Dashboard!$F$17,MAX(0,I420-J420-MAX(0,L420-K420)),0)</x:f>
      </x:c>
      <x:c r="N420" s="32" t="e">
        <x:f>IF(A420=1,K420,N419+K420)</x:f>
      </x:c>
      <x:c r="O420" s="32"/>
      <x:c r="P420" s="32" t="e">
        <x:f>IF(A420=1,Dashboard!$F$14,T419)</x:f>
      </x:c>
      <x:c r="Q420" s="32" t="e">
        <x:f>IF(A420&lt;=Dashboard!$F$17,MIN(P420,$B$6*52/12),0)</x:f>
      </x:c>
      <x:c r="R420" s="32" t="e">
        <x:f>IF(A420&lt;=Dashboard!$F$17,MAX(0,P420-Q420)*Dashboard!$F$6,0)</x:f>
      </x:c>
      <x:c r="S420" s="32" t="e">
        <x:f>IF(A420&lt;=Dashboard!$F$17,MIN(Dashboard!$F$10,MAX(0,P420-Q420)+R420),0)</x:f>
      </x:c>
      <x:c r="T420" s="32" t="e">
        <x:f>IF(A420&lt;=Dashboard!$F$17,MAX(0,P420-Q420-MAX(0,S420-R420)),0)</x:f>
      </x:c>
      <x:c r="U420" s="32" t="e">
        <x:f>IF(A420=1,R420,U419+R420)</x:f>
      </x:c>
      <x:c r="V420" s="32"/>
      <x:c r="W420" s="32" t="e">
        <x:f>IF(A420=1,Dashboard!$F$14,AA419)</x:f>
      </x:c>
      <x:c r="X420" s="32" t="e">
        <x:f>IF(AND(A420&lt;=Dashboard!$F$17,MOD(A420-1,12)=0),MIN(W420,$B$7),0)</x:f>
      </x:c>
      <x:c r="Y420" s="32" t="e">
        <x:f>IF(A420&lt;=Dashboard!$F$17,MAX(0,W420-X420)*Dashboard!$F$6,0)</x:f>
      </x:c>
      <x:c r="Z420" s="32" t="e">
        <x:f>IF(A420&lt;=Dashboard!$F$17,MIN(Dashboard!$F$10,MAX(0,W420-X420)+Y420),0)</x:f>
      </x:c>
      <x:c r="AA420" s="32" t="e">
        <x:f>IF(A420&lt;=Dashboard!$F$17,MAX(0,W420-X420-MAX(0,Z420-Y420)),0)</x:f>
      </x:c>
      <x:c r="AB420" s="32" t="e">
        <x:f>IF(A420=1,Y420,AB419+Y420)</x:f>
      </x:c>
      <x:c r="AC420" s="32"/>
      <x:c r="AD420" s="32" t="e">
        <x:f>IF(A420=1,MAX(0,Dashboard!$F$14-$B$8),AG419)</x:f>
      </x:c>
      <x:c r="AE420" s="32" t="n">
        <x:f>0</x:f>
        <x:v>0</x:v>
      </x:c>
      <x:c r="AF420" s="32" t="e">
        <x:f>IF(A420&lt;=Dashboard!$F$17,AD420*Dashboard!$F$6,0)</x:f>
      </x:c>
      <x:c r="AG420" s="32" t="e">
        <x:f>IF(A420&lt;=Dashboard!$F$17,MIN(Dashboard!$F$10,AD420+AF420),0)</x:f>
      </x:c>
      <x:c r="AH420" s="32" t="e">
        <x:f>IF(A420&lt;=Dashboard!$F$17,MAX(0,AD420-MAX(0,AG420-AF420)),0)</x:f>
      </x:c>
      <x:c r="AI420" s="32" t="e">
        <x:f>IF(A420=1,AF420,AI419+AF420)</x:f>
      </x:c>
      <x:c r="AJ420" s="33"/>
      <x:c r="AK420" s="33"/>
      <x:c r="AL420" s="33"/>
      <x:c r="AM420" s="33"/>
    </x:row>
    <x:row r="421">
      <x:c r="A421" s="33" t="n">
        <x:v>409</x:v>
      </x:c>
      <x:c r="B421" s="32" t="e">
        <x:f>IF(A421=1,Dashboard!$F$14,F420)</x:f>
      </x:c>
      <x:c r="C421" s="32" t="n">
        <x:f>0</x:f>
        <x:v>0</x:v>
      </x:c>
      <x:c r="D421" s="32" t="e">
        <x:f>IF(A421&lt;=Dashboard!$F$15,B421*Dashboard!$F$6,0)</x:f>
      </x:c>
      <x:c r="E421" s="32" t="e">
        <x:f>IF(A421&lt;=Dashboard!$F$15,MIN(Dashboard!$F$10,B421+D421),0)</x:f>
      </x:c>
      <x:c r="F421" s="32" t="e">
        <x:f>IF(A421&lt;=Dashboard!$F$15,MAX(0,B421-MAX(0,E421-D421)),0)</x:f>
      </x:c>
      <x:c r="G421" s="32" t="e">
        <x:f>IF(A421=1,D421,G420+D421)</x:f>
      </x:c>
      <x:c r="H421" s="32"/>
      <x:c r="I421" s="32" t="e">
        <x:f>IF(A421=1,Dashboard!$F$14,M420)</x:f>
      </x:c>
      <x:c r="J421" s="32" t="e">
        <x:f>IF(A421&lt;=Dashboard!$F$17,MIN(I421,$B$5),0)</x:f>
      </x:c>
      <x:c r="K421" s="32" t="e">
        <x:f>IF(A421&lt;=Dashboard!$F$17,MAX(0,I421-J421)*Dashboard!$F$6,0)</x:f>
      </x:c>
      <x:c r="L421" s="32" t="e">
        <x:f>IF(A421&lt;=Dashboard!$F$17,MIN(Dashboard!$F$10,MAX(0,I421-J421)+K421),0)</x:f>
      </x:c>
      <x:c r="M421" s="32" t="e">
        <x:f>IF(A421&lt;=Dashboard!$F$17,MAX(0,I421-J421-MAX(0,L421-K421)),0)</x:f>
      </x:c>
      <x:c r="N421" s="32" t="e">
        <x:f>IF(A421=1,K421,N420+K421)</x:f>
      </x:c>
      <x:c r="O421" s="32"/>
      <x:c r="P421" s="32" t="e">
        <x:f>IF(A421=1,Dashboard!$F$14,T420)</x:f>
      </x:c>
      <x:c r="Q421" s="32" t="e">
        <x:f>IF(A421&lt;=Dashboard!$F$17,MIN(P421,$B$6*52/12),0)</x:f>
      </x:c>
      <x:c r="R421" s="32" t="e">
        <x:f>IF(A421&lt;=Dashboard!$F$17,MAX(0,P421-Q421)*Dashboard!$F$6,0)</x:f>
      </x:c>
      <x:c r="S421" s="32" t="e">
        <x:f>IF(A421&lt;=Dashboard!$F$17,MIN(Dashboard!$F$10,MAX(0,P421-Q421)+R421),0)</x:f>
      </x:c>
      <x:c r="T421" s="32" t="e">
        <x:f>IF(A421&lt;=Dashboard!$F$17,MAX(0,P421-Q421-MAX(0,S421-R421)),0)</x:f>
      </x:c>
      <x:c r="U421" s="32" t="e">
        <x:f>IF(A421=1,R421,U420+R421)</x:f>
      </x:c>
      <x:c r="V421" s="32"/>
      <x:c r="W421" s="32" t="e">
        <x:f>IF(A421=1,Dashboard!$F$14,AA420)</x:f>
      </x:c>
      <x:c r="X421" s="32" t="e">
        <x:f>IF(AND(A421&lt;=Dashboard!$F$17,MOD(A421-1,12)=0),MIN(W421,$B$7),0)</x:f>
      </x:c>
      <x:c r="Y421" s="32" t="e">
        <x:f>IF(A421&lt;=Dashboard!$F$17,MAX(0,W421-X421)*Dashboard!$F$6,0)</x:f>
      </x:c>
      <x:c r="Z421" s="32" t="e">
        <x:f>IF(A421&lt;=Dashboard!$F$17,MIN(Dashboard!$F$10,MAX(0,W421-X421)+Y421),0)</x:f>
      </x:c>
      <x:c r="AA421" s="32" t="e">
        <x:f>IF(A421&lt;=Dashboard!$F$17,MAX(0,W421-X421-MAX(0,Z421-Y421)),0)</x:f>
      </x:c>
      <x:c r="AB421" s="32" t="e">
        <x:f>IF(A421=1,Y421,AB420+Y421)</x:f>
      </x:c>
      <x:c r="AC421" s="32"/>
      <x:c r="AD421" s="32" t="e">
        <x:f>IF(A421=1,MAX(0,Dashboard!$F$14-$B$8),AG420)</x:f>
      </x:c>
      <x:c r="AE421" s="32" t="n">
        <x:f>0</x:f>
        <x:v>0</x:v>
      </x:c>
      <x:c r="AF421" s="32" t="e">
        <x:f>IF(A421&lt;=Dashboard!$F$17,AD421*Dashboard!$F$6,0)</x:f>
      </x:c>
      <x:c r="AG421" s="32" t="e">
        <x:f>IF(A421&lt;=Dashboard!$F$17,MIN(Dashboard!$F$10,AD421+AF421),0)</x:f>
      </x:c>
      <x:c r="AH421" s="32" t="e">
        <x:f>IF(A421&lt;=Dashboard!$F$17,MAX(0,AD421-MAX(0,AG421-AF421)),0)</x:f>
      </x:c>
      <x:c r="AI421" s="32" t="e">
        <x:f>IF(A421=1,AF421,AI420+AF421)</x:f>
      </x:c>
      <x:c r="AJ421" s="33"/>
      <x:c r="AK421" s="33"/>
      <x:c r="AL421" s="33"/>
      <x:c r="AM421" s="33"/>
    </x:row>
    <x:row r="422">
      <x:c r="A422" s="33" t="n">
        <x:v>410</x:v>
      </x:c>
      <x:c r="B422" s="32" t="e">
        <x:f>IF(A422=1,Dashboard!$F$14,F421)</x:f>
      </x:c>
      <x:c r="C422" s="32" t="n">
        <x:f>0</x:f>
        <x:v>0</x:v>
      </x:c>
      <x:c r="D422" s="32" t="e">
        <x:f>IF(A422&lt;=Dashboard!$F$15,B422*Dashboard!$F$6,0)</x:f>
      </x:c>
      <x:c r="E422" s="32" t="e">
        <x:f>IF(A422&lt;=Dashboard!$F$15,MIN(Dashboard!$F$10,B422+D422),0)</x:f>
      </x:c>
      <x:c r="F422" s="32" t="e">
        <x:f>IF(A422&lt;=Dashboard!$F$15,MAX(0,B422-MAX(0,E422-D422)),0)</x:f>
      </x:c>
      <x:c r="G422" s="32" t="e">
        <x:f>IF(A422=1,D422,G421+D422)</x:f>
      </x:c>
      <x:c r="H422" s="32"/>
      <x:c r="I422" s="32" t="e">
        <x:f>IF(A422=1,Dashboard!$F$14,M421)</x:f>
      </x:c>
      <x:c r="J422" s="32" t="e">
        <x:f>IF(A422&lt;=Dashboard!$F$17,MIN(I422,$B$5),0)</x:f>
      </x:c>
      <x:c r="K422" s="32" t="e">
        <x:f>IF(A422&lt;=Dashboard!$F$17,MAX(0,I422-J422)*Dashboard!$F$6,0)</x:f>
      </x:c>
      <x:c r="L422" s="32" t="e">
        <x:f>IF(A422&lt;=Dashboard!$F$17,MIN(Dashboard!$F$10,MAX(0,I422-J422)+K422),0)</x:f>
      </x:c>
      <x:c r="M422" s="32" t="e">
        <x:f>IF(A422&lt;=Dashboard!$F$17,MAX(0,I422-J422-MAX(0,L422-K422)),0)</x:f>
      </x:c>
      <x:c r="N422" s="32" t="e">
        <x:f>IF(A422=1,K422,N421+K422)</x:f>
      </x:c>
      <x:c r="O422" s="32"/>
      <x:c r="P422" s="32" t="e">
        <x:f>IF(A422=1,Dashboard!$F$14,T421)</x:f>
      </x:c>
      <x:c r="Q422" s="32" t="e">
        <x:f>IF(A422&lt;=Dashboard!$F$17,MIN(P422,$B$6*52/12),0)</x:f>
      </x:c>
      <x:c r="R422" s="32" t="e">
        <x:f>IF(A422&lt;=Dashboard!$F$17,MAX(0,P422-Q422)*Dashboard!$F$6,0)</x:f>
      </x:c>
      <x:c r="S422" s="32" t="e">
        <x:f>IF(A422&lt;=Dashboard!$F$17,MIN(Dashboard!$F$10,MAX(0,P422-Q422)+R422),0)</x:f>
      </x:c>
      <x:c r="T422" s="32" t="e">
        <x:f>IF(A422&lt;=Dashboard!$F$17,MAX(0,P422-Q422-MAX(0,S422-R422)),0)</x:f>
      </x:c>
      <x:c r="U422" s="32" t="e">
        <x:f>IF(A422=1,R422,U421+R422)</x:f>
      </x:c>
      <x:c r="V422" s="32"/>
      <x:c r="W422" s="32" t="e">
        <x:f>IF(A422=1,Dashboard!$F$14,AA421)</x:f>
      </x:c>
      <x:c r="X422" s="32" t="e">
        <x:f>IF(AND(A422&lt;=Dashboard!$F$17,MOD(A422-1,12)=0),MIN(W422,$B$7),0)</x:f>
      </x:c>
      <x:c r="Y422" s="32" t="e">
        <x:f>IF(A422&lt;=Dashboard!$F$17,MAX(0,W422-X422)*Dashboard!$F$6,0)</x:f>
      </x:c>
      <x:c r="Z422" s="32" t="e">
        <x:f>IF(A422&lt;=Dashboard!$F$17,MIN(Dashboard!$F$10,MAX(0,W422-X422)+Y422),0)</x:f>
      </x:c>
      <x:c r="AA422" s="32" t="e">
        <x:f>IF(A422&lt;=Dashboard!$F$17,MAX(0,W422-X422-MAX(0,Z422-Y422)),0)</x:f>
      </x:c>
      <x:c r="AB422" s="32" t="e">
        <x:f>IF(A422=1,Y422,AB421+Y422)</x:f>
      </x:c>
      <x:c r="AC422" s="32"/>
      <x:c r="AD422" s="32" t="e">
        <x:f>IF(A422=1,MAX(0,Dashboard!$F$14-$B$8),AG421)</x:f>
      </x:c>
      <x:c r="AE422" s="32" t="n">
        <x:f>0</x:f>
        <x:v>0</x:v>
      </x:c>
      <x:c r="AF422" s="32" t="e">
        <x:f>IF(A422&lt;=Dashboard!$F$17,AD422*Dashboard!$F$6,0)</x:f>
      </x:c>
      <x:c r="AG422" s="32" t="e">
        <x:f>IF(A422&lt;=Dashboard!$F$17,MIN(Dashboard!$F$10,AD422+AF422),0)</x:f>
      </x:c>
      <x:c r="AH422" s="32" t="e">
        <x:f>IF(A422&lt;=Dashboard!$F$17,MAX(0,AD422-MAX(0,AG422-AF422)),0)</x:f>
      </x:c>
      <x:c r="AI422" s="32" t="e">
        <x:f>IF(A422=1,AF422,AI421+AF422)</x:f>
      </x:c>
      <x:c r="AJ422" s="33"/>
      <x:c r="AK422" s="33"/>
      <x:c r="AL422" s="33"/>
      <x:c r="AM422" s="33"/>
    </x:row>
    <x:row r="423">
      <x:c r="A423" s="33" t="n">
        <x:v>411</x:v>
      </x:c>
      <x:c r="B423" s="32" t="e">
        <x:f>IF(A423=1,Dashboard!$F$14,F422)</x:f>
      </x:c>
      <x:c r="C423" s="32" t="n">
        <x:f>0</x:f>
        <x:v>0</x:v>
      </x:c>
      <x:c r="D423" s="32" t="e">
        <x:f>IF(A423&lt;=Dashboard!$F$15,B423*Dashboard!$F$6,0)</x:f>
      </x:c>
      <x:c r="E423" s="32" t="e">
        <x:f>IF(A423&lt;=Dashboard!$F$15,MIN(Dashboard!$F$10,B423+D423),0)</x:f>
      </x:c>
      <x:c r="F423" s="32" t="e">
        <x:f>IF(A423&lt;=Dashboard!$F$15,MAX(0,B423-MAX(0,E423-D423)),0)</x:f>
      </x:c>
      <x:c r="G423" s="32" t="e">
        <x:f>IF(A423=1,D423,G422+D423)</x:f>
      </x:c>
      <x:c r="H423" s="32"/>
      <x:c r="I423" s="32" t="e">
        <x:f>IF(A423=1,Dashboard!$F$14,M422)</x:f>
      </x:c>
      <x:c r="J423" s="32" t="e">
        <x:f>IF(A423&lt;=Dashboard!$F$17,MIN(I423,$B$5),0)</x:f>
      </x:c>
      <x:c r="K423" s="32" t="e">
        <x:f>IF(A423&lt;=Dashboard!$F$17,MAX(0,I423-J423)*Dashboard!$F$6,0)</x:f>
      </x:c>
      <x:c r="L423" s="32" t="e">
        <x:f>IF(A423&lt;=Dashboard!$F$17,MIN(Dashboard!$F$10,MAX(0,I423-J423)+K423),0)</x:f>
      </x:c>
      <x:c r="M423" s="32" t="e">
        <x:f>IF(A423&lt;=Dashboard!$F$17,MAX(0,I423-J423-MAX(0,L423-K423)),0)</x:f>
      </x:c>
      <x:c r="N423" s="32" t="e">
        <x:f>IF(A423=1,K423,N422+K423)</x:f>
      </x:c>
      <x:c r="O423" s="32"/>
      <x:c r="P423" s="32" t="e">
        <x:f>IF(A423=1,Dashboard!$F$14,T422)</x:f>
      </x:c>
      <x:c r="Q423" s="32" t="e">
        <x:f>IF(A423&lt;=Dashboard!$F$17,MIN(P423,$B$6*52/12),0)</x:f>
      </x:c>
      <x:c r="R423" s="32" t="e">
        <x:f>IF(A423&lt;=Dashboard!$F$17,MAX(0,P423-Q423)*Dashboard!$F$6,0)</x:f>
      </x:c>
      <x:c r="S423" s="32" t="e">
        <x:f>IF(A423&lt;=Dashboard!$F$17,MIN(Dashboard!$F$10,MAX(0,P423-Q423)+R423),0)</x:f>
      </x:c>
      <x:c r="T423" s="32" t="e">
        <x:f>IF(A423&lt;=Dashboard!$F$17,MAX(0,P423-Q423-MAX(0,S423-R423)),0)</x:f>
      </x:c>
      <x:c r="U423" s="32" t="e">
        <x:f>IF(A423=1,R423,U422+R423)</x:f>
      </x:c>
      <x:c r="V423" s="32"/>
      <x:c r="W423" s="32" t="e">
        <x:f>IF(A423=1,Dashboard!$F$14,AA422)</x:f>
      </x:c>
      <x:c r="X423" s="32" t="e">
        <x:f>IF(AND(A423&lt;=Dashboard!$F$17,MOD(A423-1,12)=0),MIN(W423,$B$7),0)</x:f>
      </x:c>
      <x:c r="Y423" s="32" t="e">
        <x:f>IF(A423&lt;=Dashboard!$F$17,MAX(0,W423-X423)*Dashboard!$F$6,0)</x:f>
      </x:c>
      <x:c r="Z423" s="32" t="e">
        <x:f>IF(A423&lt;=Dashboard!$F$17,MIN(Dashboard!$F$10,MAX(0,W423-X423)+Y423),0)</x:f>
      </x:c>
      <x:c r="AA423" s="32" t="e">
        <x:f>IF(A423&lt;=Dashboard!$F$17,MAX(0,W423-X423-MAX(0,Z423-Y423)),0)</x:f>
      </x:c>
      <x:c r="AB423" s="32" t="e">
        <x:f>IF(A423=1,Y423,AB422+Y423)</x:f>
      </x:c>
      <x:c r="AC423" s="32"/>
      <x:c r="AD423" s="32" t="e">
        <x:f>IF(A423=1,MAX(0,Dashboard!$F$14-$B$8),AG422)</x:f>
      </x:c>
      <x:c r="AE423" s="32" t="n">
        <x:f>0</x:f>
        <x:v>0</x:v>
      </x:c>
      <x:c r="AF423" s="32" t="e">
        <x:f>IF(A423&lt;=Dashboard!$F$17,AD423*Dashboard!$F$6,0)</x:f>
      </x:c>
      <x:c r="AG423" s="32" t="e">
        <x:f>IF(A423&lt;=Dashboard!$F$17,MIN(Dashboard!$F$10,AD423+AF423),0)</x:f>
      </x:c>
      <x:c r="AH423" s="32" t="e">
        <x:f>IF(A423&lt;=Dashboard!$F$17,MAX(0,AD423-MAX(0,AG423-AF423)),0)</x:f>
      </x:c>
      <x:c r="AI423" s="32" t="e">
        <x:f>IF(A423=1,AF423,AI422+AF423)</x:f>
      </x:c>
      <x:c r="AJ423" s="33"/>
      <x:c r="AK423" s="33"/>
      <x:c r="AL423" s="33"/>
      <x:c r="AM423" s="33"/>
    </x:row>
    <x:row r="424">
      <x:c r="A424" s="33" t="n">
        <x:v>412</x:v>
      </x:c>
      <x:c r="B424" s="32" t="e">
        <x:f>IF(A424=1,Dashboard!$F$14,F423)</x:f>
      </x:c>
      <x:c r="C424" s="32" t="n">
        <x:f>0</x:f>
        <x:v>0</x:v>
      </x:c>
      <x:c r="D424" s="32" t="e">
        <x:f>IF(A424&lt;=Dashboard!$F$15,B424*Dashboard!$F$6,0)</x:f>
      </x:c>
      <x:c r="E424" s="32" t="e">
        <x:f>IF(A424&lt;=Dashboard!$F$15,MIN(Dashboard!$F$10,B424+D424),0)</x:f>
      </x:c>
      <x:c r="F424" s="32" t="e">
        <x:f>IF(A424&lt;=Dashboard!$F$15,MAX(0,B424-MAX(0,E424-D424)),0)</x:f>
      </x:c>
      <x:c r="G424" s="32" t="e">
        <x:f>IF(A424=1,D424,G423+D424)</x:f>
      </x:c>
      <x:c r="H424" s="32"/>
      <x:c r="I424" s="32" t="e">
        <x:f>IF(A424=1,Dashboard!$F$14,M423)</x:f>
      </x:c>
      <x:c r="J424" s="32" t="e">
        <x:f>IF(A424&lt;=Dashboard!$F$17,MIN(I424,$B$5),0)</x:f>
      </x:c>
      <x:c r="K424" s="32" t="e">
        <x:f>IF(A424&lt;=Dashboard!$F$17,MAX(0,I424-J424)*Dashboard!$F$6,0)</x:f>
      </x:c>
      <x:c r="L424" s="32" t="e">
        <x:f>IF(A424&lt;=Dashboard!$F$17,MIN(Dashboard!$F$10,MAX(0,I424-J424)+K424),0)</x:f>
      </x:c>
      <x:c r="M424" s="32" t="e">
        <x:f>IF(A424&lt;=Dashboard!$F$17,MAX(0,I424-J424-MAX(0,L424-K424)),0)</x:f>
      </x:c>
      <x:c r="N424" s="32" t="e">
        <x:f>IF(A424=1,K424,N423+K424)</x:f>
      </x:c>
      <x:c r="O424" s="32"/>
      <x:c r="P424" s="32" t="e">
        <x:f>IF(A424=1,Dashboard!$F$14,T423)</x:f>
      </x:c>
      <x:c r="Q424" s="32" t="e">
        <x:f>IF(A424&lt;=Dashboard!$F$17,MIN(P424,$B$6*52/12),0)</x:f>
      </x:c>
      <x:c r="R424" s="32" t="e">
        <x:f>IF(A424&lt;=Dashboard!$F$17,MAX(0,P424-Q424)*Dashboard!$F$6,0)</x:f>
      </x:c>
      <x:c r="S424" s="32" t="e">
        <x:f>IF(A424&lt;=Dashboard!$F$17,MIN(Dashboard!$F$10,MAX(0,P424-Q424)+R424),0)</x:f>
      </x:c>
      <x:c r="T424" s="32" t="e">
        <x:f>IF(A424&lt;=Dashboard!$F$17,MAX(0,P424-Q424-MAX(0,S424-R424)),0)</x:f>
      </x:c>
      <x:c r="U424" s="32" t="e">
        <x:f>IF(A424=1,R424,U423+R424)</x:f>
      </x:c>
      <x:c r="V424" s="32"/>
      <x:c r="W424" s="32" t="e">
        <x:f>IF(A424=1,Dashboard!$F$14,AA423)</x:f>
      </x:c>
      <x:c r="X424" s="32" t="e">
        <x:f>IF(AND(A424&lt;=Dashboard!$F$17,MOD(A424-1,12)=0),MIN(W424,$B$7),0)</x:f>
      </x:c>
      <x:c r="Y424" s="32" t="e">
        <x:f>IF(A424&lt;=Dashboard!$F$17,MAX(0,W424-X424)*Dashboard!$F$6,0)</x:f>
      </x:c>
      <x:c r="Z424" s="32" t="e">
        <x:f>IF(A424&lt;=Dashboard!$F$17,MIN(Dashboard!$F$10,MAX(0,W424-X424)+Y424),0)</x:f>
      </x:c>
      <x:c r="AA424" s="32" t="e">
        <x:f>IF(A424&lt;=Dashboard!$F$17,MAX(0,W424-X424-MAX(0,Z424-Y424)),0)</x:f>
      </x:c>
      <x:c r="AB424" s="32" t="e">
        <x:f>IF(A424=1,Y424,AB423+Y424)</x:f>
      </x:c>
      <x:c r="AC424" s="32"/>
      <x:c r="AD424" s="32" t="e">
        <x:f>IF(A424=1,MAX(0,Dashboard!$F$14-$B$8),AG423)</x:f>
      </x:c>
      <x:c r="AE424" s="32" t="n">
        <x:f>0</x:f>
        <x:v>0</x:v>
      </x:c>
      <x:c r="AF424" s="32" t="e">
        <x:f>IF(A424&lt;=Dashboard!$F$17,AD424*Dashboard!$F$6,0)</x:f>
      </x:c>
      <x:c r="AG424" s="32" t="e">
        <x:f>IF(A424&lt;=Dashboard!$F$17,MIN(Dashboard!$F$10,AD424+AF424),0)</x:f>
      </x:c>
      <x:c r="AH424" s="32" t="e">
        <x:f>IF(A424&lt;=Dashboard!$F$17,MAX(0,AD424-MAX(0,AG424-AF424)),0)</x:f>
      </x:c>
      <x:c r="AI424" s="32" t="e">
        <x:f>IF(A424=1,AF424,AI423+AF424)</x:f>
      </x:c>
      <x:c r="AJ424" s="33"/>
      <x:c r="AK424" s="33"/>
      <x:c r="AL424" s="33"/>
      <x:c r="AM424" s="33"/>
    </x:row>
    <x:row r="425">
      <x:c r="A425" s="33" t="n">
        <x:v>413</x:v>
      </x:c>
      <x:c r="B425" s="32" t="e">
        <x:f>IF(A425=1,Dashboard!$F$14,F424)</x:f>
      </x:c>
      <x:c r="C425" s="32" t="n">
        <x:f>0</x:f>
        <x:v>0</x:v>
      </x:c>
      <x:c r="D425" s="32" t="e">
        <x:f>IF(A425&lt;=Dashboard!$F$15,B425*Dashboard!$F$6,0)</x:f>
      </x:c>
      <x:c r="E425" s="32" t="e">
        <x:f>IF(A425&lt;=Dashboard!$F$15,MIN(Dashboard!$F$10,B425+D425),0)</x:f>
      </x:c>
      <x:c r="F425" s="32" t="e">
        <x:f>IF(A425&lt;=Dashboard!$F$15,MAX(0,B425-MAX(0,E425-D425)),0)</x:f>
      </x:c>
      <x:c r="G425" s="32" t="e">
        <x:f>IF(A425=1,D425,G424+D425)</x:f>
      </x:c>
      <x:c r="H425" s="32"/>
      <x:c r="I425" s="32" t="e">
        <x:f>IF(A425=1,Dashboard!$F$14,M424)</x:f>
      </x:c>
      <x:c r="J425" s="32" t="e">
        <x:f>IF(A425&lt;=Dashboard!$F$17,MIN(I425,$B$5),0)</x:f>
      </x:c>
      <x:c r="K425" s="32" t="e">
        <x:f>IF(A425&lt;=Dashboard!$F$17,MAX(0,I425-J425)*Dashboard!$F$6,0)</x:f>
      </x:c>
      <x:c r="L425" s="32" t="e">
        <x:f>IF(A425&lt;=Dashboard!$F$17,MIN(Dashboard!$F$10,MAX(0,I425-J425)+K425),0)</x:f>
      </x:c>
      <x:c r="M425" s="32" t="e">
        <x:f>IF(A425&lt;=Dashboard!$F$17,MAX(0,I425-J425-MAX(0,L425-K425)),0)</x:f>
      </x:c>
      <x:c r="N425" s="32" t="e">
        <x:f>IF(A425=1,K425,N424+K425)</x:f>
      </x:c>
      <x:c r="O425" s="32"/>
      <x:c r="P425" s="32" t="e">
        <x:f>IF(A425=1,Dashboard!$F$14,T424)</x:f>
      </x:c>
      <x:c r="Q425" s="32" t="e">
        <x:f>IF(A425&lt;=Dashboard!$F$17,MIN(P425,$B$6*52/12),0)</x:f>
      </x:c>
      <x:c r="R425" s="32" t="e">
        <x:f>IF(A425&lt;=Dashboard!$F$17,MAX(0,P425-Q425)*Dashboard!$F$6,0)</x:f>
      </x:c>
      <x:c r="S425" s="32" t="e">
        <x:f>IF(A425&lt;=Dashboard!$F$17,MIN(Dashboard!$F$10,MAX(0,P425-Q425)+R425),0)</x:f>
      </x:c>
      <x:c r="T425" s="32" t="e">
        <x:f>IF(A425&lt;=Dashboard!$F$17,MAX(0,P425-Q425-MAX(0,S425-R425)),0)</x:f>
      </x:c>
      <x:c r="U425" s="32" t="e">
        <x:f>IF(A425=1,R425,U424+R425)</x:f>
      </x:c>
      <x:c r="V425" s="32"/>
      <x:c r="W425" s="32" t="e">
        <x:f>IF(A425=1,Dashboard!$F$14,AA424)</x:f>
      </x:c>
      <x:c r="X425" s="32" t="e">
        <x:f>IF(AND(A425&lt;=Dashboard!$F$17,MOD(A425-1,12)=0),MIN(W425,$B$7),0)</x:f>
      </x:c>
      <x:c r="Y425" s="32" t="e">
        <x:f>IF(A425&lt;=Dashboard!$F$17,MAX(0,W425-X425)*Dashboard!$F$6,0)</x:f>
      </x:c>
      <x:c r="Z425" s="32" t="e">
        <x:f>IF(A425&lt;=Dashboard!$F$17,MIN(Dashboard!$F$10,MAX(0,W425-X425)+Y425),0)</x:f>
      </x:c>
      <x:c r="AA425" s="32" t="e">
        <x:f>IF(A425&lt;=Dashboard!$F$17,MAX(0,W425-X425-MAX(0,Z425-Y425)),0)</x:f>
      </x:c>
      <x:c r="AB425" s="32" t="e">
        <x:f>IF(A425=1,Y425,AB424+Y425)</x:f>
      </x:c>
      <x:c r="AC425" s="32"/>
      <x:c r="AD425" s="32" t="e">
        <x:f>IF(A425=1,MAX(0,Dashboard!$F$14-$B$8),AG424)</x:f>
      </x:c>
      <x:c r="AE425" s="32" t="n">
        <x:f>0</x:f>
        <x:v>0</x:v>
      </x:c>
      <x:c r="AF425" s="32" t="e">
        <x:f>IF(A425&lt;=Dashboard!$F$17,AD425*Dashboard!$F$6,0)</x:f>
      </x:c>
      <x:c r="AG425" s="32" t="e">
        <x:f>IF(A425&lt;=Dashboard!$F$17,MIN(Dashboard!$F$10,AD425+AF425),0)</x:f>
      </x:c>
      <x:c r="AH425" s="32" t="e">
        <x:f>IF(A425&lt;=Dashboard!$F$17,MAX(0,AD425-MAX(0,AG425-AF425)),0)</x:f>
      </x:c>
      <x:c r="AI425" s="32" t="e">
        <x:f>IF(A425=1,AF425,AI424+AF425)</x:f>
      </x:c>
      <x:c r="AJ425" s="33"/>
      <x:c r="AK425" s="33"/>
      <x:c r="AL425" s="33"/>
      <x:c r="AM425" s="33"/>
    </x:row>
    <x:row r="426">
      <x:c r="A426" s="33" t="n">
        <x:v>414</x:v>
      </x:c>
      <x:c r="B426" s="32" t="e">
        <x:f>IF(A426=1,Dashboard!$F$14,F425)</x:f>
      </x:c>
      <x:c r="C426" s="32" t="n">
        <x:f>0</x:f>
        <x:v>0</x:v>
      </x:c>
      <x:c r="D426" s="32" t="e">
        <x:f>IF(A426&lt;=Dashboard!$F$15,B426*Dashboard!$F$6,0)</x:f>
      </x:c>
      <x:c r="E426" s="32" t="e">
        <x:f>IF(A426&lt;=Dashboard!$F$15,MIN(Dashboard!$F$10,B426+D426),0)</x:f>
      </x:c>
      <x:c r="F426" s="32" t="e">
        <x:f>IF(A426&lt;=Dashboard!$F$15,MAX(0,B426-MAX(0,E426-D426)),0)</x:f>
      </x:c>
      <x:c r="G426" s="32" t="e">
        <x:f>IF(A426=1,D426,G425+D426)</x:f>
      </x:c>
      <x:c r="H426" s="32"/>
      <x:c r="I426" s="32" t="e">
        <x:f>IF(A426=1,Dashboard!$F$14,M425)</x:f>
      </x:c>
      <x:c r="J426" s="32" t="e">
        <x:f>IF(A426&lt;=Dashboard!$F$17,MIN(I426,$B$5),0)</x:f>
      </x:c>
      <x:c r="K426" s="32" t="e">
        <x:f>IF(A426&lt;=Dashboard!$F$17,MAX(0,I426-J426)*Dashboard!$F$6,0)</x:f>
      </x:c>
      <x:c r="L426" s="32" t="e">
        <x:f>IF(A426&lt;=Dashboard!$F$17,MIN(Dashboard!$F$10,MAX(0,I426-J426)+K426),0)</x:f>
      </x:c>
      <x:c r="M426" s="32" t="e">
        <x:f>IF(A426&lt;=Dashboard!$F$17,MAX(0,I426-J426-MAX(0,L426-K426)),0)</x:f>
      </x:c>
      <x:c r="N426" s="32" t="e">
        <x:f>IF(A426=1,K426,N425+K426)</x:f>
      </x:c>
      <x:c r="O426" s="32"/>
      <x:c r="P426" s="32" t="e">
        <x:f>IF(A426=1,Dashboard!$F$14,T425)</x:f>
      </x:c>
      <x:c r="Q426" s="32" t="e">
        <x:f>IF(A426&lt;=Dashboard!$F$17,MIN(P426,$B$6*52/12),0)</x:f>
      </x:c>
      <x:c r="R426" s="32" t="e">
        <x:f>IF(A426&lt;=Dashboard!$F$17,MAX(0,P426-Q426)*Dashboard!$F$6,0)</x:f>
      </x:c>
      <x:c r="S426" s="32" t="e">
        <x:f>IF(A426&lt;=Dashboard!$F$17,MIN(Dashboard!$F$10,MAX(0,P426-Q426)+R426),0)</x:f>
      </x:c>
      <x:c r="T426" s="32" t="e">
        <x:f>IF(A426&lt;=Dashboard!$F$17,MAX(0,P426-Q426-MAX(0,S426-R426)),0)</x:f>
      </x:c>
      <x:c r="U426" s="32" t="e">
        <x:f>IF(A426=1,R426,U425+R426)</x:f>
      </x:c>
      <x:c r="V426" s="32"/>
      <x:c r="W426" s="32" t="e">
        <x:f>IF(A426=1,Dashboard!$F$14,AA425)</x:f>
      </x:c>
      <x:c r="X426" s="32" t="e">
        <x:f>IF(AND(A426&lt;=Dashboard!$F$17,MOD(A426-1,12)=0),MIN(W426,$B$7),0)</x:f>
      </x:c>
      <x:c r="Y426" s="32" t="e">
        <x:f>IF(A426&lt;=Dashboard!$F$17,MAX(0,W426-X426)*Dashboard!$F$6,0)</x:f>
      </x:c>
      <x:c r="Z426" s="32" t="e">
        <x:f>IF(A426&lt;=Dashboard!$F$17,MIN(Dashboard!$F$10,MAX(0,W426-X426)+Y426),0)</x:f>
      </x:c>
      <x:c r="AA426" s="32" t="e">
        <x:f>IF(A426&lt;=Dashboard!$F$17,MAX(0,W426-X426-MAX(0,Z426-Y426)),0)</x:f>
      </x:c>
      <x:c r="AB426" s="32" t="e">
        <x:f>IF(A426=1,Y426,AB425+Y426)</x:f>
      </x:c>
      <x:c r="AC426" s="32"/>
      <x:c r="AD426" s="32" t="e">
        <x:f>IF(A426=1,MAX(0,Dashboard!$F$14-$B$8),AG425)</x:f>
      </x:c>
      <x:c r="AE426" s="32" t="n">
        <x:f>0</x:f>
        <x:v>0</x:v>
      </x:c>
      <x:c r="AF426" s="32" t="e">
        <x:f>IF(A426&lt;=Dashboard!$F$17,AD426*Dashboard!$F$6,0)</x:f>
      </x:c>
      <x:c r="AG426" s="32" t="e">
        <x:f>IF(A426&lt;=Dashboard!$F$17,MIN(Dashboard!$F$10,AD426+AF426),0)</x:f>
      </x:c>
      <x:c r="AH426" s="32" t="e">
        <x:f>IF(A426&lt;=Dashboard!$F$17,MAX(0,AD426-MAX(0,AG426-AF426)),0)</x:f>
      </x:c>
      <x:c r="AI426" s="32" t="e">
        <x:f>IF(A426=1,AF426,AI425+AF426)</x:f>
      </x:c>
      <x:c r="AJ426" s="33"/>
      <x:c r="AK426" s="33"/>
      <x:c r="AL426" s="33"/>
      <x:c r="AM426" s="33"/>
    </x:row>
    <x:row r="427">
      <x:c r="A427" s="33" t="n">
        <x:v>415</x:v>
      </x:c>
      <x:c r="B427" s="32" t="e">
        <x:f>IF(A427=1,Dashboard!$F$14,F426)</x:f>
      </x:c>
      <x:c r="C427" s="32" t="n">
        <x:f>0</x:f>
        <x:v>0</x:v>
      </x:c>
      <x:c r="D427" s="32" t="e">
        <x:f>IF(A427&lt;=Dashboard!$F$15,B427*Dashboard!$F$6,0)</x:f>
      </x:c>
      <x:c r="E427" s="32" t="e">
        <x:f>IF(A427&lt;=Dashboard!$F$15,MIN(Dashboard!$F$10,B427+D427),0)</x:f>
      </x:c>
      <x:c r="F427" s="32" t="e">
        <x:f>IF(A427&lt;=Dashboard!$F$15,MAX(0,B427-MAX(0,E427-D427)),0)</x:f>
      </x:c>
      <x:c r="G427" s="32" t="e">
        <x:f>IF(A427=1,D427,G426+D427)</x:f>
      </x:c>
      <x:c r="H427" s="32"/>
      <x:c r="I427" s="32" t="e">
        <x:f>IF(A427=1,Dashboard!$F$14,M426)</x:f>
      </x:c>
      <x:c r="J427" s="32" t="e">
        <x:f>IF(A427&lt;=Dashboard!$F$17,MIN(I427,$B$5),0)</x:f>
      </x:c>
      <x:c r="K427" s="32" t="e">
        <x:f>IF(A427&lt;=Dashboard!$F$17,MAX(0,I427-J427)*Dashboard!$F$6,0)</x:f>
      </x:c>
      <x:c r="L427" s="32" t="e">
        <x:f>IF(A427&lt;=Dashboard!$F$17,MIN(Dashboard!$F$10,MAX(0,I427-J427)+K427),0)</x:f>
      </x:c>
      <x:c r="M427" s="32" t="e">
        <x:f>IF(A427&lt;=Dashboard!$F$17,MAX(0,I427-J427-MAX(0,L427-K427)),0)</x:f>
      </x:c>
      <x:c r="N427" s="32" t="e">
        <x:f>IF(A427=1,K427,N426+K427)</x:f>
      </x:c>
      <x:c r="O427" s="32"/>
      <x:c r="P427" s="32" t="e">
        <x:f>IF(A427=1,Dashboard!$F$14,T426)</x:f>
      </x:c>
      <x:c r="Q427" s="32" t="e">
        <x:f>IF(A427&lt;=Dashboard!$F$17,MIN(P427,$B$6*52/12),0)</x:f>
      </x:c>
      <x:c r="R427" s="32" t="e">
        <x:f>IF(A427&lt;=Dashboard!$F$17,MAX(0,P427-Q427)*Dashboard!$F$6,0)</x:f>
      </x:c>
      <x:c r="S427" s="32" t="e">
        <x:f>IF(A427&lt;=Dashboard!$F$17,MIN(Dashboard!$F$10,MAX(0,P427-Q427)+R427),0)</x:f>
      </x:c>
      <x:c r="T427" s="32" t="e">
        <x:f>IF(A427&lt;=Dashboard!$F$17,MAX(0,P427-Q427-MAX(0,S427-R427)),0)</x:f>
      </x:c>
      <x:c r="U427" s="32" t="e">
        <x:f>IF(A427=1,R427,U426+R427)</x:f>
      </x:c>
      <x:c r="V427" s="32"/>
      <x:c r="W427" s="32" t="e">
        <x:f>IF(A427=1,Dashboard!$F$14,AA426)</x:f>
      </x:c>
      <x:c r="X427" s="32" t="e">
        <x:f>IF(AND(A427&lt;=Dashboard!$F$17,MOD(A427-1,12)=0),MIN(W427,$B$7),0)</x:f>
      </x:c>
      <x:c r="Y427" s="32" t="e">
        <x:f>IF(A427&lt;=Dashboard!$F$17,MAX(0,W427-X427)*Dashboard!$F$6,0)</x:f>
      </x:c>
      <x:c r="Z427" s="32" t="e">
        <x:f>IF(A427&lt;=Dashboard!$F$17,MIN(Dashboard!$F$10,MAX(0,W427-X427)+Y427),0)</x:f>
      </x:c>
      <x:c r="AA427" s="32" t="e">
        <x:f>IF(A427&lt;=Dashboard!$F$17,MAX(0,W427-X427-MAX(0,Z427-Y427)),0)</x:f>
      </x:c>
      <x:c r="AB427" s="32" t="e">
        <x:f>IF(A427=1,Y427,AB426+Y427)</x:f>
      </x:c>
      <x:c r="AC427" s="32"/>
      <x:c r="AD427" s="32" t="e">
        <x:f>IF(A427=1,MAX(0,Dashboard!$F$14-$B$8),AG426)</x:f>
      </x:c>
      <x:c r="AE427" s="32" t="n">
        <x:f>0</x:f>
        <x:v>0</x:v>
      </x:c>
      <x:c r="AF427" s="32" t="e">
        <x:f>IF(A427&lt;=Dashboard!$F$17,AD427*Dashboard!$F$6,0)</x:f>
      </x:c>
      <x:c r="AG427" s="32" t="e">
        <x:f>IF(A427&lt;=Dashboard!$F$17,MIN(Dashboard!$F$10,AD427+AF427),0)</x:f>
      </x:c>
      <x:c r="AH427" s="32" t="e">
        <x:f>IF(A427&lt;=Dashboard!$F$17,MAX(0,AD427-MAX(0,AG427-AF427)),0)</x:f>
      </x:c>
      <x:c r="AI427" s="32" t="e">
        <x:f>IF(A427=1,AF427,AI426+AF427)</x:f>
      </x:c>
      <x:c r="AJ427" s="33"/>
      <x:c r="AK427" s="33"/>
      <x:c r="AL427" s="33"/>
      <x:c r="AM427" s="33"/>
    </x:row>
    <x:row r="428">
      <x:c r="A428" s="33" t="n">
        <x:v>416</x:v>
      </x:c>
      <x:c r="B428" s="32" t="e">
        <x:f>IF(A428=1,Dashboard!$F$14,F427)</x:f>
      </x:c>
      <x:c r="C428" s="32" t="n">
        <x:f>0</x:f>
        <x:v>0</x:v>
      </x:c>
      <x:c r="D428" s="32" t="e">
        <x:f>IF(A428&lt;=Dashboard!$F$15,B428*Dashboard!$F$6,0)</x:f>
      </x:c>
      <x:c r="E428" s="32" t="e">
        <x:f>IF(A428&lt;=Dashboard!$F$15,MIN(Dashboard!$F$10,B428+D428),0)</x:f>
      </x:c>
      <x:c r="F428" s="32" t="e">
        <x:f>IF(A428&lt;=Dashboard!$F$15,MAX(0,B428-MAX(0,E428-D428)),0)</x:f>
      </x:c>
      <x:c r="G428" s="32" t="e">
        <x:f>IF(A428=1,D428,G427+D428)</x:f>
      </x:c>
      <x:c r="H428" s="32"/>
      <x:c r="I428" s="32" t="e">
        <x:f>IF(A428=1,Dashboard!$F$14,M427)</x:f>
      </x:c>
      <x:c r="J428" s="32" t="e">
        <x:f>IF(A428&lt;=Dashboard!$F$17,MIN(I428,$B$5),0)</x:f>
      </x:c>
      <x:c r="K428" s="32" t="e">
        <x:f>IF(A428&lt;=Dashboard!$F$17,MAX(0,I428-J428)*Dashboard!$F$6,0)</x:f>
      </x:c>
      <x:c r="L428" s="32" t="e">
        <x:f>IF(A428&lt;=Dashboard!$F$17,MIN(Dashboard!$F$10,MAX(0,I428-J428)+K428),0)</x:f>
      </x:c>
      <x:c r="M428" s="32" t="e">
        <x:f>IF(A428&lt;=Dashboard!$F$17,MAX(0,I428-J428-MAX(0,L428-K428)),0)</x:f>
      </x:c>
      <x:c r="N428" s="32" t="e">
        <x:f>IF(A428=1,K428,N427+K428)</x:f>
      </x:c>
      <x:c r="O428" s="32"/>
      <x:c r="P428" s="32" t="e">
        <x:f>IF(A428=1,Dashboard!$F$14,T427)</x:f>
      </x:c>
      <x:c r="Q428" s="32" t="e">
        <x:f>IF(A428&lt;=Dashboard!$F$17,MIN(P428,$B$6*52/12),0)</x:f>
      </x:c>
      <x:c r="R428" s="32" t="e">
        <x:f>IF(A428&lt;=Dashboard!$F$17,MAX(0,P428-Q428)*Dashboard!$F$6,0)</x:f>
      </x:c>
      <x:c r="S428" s="32" t="e">
        <x:f>IF(A428&lt;=Dashboard!$F$17,MIN(Dashboard!$F$10,MAX(0,P428-Q428)+R428),0)</x:f>
      </x:c>
      <x:c r="T428" s="32" t="e">
        <x:f>IF(A428&lt;=Dashboard!$F$17,MAX(0,P428-Q428-MAX(0,S428-R428)),0)</x:f>
      </x:c>
      <x:c r="U428" s="32" t="e">
        <x:f>IF(A428=1,R428,U427+R428)</x:f>
      </x:c>
      <x:c r="V428" s="32"/>
      <x:c r="W428" s="32" t="e">
        <x:f>IF(A428=1,Dashboard!$F$14,AA427)</x:f>
      </x:c>
      <x:c r="X428" s="32" t="e">
        <x:f>IF(AND(A428&lt;=Dashboard!$F$17,MOD(A428-1,12)=0),MIN(W428,$B$7),0)</x:f>
      </x:c>
      <x:c r="Y428" s="32" t="e">
        <x:f>IF(A428&lt;=Dashboard!$F$17,MAX(0,W428-X428)*Dashboard!$F$6,0)</x:f>
      </x:c>
      <x:c r="Z428" s="32" t="e">
        <x:f>IF(A428&lt;=Dashboard!$F$17,MIN(Dashboard!$F$10,MAX(0,W428-X428)+Y428),0)</x:f>
      </x:c>
      <x:c r="AA428" s="32" t="e">
        <x:f>IF(A428&lt;=Dashboard!$F$17,MAX(0,W428-X428-MAX(0,Z428-Y428)),0)</x:f>
      </x:c>
      <x:c r="AB428" s="32" t="e">
        <x:f>IF(A428=1,Y428,AB427+Y428)</x:f>
      </x:c>
      <x:c r="AC428" s="32"/>
      <x:c r="AD428" s="32" t="e">
        <x:f>IF(A428=1,MAX(0,Dashboard!$F$14-$B$8),AG427)</x:f>
      </x:c>
      <x:c r="AE428" s="32" t="n">
        <x:f>0</x:f>
        <x:v>0</x:v>
      </x:c>
      <x:c r="AF428" s="32" t="e">
        <x:f>IF(A428&lt;=Dashboard!$F$17,AD428*Dashboard!$F$6,0)</x:f>
      </x:c>
      <x:c r="AG428" s="32" t="e">
        <x:f>IF(A428&lt;=Dashboard!$F$17,MIN(Dashboard!$F$10,AD428+AF428),0)</x:f>
      </x:c>
      <x:c r="AH428" s="32" t="e">
        <x:f>IF(A428&lt;=Dashboard!$F$17,MAX(0,AD428-MAX(0,AG428-AF428)),0)</x:f>
      </x:c>
      <x:c r="AI428" s="32" t="e">
        <x:f>IF(A428=1,AF428,AI427+AF428)</x:f>
      </x:c>
      <x:c r="AJ428" s="33"/>
      <x:c r="AK428" s="33"/>
      <x:c r="AL428" s="33"/>
      <x:c r="AM428" s="33"/>
    </x:row>
    <x:row r="429">
      <x:c r="A429" s="33" t="n">
        <x:v>417</x:v>
      </x:c>
      <x:c r="B429" s="32" t="e">
        <x:f>IF(A429=1,Dashboard!$F$14,F428)</x:f>
      </x:c>
      <x:c r="C429" s="32" t="n">
        <x:f>0</x:f>
        <x:v>0</x:v>
      </x:c>
      <x:c r="D429" s="32" t="e">
        <x:f>IF(A429&lt;=Dashboard!$F$15,B429*Dashboard!$F$6,0)</x:f>
      </x:c>
      <x:c r="E429" s="32" t="e">
        <x:f>IF(A429&lt;=Dashboard!$F$15,MIN(Dashboard!$F$10,B429+D429),0)</x:f>
      </x:c>
      <x:c r="F429" s="32" t="e">
        <x:f>IF(A429&lt;=Dashboard!$F$15,MAX(0,B429-MAX(0,E429-D429)),0)</x:f>
      </x:c>
      <x:c r="G429" s="32" t="e">
        <x:f>IF(A429=1,D429,G428+D429)</x:f>
      </x:c>
      <x:c r="H429" s="32"/>
      <x:c r="I429" s="32" t="e">
        <x:f>IF(A429=1,Dashboard!$F$14,M428)</x:f>
      </x:c>
      <x:c r="J429" s="32" t="e">
        <x:f>IF(A429&lt;=Dashboard!$F$17,MIN(I429,$B$5),0)</x:f>
      </x:c>
      <x:c r="K429" s="32" t="e">
        <x:f>IF(A429&lt;=Dashboard!$F$17,MAX(0,I429-J429)*Dashboard!$F$6,0)</x:f>
      </x:c>
      <x:c r="L429" s="32" t="e">
        <x:f>IF(A429&lt;=Dashboard!$F$17,MIN(Dashboard!$F$10,MAX(0,I429-J429)+K429),0)</x:f>
      </x:c>
      <x:c r="M429" s="32" t="e">
        <x:f>IF(A429&lt;=Dashboard!$F$17,MAX(0,I429-J429-MAX(0,L429-K429)),0)</x:f>
      </x:c>
      <x:c r="N429" s="32" t="e">
        <x:f>IF(A429=1,K429,N428+K429)</x:f>
      </x:c>
      <x:c r="O429" s="32"/>
      <x:c r="P429" s="32" t="e">
        <x:f>IF(A429=1,Dashboard!$F$14,T428)</x:f>
      </x:c>
      <x:c r="Q429" s="32" t="e">
        <x:f>IF(A429&lt;=Dashboard!$F$17,MIN(P429,$B$6*52/12),0)</x:f>
      </x:c>
      <x:c r="R429" s="32" t="e">
        <x:f>IF(A429&lt;=Dashboard!$F$17,MAX(0,P429-Q429)*Dashboard!$F$6,0)</x:f>
      </x:c>
      <x:c r="S429" s="32" t="e">
        <x:f>IF(A429&lt;=Dashboard!$F$17,MIN(Dashboard!$F$10,MAX(0,P429-Q429)+R429),0)</x:f>
      </x:c>
      <x:c r="T429" s="32" t="e">
        <x:f>IF(A429&lt;=Dashboard!$F$17,MAX(0,P429-Q429-MAX(0,S429-R429)),0)</x:f>
      </x:c>
      <x:c r="U429" s="32" t="e">
        <x:f>IF(A429=1,R429,U428+R429)</x:f>
      </x:c>
      <x:c r="V429" s="32"/>
      <x:c r="W429" s="32" t="e">
        <x:f>IF(A429=1,Dashboard!$F$14,AA428)</x:f>
      </x:c>
      <x:c r="X429" s="32" t="e">
        <x:f>IF(AND(A429&lt;=Dashboard!$F$17,MOD(A429-1,12)=0),MIN(W429,$B$7),0)</x:f>
      </x:c>
      <x:c r="Y429" s="32" t="e">
        <x:f>IF(A429&lt;=Dashboard!$F$17,MAX(0,W429-X429)*Dashboard!$F$6,0)</x:f>
      </x:c>
      <x:c r="Z429" s="32" t="e">
        <x:f>IF(A429&lt;=Dashboard!$F$17,MIN(Dashboard!$F$10,MAX(0,W429-X429)+Y429),0)</x:f>
      </x:c>
      <x:c r="AA429" s="32" t="e">
        <x:f>IF(A429&lt;=Dashboard!$F$17,MAX(0,W429-X429-MAX(0,Z429-Y429)),0)</x:f>
      </x:c>
      <x:c r="AB429" s="32" t="e">
        <x:f>IF(A429=1,Y429,AB428+Y429)</x:f>
      </x:c>
      <x:c r="AC429" s="32"/>
      <x:c r="AD429" s="32" t="e">
        <x:f>IF(A429=1,MAX(0,Dashboard!$F$14-$B$8),AG428)</x:f>
      </x:c>
      <x:c r="AE429" s="32" t="n">
        <x:f>0</x:f>
        <x:v>0</x:v>
      </x:c>
      <x:c r="AF429" s="32" t="e">
        <x:f>IF(A429&lt;=Dashboard!$F$17,AD429*Dashboard!$F$6,0)</x:f>
      </x:c>
      <x:c r="AG429" s="32" t="e">
        <x:f>IF(A429&lt;=Dashboard!$F$17,MIN(Dashboard!$F$10,AD429+AF429),0)</x:f>
      </x:c>
      <x:c r="AH429" s="32" t="e">
        <x:f>IF(A429&lt;=Dashboard!$F$17,MAX(0,AD429-MAX(0,AG429-AF429)),0)</x:f>
      </x:c>
      <x:c r="AI429" s="32" t="e">
        <x:f>IF(A429=1,AF429,AI428+AF429)</x:f>
      </x:c>
      <x:c r="AJ429" s="33"/>
      <x:c r="AK429" s="33"/>
      <x:c r="AL429" s="33"/>
      <x:c r="AM429" s="33"/>
    </x:row>
    <x:row r="430">
      <x:c r="A430" s="33" t="n">
        <x:v>418</x:v>
      </x:c>
      <x:c r="B430" s="32" t="e">
        <x:f>IF(A430=1,Dashboard!$F$14,F429)</x:f>
      </x:c>
      <x:c r="C430" s="32" t="n">
        <x:f>0</x:f>
        <x:v>0</x:v>
      </x:c>
      <x:c r="D430" s="32" t="e">
        <x:f>IF(A430&lt;=Dashboard!$F$15,B430*Dashboard!$F$6,0)</x:f>
      </x:c>
      <x:c r="E430" s="32" t="e">
        <x:f>IF(A430&lt;=Dashboard!$F$15,MIN(Dashboard!$F$10,B430+D430),0)</x:f>
      </x:c>
      <x:c r="F430" s="32" t="e">
        <x:f>IF(A430&lt;=Dashboard!$F$15,MAX(0,B430-MAX(0,E430-D430)),0)</x:f>
      </x:c>
      <x:c r="G430" s="32" t="e">
        <x:f>IF(A430=1,D430,G429+D430)</x:f>
      </x:c>
      <x:c r="H430" s="32"/>
      <x:c r="I430" s="32" t="e">
        <x:f>IF(A430=1,Dashboard!$F$14,M429)</x:f>
      </x:c>
      <x:c r="J430" s="32" t="e">
        <x:f>IF(A430&lt;=Dashboard!$F$17,MIN(I430,$B$5),0)</x:f>
      </x:c>
      <x:c r="K430" s="32" t="e">
        <x:f>IF(A430&lt;=Dashboard!$F$17,MAX(0,I430-J430)*Dashboard!$F$6,0)</x:f>
      </x:c>
      <x:c r="L430" s="32" t="e">
        <x:f>IF(A430&lt;=Dashboard!$F$17,MIN(Dashboard!$F$10,MAX(0,I430-J430)+K430),0)</x:f>
      </x:c>
      <x:c r="M430" s="32" t="e">
        <x:f>IF(A430&lt;=Dashboard!$F$17,MAX(0,I430-J430-MAX(0,L430-K430)),0)</x:f>
      </x:c>
      <x:c r="N430" s="32" t="e">
        <x:f>IF(A430=1,K430,N429+K430)</x:f>
      </x:c>
      <x:c r="O430" s="32"/>
      <x:c r="P430" s="32" t="e">
        <x:f>IF(A430=1,Dashboard!$F$14,T429)</x:f>
      </x:c>
      <x:c r="Q430" s="32" t="e">
        <x:f>IF(A430&lt;=Dashboard!$F$17,MIN(P430,$B$6*52/12),0)</x:f>
      </x:c>
      <x:c r="R430" s="32" t="e">
        <x:f>IF(A430&lt;=Dashboard!$F$17,MAX(0,P430-Q430)*Dashboard!$F$6,0)</x:f>
      </x:c>
      <x:c r="S430" s="32" t="e">
        <x:f>IF(A430&lt;=Dashboard!$F$17,MIN(Dashboard!$F$10,MAX(0,P430-Q430)+R430),0)</x:f>
      </x:c>
      <x:c r="T430" s="32" t="e">
        <x:f>IF(A430&lt;=Dashboard!$F$17,MAX(0,P430-Q430-MAX(0,S430-R430)),0)</x:f>
      </x:c>
      <x:c r="U430" s="32" t="e">
        <x:f>IF(A430=1,R430,U429+R430)</x:f>
      </x:c>
      <x:c r="V430" s="32"/>
      <x:c r="W430" s="32" t="e">
        <x:f>IF(A430=1,Dashboard!$F$14,AA429)</x:f>
      </x:c>
      <x:c r="X430" s="32" t="e">
        <x:f>IF(AND(A430&lt;=Dashboard!$F$17,MOD(A430-1,12)=0),MIN(W430,$B$7),0)</x:f>
      </x:c>
      <x:c r="Y430" s="32" t="e">
        <x:f>IF(A430&lt;=Dashboard!$F$17,MAX(0,W430-X430)*Dashboard!$F$6,0)</x:f>
      </x:c>
      <x:c r="Z430" s="32" t="e">
        <x:f>IF(A430&lt;=Dashboard!$F$17,MIN(Dashboard!$F$10,MAX(0,W430-X430)+Y430),0)</x:f>
      </x:c>
      <x:c r="AA430" s="32" t="e">
        <x:f>IF(A430&lt;=Dashboard!$F$17,MAX(0,W430-X430-MAX(0,Z430-Y430)),0)</x:f>
      </x:c>
      <x:c r="AB430" s="32" t="e">
        <x:f>IF(A430=1,Y430,AB429+Y430)</x:f>
      </x:c>
      <x:c r="AC430" s="32"/>
      <x:c r="AD430" s="32" t="e">
        <x:f>IF(A430=1,MAX(0,Dashboard!$F$14-$B$8),AG429)</x:f>
      </x:c>
      <x:c r="AE430" s="32" t="n">
        <x:f>0</x:f>
        <x:v>0</x:v>
      </x:c>
      <x:c r="AF430" s="32" t="e">
        <x:f>IF(A430&lt;=Dashboard!$F$17,AD430*Dashboard!$F$6,0)</x:f>
      </x:c>
      <x:c r="AG430" s="32" t="e">
        <x:f>IF(A430&lt;=Dashboard!$F$17,MIN(Dashboard!$F$10,AD430+AF430),0)</x:f>
      </x:c>
      <x:c r="AH430" s="32" t="e">
        <x:f>IF(A430&lt;=Dashboard!$F$17,MAX(0,AD430-MAX(0,AG430-AF430)),0)</x:f>
      </x:c>
      <x:c r="AI430" s="32" t="e">
        <x:f>IF(A430=1,AF430,AI429+AF430)</x:f>
      </x:c>
      <x:c r="AJ430" s="33"/>
      <x:c r="AK430" s="33"/>
      <x:c r="AL430" s="33"/>
      <x:c r="AM430" s="33"/>
    </x:row>
    <x:row r="431">
      <x:c r="A431" s="33" t="n">
        <x:v>419</x:v>
      </x:c>
      <x:c r="B431" s="32" t="e">
        <x:f>IF(A431=1,Dashboard!$F$14,F430)</x:f>
      </x:c>
      <x:c r="C431" s="32" t="n">
        <x:f>0</x:f>
        <x:v>0</x:v>
      </x:c>
      <x:c r="D431" s="32" t="e">
        <x:f>IF(A431&lt;=Dashboard!$F$15,B431*Dashboard!$F$6,0)</x:f>
      </x:c>
      <x:c r="E431" s="32" t="e">
        <x:f>IF(A431&lt;=Dashboard!$F$15,MIN(Dashboard!$F$10,B431+D431),0)</x:f>
      </x:c>
      <x:c r="F431" s="32" t="e">
        <x:f>IF(A431&lt;=Dashboard!$F$15,MAX(0,B431-MAX(0,E431-D431)),0)</x:f>
      </x:c>
      <x:c r="G431" s="32" t="e">
        <x:f>IF(A431=1,D431,G430+D431)</x:f>
      </x:c>
      <x:c r="H431" s="32"/>
      <x:c r="I431" s="32" t="e">
        <x:f>IF(A431=1,Dashboard!$F$14,M430)</x:f>
      </x:c>
      <x:c r="J431" s="32" t="e">
        <x:f>IF(A431&lt;=Dashboard!$F$17,MIN(I431,$B$5),0)</x:f>
      </x:c>
      <x:c r="K431" s="32" t="e">
        <x:f>IF(A431&lt;=Dashboard!$F$17,MAX(0,I431-J431)*Dashboard!$F$6,0)</x:f>
      </x:c>
      <x:c r="L431" s="32" t="e">
        <x:f>IF(A431&lt;=Dashboard!$F$17,MIN(Dashboard!$F$10,MAX(0,I431-J431)+K431),0)</x:f>
      </x:c>
      <x:c r="M431" s="32" t="e">
        <x:f>IF(A431&lt;=Dashboard!$F$17,MAX(0,I431-J431-MAX(0,L431-K431)),0)</x:f>
      </x:c>
      <x:c r="N431" s="32" t="e">
        <x:f>IF(A431=1,K431,N430+K431)</x:f>
      </x:c>
      <x:c r="O431" s="32"/>
      <x:c r="P431" s="32" t="e">
        <x:f>IF(A431=1,Dashboard!$F$14,T430)</x:f>
      </x:c>
      <x:c r="Q431" s="32" t="e">
        <x:f>IF(A431&lt;=Dashboard!$F$17,MIN(P431,$B$6*52/12),0)</x:f>
      </x:c>
      <x:c r="R431" s="32" t="e">
        <x:f>IF(A431&lt;=Dashboard!$F$17,MAX(0,P431-Q431)*Dashboard!$F$6,0)</x:f>
      </x:c>
      <x:c r="S431" s="32" t="e">
        <x:f>IF(A431&lt;=Dashboard!$F$17,MIN(Dashboard!$F$10,MAX(0,P431-Q431)+R431),0)</x:f>
      </x:c>
      <x:c r="T431" s="32" t="e">
        <x:f>IF(A431&lt;=Dashboard!$F$17,MAX(0,P431-Q431-MAX(0,S431-R431)),0)</x:f>
      </x:c>
      <x:c r="U431" s="32" t="e">
        <x:f>IF(A431=1,R431,U430+R431)</x:f>
      </x:c>
      <x:c r="V431" s="32"/>
      <x:c r="W431" s="32" t="e">
        <x:f>IF(A431=1,Dashboard!$F$14,AA430)</x:f>
      </x:c>
      <x:c r="X431" s="32" t="e">
        <x:f>IF(AND(A431&lt;=Dashboard!$F$17,MOD(A431-1,12)=0),MIN(W431,$B$7),0)</x:f>
      </x:c>
      <x:c r="Y431" s="32" t="e">
        <x:f>IF(A431&lt;=Dashboard!$F$17,MAX(0,W431-X431)*Dashboard!$F$6,0)</x:f>
      </x:c>
      <x:c r="Z431" s="32" t="e">
        <x:f>IF(A431&lt;=Dashboard!$F$17,MIN(Dashboard!$F$10,MAX(0,W431-X431)+Y431),0)</x:f>
      </x:c>
      <x:c r="AA431" s="32" t="e">
        <x:f>IF(A431&lt;=Dashboard!$F$17,MAX(0,W431-X431-MAX(0,Z431-Y431)),0)</x:f>
      </x:c>
      <x:c r="AB431" s="32" t="e">
        <x:f>IF(A431=1,Y431,AB430+Y431)</x:f>
      </x:c>
      <x:c r="AC431" s="32"/>
      <x:c r="AD431" s="32" t="e">
        <x:f>IF(A431=1,MAX(0,Dashboard!$F$14-$B$8),AG430)</x:f>
      </x:c>
      <x:c r="AE431" s="32" t="n">
        <x:f>0</x:f>
        <x:v>0</x:v>
      </x:c>
      <x:c r="AF431" s="32" t="e">
        <x:f>IF(A431&lt;=Dashboard!$F$17,AD431*Dashboard!$F$6,0)</x:f>
      </x:c>
      <x:c r="AG431" s="32" t="e">
        <x:f>IF(A431&lt;=Dashboard!$F$17,MIN(Dashboard!$F$10,AD431+AF431),0)</x:f>
      </x:c>
      <x:c r="AH431" s="32" t="e">
        <x:f>IF(A431&lt;=Dashboard!$F$17,MAX(0,AD431-MAX(0,AG431-AF431)),0)</x:f>
      </x:c>
      <x:c r="AI431" s="32" t="e">
        <x:f>IF(A431=1,AF431,AI430+AF431)</x:f>
      </x:c>
      <x:c r="AJ431" s="33"/>
      <x:c r="AK431" s="33"/>
      <x:c r="AL431" s="33"/>
      <x:c r="AM431" s="33"/>
    </x:row>
    <x:row r="432">
      <x:c r="A432" s="33" t="n">
        <x:v>420</x:v>
      </x:c>
      <x:c r="B432" s="32" t="e">
        <x:f>IF(A432=1,Dashboard!$F$14,F431)</x:f>
      </x:c>
      <x:c r="C432" s="32" t="n">
        <x:f>0</x:f>
        <x:v>0</x:v>
      </x:c>
      <x:c r="D432" s="32" t="e">
        <x:f>IF(A432&lt;=Dashboard!$F$15,B432*Dashboard!$F$6,0)</x:f>
      </x:c>
      <x:c r="E432" s="32" t="e">
        <x:f>IF(A432&lt;=Dashboard!$F$15,MIN(Dashboard!$F$10,B432+D432),0)</x:f>
      </x:c>
      <x:c r="F432" s="32" t="e">
        <x:f>IF(A432&lt;=Dashboard!$F$15,MAX(0,B432-MAX(0,E432-D432)),0)</x:f>
      </x:c>
      <x:c r="G432" s="32" t="e">
        <x:f>IF(A432=1,D432,G431+D432)</x:f>
      </x:c>
      <x:c r="H432" s="32"/>
      <x:c r="I432" s="32" t="e">
        <x:f>IF(A432=1,Dashboard!$F$14,M431)</x:f>
      </x:c>
      <x:c r="J432" s="32" t="e">
        <x:f>IF(A432&lt;=Dashboard!$F$17,MIN(I432,$B$5),0)</x:f>
      </x:c>
      <x:c r="K432" s="32" t="e">
        <x:f>IF(A432&lt;=Dashboard!$F$17,MAX(0,I432-J432)*Dashboard!$F$6,0)</x:f>
      </x:c>
      <x:c r="L432" s="32" t="e">
        <x:f>IF(A432&lt;=Dashboard!$F$17,MIN(Dashboard!$F$10,MAX(0,I432-J432)+K432),0)</x:f>
      </x:c>
      <x:c r="M432" s="32" t="e">
        <x:f>IF(A432&lt;=Dashboard!$F$17,MAX(0,I432-J432-MAX(0,L432-K432)),0)</x:f>
      </x:c>
      <x:c r="N432" s="32" t="e">
        <x:f>IF(A432=1,K432,N431+K432)</x:f>
      </x:c>
      <x:c r="O432" s="32"/>
      <x:c r="P432" s="32" t="e">
        <x:f>IF(A432=1,Dashboard!$F$14,T431)</x:f>
      </x:c>
      <x:c r="Q432" s="32" t="e">
        <x:f>IF(A432&lt;=Dashboard!$F$17,MIN(P432,$B$6*52/12),0)</x:f>
      </x:c>
      <x:c r="R432" s="32" t="e">
        <x:f>IF(A432&lt;=Dashboard!$F$17,MAX(0,P432-Q432)*Dashboard!$F$6,0)</x:f>
      </x:c>
      <x:c r="S432" s="32" t="e">
        <x:f>IF(A432&lt;=Dashboard!$F$17,MIN(Dashboard!$F$10,MAX(0,P432-Q432)+R432),0)</x:f>
      </x:c>
      <x:c r="T432" s="32" t="e">
        <x:f>IF(A432&lt;=Dashboard!$F$17,MAX(0,P432-Q432-MAX(0,S432-R432)),0)</x:f>
      </x:c>
      <x:c r="U432" s="32" t="e">
        <x:f>IF(A432=1,R432,U431+R432)</x:f>
      </x:c>
      <x:c r="V432" s="32"/>
      <x:c r="W432" s="32" t="e">
        <x:f>IF(A432=1,Dashboard!$F$14,AA431)</x:f>
      </x:c>
      <x:c r="X432" s="32" t="e">
        <x:f>IF(AND(A432&lt;=Dashboard!$F$17,MOD(A432-1,12)=0),MIN(W432,$B$7),0)</x:f>
      </x:c>
      <x:c r="Y432" s="32" t="e">
        <x:f>IF(A432&lt;=Dashboard!$F$17,MAX(0,W432-X432)*Dashboard!$F$6,0)</x:f>
      </x:c>
      <x:c r="Z432" s="32" t="e">
        <x:f>IF(A432&lt;=Dashboard!$F$17,MIN(Dashboard!$F$10,MAX(0,W432-X432)+Y432),0)</x:f>
      </x:c>
      <x:c r="AA432" s="32" t="e">
        <x:f>IF(A432&lt;=Dashboard!$F$17,MAX(0,W432-X432-MAX(0,Z432-Y432)),0)</x:f>
      </x:c>
      <x:c r="AB432" s="32" t="e">
        <x:f>IF(A432=1,Y432,AB431+Y432)</x:f>
      </x:c>
      <x:c r="AC432" s="32"/>
      <x:c r="AD432" s="32" t="e">
        <x:f>IF(A432=1,MAX(0,Dashboard!$F$14-$B$8),AG431)</x:f>
      </x:c>
      <x:c r="AE432" s="32" t="n">
        <x:f>0</x:f>
        <x:v>0</x:v>
      </x:c>
      <x:c r="AF432" s="32" t="e">
        <x:f>IF(A432&lt;=Dashboard!$F$17,AD432*Dashboard!$F$6,0)</x:f>
      </x:c>
      <x:c r="AG432" s="32" t="e">
        <x:f>IF(A432&lt;=Dashboard!$F$17,MIN(Dashboard!$F$10,AD432+AF432),0)</x:f>
      </x:c>
      <x:c r="AH432" s="32" t="e">
        <x:f>IF(A432&lt;=Dashboard!$F$17,MAX(0,AD432-MAX(0,AG432-AF432)),0)</x:f>
      </x:c>
      <x:c r="AI432" s="32" t="e">
        <x:f>IF(A432=1,AF432,AI431+AF432)</x:f>
      </x:c>
      <x:c r="AJ432" s="33"/>
      <x:c r="AK432" s="33"/>
      <x:c r="AL432" s="33"/>
      <x:c r="AM432" s="33"/>
    </x:row>
    <x:row r="433">
      <x:c r="A433" s="33" t="n">
        <x:v>421</x:v>
      </x:c>
      <x:c r="B433" s="32" t="e">
        <x:f>IF(A433=1,Dashboard!$F$14,F432)</x:f>
      </x:c>
      <x:c r="C433" s="32" t="n">
        <x:f>0</x:f>
        <x:v>0</x:v>
      </x:c>
      <x:c r="D433" s="32" t="e">
        <x:f>IF(A433&lt;=Dashboard!$F$15,B433*Dashboard!$F$6,0)</x:f>
      </x:c>
      <x:c r="E433" s="32" t="e">
        <x:f>IF(A433&lt;=Dashboard!$F$15,MIN(Dashboard!$F$10,B433+D433),0)</x:f>
      </x:c>
      <x:c r="F433" s="32" t="e">
        <x:f>IF(A433&lt;=Dashboard!$F$15,MAX(0,B433-MAX(0,E433-D433)),0)</x:f>
      </x:c>
      <x:c r="G433" s="32" t="e">
        <x:f>IF(A433=1,D433,G432+D433)</x:f>
      </x:c>
      <x:c r="H433" s="32"/>
      <x:c r="I433" s="32" t="e">
        <x:f>IF(A433=1,Dashboard!$F$14,M432)</x:f>
      </x:c>
      <x:c r="J433" s="32" t="e">
        <x:f>IF(A433&lt;=Dashboard!$F$17,MIN(I433,$B$5),0)</x:f>
      </x:c>
      <x:c r="K433" s="32" t="e">
        <x:f>IF(A433&lt;=Dashboard!$F$17,MAX(0,I433-J433)*Dashboard!$F$6,0)</x:f>
      </x:c>
      <x:c r="L433" s="32" t="e">
        <x:f>IF(A433&lt;=Dashboard!$F$17,MIN(Dashboard!$F$10,MAX(0,I433-J433)+K433),0)</x:f>
      </x:c>
      <x:c r="M433" s="32" t="e">
        <x:f>IF(A433&lt;=Dashboard!$F$17,MAX(0,I433-J433-MAX(0,L433-K433)),0)</x:f>
      </x:c>
      <x:c r="N433" s="32" t="e">
        <x:f>IF(A433=1,K433,N432+K433)</x:f>
      </x:c>
      <x:c r="O433" s="32"/>
      <x:c r="P433" s="32" t="e">
        <x:f>IF(A433=1,Dashboard!$F$14,T432)</x:f>
      </x:c>
      <x:c r="Q433" s="32" t="e">
        <x:f>IF(A433&lt;=Dashboard!$F$17,MIN(P433,$B$6*52/12),0)</x:f>
      </x:c>
      <x:c r="R433" s="32" t="e">
        <x:f>IF(A433&lt;=Dashboard!$F$17,MAX(0,P433-Q433)*Dashboard!$F$6,0)</x:f>
      </x:c>
      <x:c r="S433" s="32" t="e">
        <x:f>IF(A433&lt;=Dashboard!$F$17,MIN(Dashboard!$F$10,MAX(0,P433-Q433)+R433),0)</x:f>
      </x:c>
      <x:c r="T433" s="32" t="e">
        <x:f>IF(A433&lt;=Dashboard!$F$17,MAX(0,P433-Q433-MAX(0,S433-R433)),0)</x:f>
      </x:c>
      <x:c r="U433" s="32" t="e">
        <x:f>IF(A433=1,R433,U432+R433)</x:f>
      </x:c>
      <x:c r="V433" s="32"/>
      <x:c r="W433" s="32" t="e">
        <x:f>IF(A433=1,Dashboard!$F$14,AA432)</x:f>
      </x:c>
      <x:c r="X433" s="32" t="e">
        <x:f>IF(AND(A433&lt;=Dashboard!$F$17,MOD(A433-1,12)=0),MIN(W433,$B$7),0)</x:f>
      </x:c>
      <x:c r="Y433" s="32" t="e">
        <x:f>IF(A433&lt;=Dashboard!$F$17,MAX(0,W433-X433)*Dashboard!$F$6,0)</x:f>
      </x:c>
      <x:c r="Z433" s="32" t="e">
        <x:f>IF(A433&lt;=Dashboard!$F$17,MIN(Dashboard!$F$10,MAX(0,W433-X433)+Y433),0)</x:f>
      </x:c>
      <x:c r="AA433" s="32" t="e">
        <x:f>IF(A433&lt;=Dashboard!$F$17,MAX(0,W433-X433-MAX(0,Z433-Y433)),0)</x:f>
      </x:c>
      <x:c r="AB433" s="32" t="e">
        <x:f>IF(A433=1,Y433,AB432+Y433)</x:f>
      </x:c>
      <x:c r="AC433" s="32"/>
      <x:c r="AD433" s="32" t="e">
        <x:f>IF(A433=1,MAX(0,Dashboard!$F$14-$B$8),AG432)</x:f>
      </x:c>
      <x:c r="AE433" s="32" t="n">
        <x:f>0</x:f>
        <x:v>0</x:v>
      </x:c>
      <x:c r="AF433" s="32" t="e">
        <x:f>IF(A433&lt;=Dashboard!$F$17,AD433*Dashboard!$F$6,0)</x:f>
      </x:c>
      <x:c r="AG433" s="32" t="e">
        <x:f>IF(A433&lt;=Dashboard!$F$17,MIN(Dashboard!$F$10,AD433+AF433),0)</x:f>
      </x:c>
      <x:c r="AH433" s="32" t="e">
        <x:f>IF(A433&lt;=Dashboard!$F$17,MAX(0,AD433-MAX(0,AG433-AF433)),0)</x:f>
      </x:c>
      <x:c r="AI433" s="32" t="e">
        <x:f>IF(A433=1,AF433,AI432+AF433)</x:f>
      </x:c>
      <x:c r="AJ433" s="33"/>
      <x:c r="AK433" s="33"/>
      <x:c r="AL433" s="33"/>
      <x:c r="AM433" s="33"/>
    </x:row>
    <x:row r="434">
      <x:c r="A434" s="33" t="n">
        <x:v>422</x:v>
      </x:c>
      <x:c r="B434" s="32" t="e">
        <x:f>IF(A434=1,Dashboard!$F$14,F433)</x:f>
      </x:c>
      <x:c r="C434" s="32" t="n">
        <x:f>0</x:f>
        <x:v>0</x:v>
      </x:c>
      <x:c r="D434" s="32" t="e">
        <x:f>IF(A434&lt;=Dashboard!$F$15,B434*Dashboard!$F$6,0)</x:f>
      </x:c>
      <x:c r="E434" s="32" t="e">
        <x:f>IF(A434&lt;=Dashboard!$F$15,MIN(Dashboard!$F$10,B434+D434),0)</x:f>
      </x:c>
      <x:c r="F434" s="32" t="e">
        <x:f>IF(A434&lt;=Dashboard!$F$15,MAX(0,B434-MAX(0,E434-D434)),0)</x:f>
      </x:c>
      <x:c r="G434" s="32" t="e">
        <x:f>IF(A434=1,D434,G433+D434)</x:f>
      </x:c>
      <x:c r="H434" s="32"/>
      <x:c r="I434" s="32" t="e">
        <x:f>IF(A434=1,Dashboard!$F$14,M433)</x:f>
      </x:c>
      <x:c r="J434" s="32" t="e">
        <x:f>IF(A434&lt;=Dashboard!$F$17,MIN(I434,$B$5),0)</x:f>
      </x:c>
      <x:c r="K434" s="32" t="e">
        <x:f>IF(A434&lt;=Dashboard!$F$17,MAX(0,I434-J434)*Dashboard!$F$6,0)</x:f>
      </x:c>
      <x:c r="L434" s="32" t="e">
        <x:f>IF(A434&lt;=Dashboard!$F$17,MIN(Dashboard!$F$10,MAX(0,I434-J434)+K434),0)</x:f>
      </x:c>
      <x:c r="M434" s="32" t="e">
        <x:f>IF(A434&lt;=Dashboard!$F$17,MAX(0,I434-J434-MAX(0,L434-K434)),0)</x:f>
      </x:c>
      <x:c r="N434" s="32" t="e">
        <x:f>IF(A434=1,K434,N433+K434)</x:f>
      </x:c>
      <x:c r="O434" s="32"/>
      <x:c r="P434" s="32" t="e">
        <x:f>IF(A434=1,Dashboard!$F$14,T433)</x:f>
      </x:c>
      <x:c r="Q434" s="32" t="e">
        <x:f>IF(A434&lt;=Dashboard!$F$17,MIN(P434,$B$6*52/12),0)</x:f>
      </x:c>
      <x:c r="R434" s="32" t="e">
        <x:f>IF(A434&lt;=Dashboard!$F$17,MAX(0,P434-Q434)*Dashboard!$F$6,0)</x:f>
      </x:c>
      <x:c r="S434" s="32" t="e">
        <x:f>IF(A434&lt;=Dashboard!$F$17,MIN(Dashboard!$F$10,MAX(0,P434-Q434)+R434),0)</x:f>
      </x:c>
      <x:c r="T434" s="32" t="e">
        <x:f>IF(A434&lt;=Dashboard!$F$17,MAX(0,P434-Q434-MAX(0,S434-R434)),0)</x:f>
      </x:c>
      <x:c r="U434" s="32" t="e">
        <x:f>IF(A434=1,R434,U433+R434)</x:f>
      </x:c>
      <x:c r="V434" s="32"/>
      <x:c r="W434" s="32" t="e">
        <x:f>IF(A434=1,Dashboard!$F$14,AA433)</x:f>
      </x:c>
      <x:c r="X434" s="32" t="e">
        <x:f>IF(AND(A434&lt;=Dashboard!$F$17,MOD(A434-1,12)=0),MIN(W434,$B$7),0)</x:f>
      </x:c>
      <x:c r="Y434" s="32" t="e">
        <x:f>IF(A434&lt;=Dashboard!$F$17,MAX(0,W434-X434)*Dashboard!$F$6,0)</x:f>
      </x:c>
      <x:c r="Z434" s="32" t="e">
        <x:f>IF(A434&lt;=Dashboard!$F$17,MIN(Dashboard!$F$10,MAX(0,W434-X434)+Y434),0)</x:f>
      </x:c>
      <x:c r="AA434" s="32" t="e">
        <x:f>IF(A434&lt;=Dashboard!$F$17,MAX(0,W434-X434-MAX(0,Z434-Y434)),0)</x:f>
      </x:c>
      <x:c r="AB434" s="32" t="e">
        <x:f>IF(A434=1,Y434,AB433+Y434)</x:f>
      </x:c>
      <x:c r="AC434" s="32"/>
      <x:c r="AD434" s="32" t="e">
        <x:f>IF(A434=1,MAX(0,Dashboard!$F$14-$B$8),AG433)</x:f>
      </x:c>
      <x:c r="AE434" s="32" t="n">
        <x:f>0</x:f>
        <x:v>0</x:v>
      </x:c>
      <x:c r="AF434" s="32" t="e">
        <x:f>IF(A434&lt;=Dashboard!$F$17,AD434*Dashboard!$F$6,0)</x:f>
      </x:c>
      <x:c r="AG434" s="32" t="e">
        <x:f>IF(A434&lt;=Dashboard!$F$17,MIN(Dashboard!$F$10,AD434+AF434),0)</x:f>
      </x:c>
      <x:c r="AH434" s="32" t="e">
        <x:f>IF(A434&lt;=Dashboard!$F$17,MAX(0,AD434-MAX(0,AG434-AF434)),0)</x:f>
      </x:c>
      <x:c r="AI434" s="32" t="e">
        <x:f>IF(A434=1,AF434,AI433+AF434)</x:f>
      </x:c>
      <x:c r="AJ434" s="33"/>
      <x:c r="AK434" s="33"/>
      <x:c r="AL434" s="33"/>
      <x:c r="AM434" s="33"/>
    </x:row>
    <x:row r="435">
      <x:c r="A435" s="33" t="n">
        <x:v>423</x:v>
      </x:c>
      <x:c r="B435" s="32" t="e">
        <x:f>IF(A435=1,Dashboard!$F$14,F434)</x:f>
      </x:c>
      <x:c r="C435" s="32" t="n">
        <x:f>0</x:f>
        <x:v>0</x:v>
      </x:c>
      <x:c r="D435" s="32" t="e">
        <x:f>IF(A435&lt;=Dashboard!$F$15,B435*Dashboard!$F$6,0)</x:f>
      </x:c>
      <x:c r="E435" s="32" t="e">
        <x:f>IF(A435&lt;=Dashboard!$F$15,MIN(Dashboard!$F$10,B435+D435),0)</x:f>
      </x:c>
      <x:c r="F435" s="32" t="e">
        <x:f>IF(A435&lt;=Dashboard!$F$15,MAX(0,B435-MAX(0,E435-D435)),0)</x:f>
      </x:c>
      <x:c r="G435" s="32" t="e">
        <x:f>IF(A435=1,D435,G434+D435)</x:f>
      </x:c>
      <x:c r="H435" s="32"/>
      <x:c r="I435" s="32" t="e">
        <x:f>IF(A435=1,Dashboard!$F$14,M434)</x:f>
      </x:c>
      <x:c r="J435" s="32" t="e">
        <x:f>IF(A435&lt;=Dashboard!$F$17,MIN(I435,$B$5),0)</x:f>
      </x:c>
      <x:c r="K435" s="32" t="e">
        <x:f>IF(A435&lt;=Dashboard!$F$17,MAX(0,I435-J435)*Dashboard!$F$6,0)</x:f>
      </x:c>
      <x:c r="L435" s="32" t="e">
        <x:f>IF(A435&lt;=Dashboard!$F$17,MIN(Dashboard!$F$10,MAX(0,I435-J435)+K435),0)</x:f>
      </x:c>
      <x:c r="M435" s="32" t="e">
        <x:f>IF(A435&lt;=Dashboard!$F$17,MAX(0,I435-J435-MAX(0,L435-K435)),0)</x:f>
      </x:c>
      <x:c r="N435" s="32" t="e">
        <x:f>IF(A435=1,K435,N434+K435)</x:f>
      </x:c>
      <x:c r="O435" s="32"/>
      <x:c r="P435" s="32" t="e">
        <x:f>IF(A435=1,Dashboard!$F$14,T434)</x:f>
      </x:c>
      <x:c r="Q435" s="32" t="e">
        <x:f>IF(A435&lt;=Dashboard!$F$17,MIN(P435,$B$6*52/12),0)</x:f>
      </x:c>
      <x:c r="R435" s="32" t="e">
        <x:f>IF(A435&lt;=Dashboard!$F$17,MAX(0,P435-Q435)*Dashboard!$F$6,0)</x:f>
      </x:c>
      <x:c r="S435" s="32" t="e">
        <x:f>IF(A435&lt;=Dashboard!$F$17,MIN(Dashboard!$F$10,MAX(0,P435-Q435)+R435),0)</x:f>
      </x:c>
      <x:c r="T435" s="32" t="e">
        <x:f>IF(A435&lt;=Dashboard!$F$17,MAX(0,P435-Q435-MAX(0,S435-R435)),0)</x:f>
      </x:c>
      <x:c r="U435" s="32" t="e">
        <x:f>IF(A435=1,R435,U434+R435)</x:f>
      </x:c>
      <x:c r="V435" s="32"/>
      <x:c r="W435" s="32" t="e">
        <x:f>IF(A435=1,Dashboard!$F$14,AA434)</x:f>
      </x:c>
      <x:c r="X435" s="32" t="e">
        <x:f>IF(AND(A435&lt;=Dashboard!$F$17,MOD(A435-1,12)=0),MIN(W435,$B$7),0)</x:f>
      </x:c>
      <x:c r="Y435" s="32" t="e">
        <x:f>IF(A435&lt;=Dashboard!$F$17,MAX(0,W435-X435)*Dashboard!$F$6,0)</x:f>
      </x:c>
      <x:c r="Z435" s="32" t="e">
        <x:f>IF(A435&lt;=Dashboard!$F$17,MIN(Dashboard!$F$10,MAX(0,W435-X435)+Y435),0)</x:f>
      </x:c>
      <x:c r="AA435" s="32" t="e">
        <x:f>IF(A435&lt;=Dashboard!$F$17,MAX(0,W435-X435-MAX(0,Z435-Y435)),0)</x:f>
      </x:c>
      <x:c r="AB435" s="32" t="e">
        <x:f>IF(A435=1,Y435,AB434+Y435)</x:f>
      </x:c>
      <x:c r="AC435" s="32"/>
      <x:c r="AD435" s="32" t="e">
        <x:f>IF(A435=1,MAX(0,Dashboard!$F$14-$B$8),AG434)</x:f>
      </x:c>
      <x:c r="AE435" s="32" t="n">
        <x:f>0</x:f>
        <x:v>0</x:v>
      </x:c>
      <x:c r="AF435" s="32" t="e">
        <x:f>IF(A435&lt;=Dashboard!$F$17,AD435*Dashboard!$F$6,0)</x:f>
      </x:c>
      <x:c r="AG435" s="32" t="e">
        <x:f>IF(A435&lt;=Dashboard!$F$17,MIN(Dashboard!$F$10,AD435+AF435),0)</x:f>
      </x:c>
      <x:c r="AH435" s="32" t="e">
        <x:f>IF(A435&lt;=Dashboard!$F$17,MAX(0,AD435-MAX(0,AG435-AF435)),0)</x:f>
      </x:c>
      <x:c r="AI435" s="32" t="e">
        <x:f>IF(A435=1,AF435,AI434+AF435)</x:f>
      </x:c>
      <x:c r="AJ435" s="33"/>
      <x:c r="AK435" s="33"/>
      <x:c r="AL435" s="33"/>
      <x:c r="AM435" s="33"/>
    </x:row>
    <x:row r="436">
      <x:c r="A436" s="33" t="n">
        <x:v>424</x:v>
      </x:c>
      <x:c r="B436" s="32" t="e">
        <x:f>IF(A436=1,Dashboard!$F$14,F435)</x:f>
      </x:c>
      <x:c r="C436" s="32" t="n">
        <x:f>0</x:f>
        <x:v>0</x:v>
      </x:c>
      <x:c r="D436" s="32" t="e">
        <x:f>IF(A436&lt;=Dashboard!$F$15,B436*Dashboard!$F$6,0)</x:f>
      </x:c>
      <x:c r="E436" s="32" t="e">
        <x:f>IF(A436&lt;=Dashboard!$F$15,MIN(Dashboard!$F$10,B436+D436),0)</x:f>
      </x:c>
      <x:c r="F436" s="32" t="e">
        <x:f>IF(A436&lt;=Dashboard!$F$15,MAX(0,B436-MAX(0,E436-D436)),0)</x:f>
      </x:c>
      <x:c r="G436" s="32" t="e">
        <x:f>IF(A436=1,D436,G435+D436)</x:f>
      </x:c>
      <x:c r="H436" s="32"/>
      <x:c r="I436" s="32" t="e">
        <x:f>IF(A436=1,Dashboard!$F$14,M435)</x:f>
      </x:c>
      <x:c r="J436" s="32" t="e">
        <x:f>IF(A436&lt;=Dashboard!$F$17,MIN(I436,$B$5),0)</x:f>
      </x:c>
      <x:c r="K436" s="32" t="e">
        <x:f>IF(A436&lt;=Dashboard!$F$17,MAX(0,I436-J436)*Dashboard!$F$6,0)</x:f>
      </x:c>
      <x:c r="L436" s="32" t="e">
        <x:f>IF(A436&lt;=Dashboard!$F$17,MIN(Dashboard!$F$10,MAX(0,I436-J436)+K436),0)</x:f>
      </x:c>
      <x:c r="M436" s="32" t="e">
        <x:f>IF(A436&lt;=Dashboard!$F$17,MAX(0,I436-J436-MAX(0,L436-K436)),0)</x:f>
      </x:c>
      <x:c r="N436" s="32" t="e">
        <x:f>IF(A436=1,K436,N435+K436)</x:f>
      </x:c>
      <x:c r="O436" s="32"/>
      <x:c r="P436" s="32" t="e">
        <x:f>IF(A436=1,Dashboard!$F$14,T435)</x:f>
      </x:c>
      <x:c r="Q436" s="32" t="e">
        <x:f>IF(A436&lt;=Dashboard!$F$17,MIN(P436,$B$6*52/12),0)</x:f>
      </x:c>
      <x:c r="R436" s="32" t="e">
        <x:f>IF(A436&lt;=Dashboard!$F$17,MAX(0,P436-Q436)*Dashboard!$F$6,0)</x:f>
      </x:c>
      <x:c r="S436" s="32" t="e">
        <x:f>IF(A436&lt;=Dashboard!$F$17,MIN(Dashboard!$F$10,MAX(0,P436-Q436)+R436),0)</x:f>
      </x:c>
      <x:c r="T436" s="32" t="e">
        <x:f>IF(A436&lt;=Dashboard!$F$17,MAX(0,P436-Q436-MAX(0,S436-R436)),0)</x:f>
      </x:c>
      <x:c r="U436" s="32" t="e">
        <x:f>IF(A436=1,R436,U435+R436)</x:f>
      </x:c>
      <x:c r="V436" s="32"/>
      <x:c r="W436" s="32" t="e">
        <x:f>IF(A436=1,Dashboard!$F$14,AA435)</x:f>
      </x:c>
      <x:c r="X436" s="32" t="e">
        <x:f>IF(AND(A436&lt;=Dashboard!$F$17,MOD(A436-1,12)=0),MIN(W436,$B$7),0)</x:f>
      </x:c>
      <x:c r="Y436" s="32" t="e">
        <x:f>IF(A436&lt;=Dashboard!$F$17,MAX(0,W436-X436)*Dashboard!$F$6,0)</x:f>
      </x:c>
      <x:c r="Z436" s="32" t="e">
        <x:f>IF(A436&lt;=Dashboard!$F$17,MIN(Dashboard!$F$10,MAX(0,W436-X436)+Y436),0)</x:f>
      </x:c>
      <x:c r="AA436" s="32" t="e">
        <x:f>IF(A436&lt;=Dashboard!$F$17,MAX(0,W436-X436-MAX(0,Z436-Y436)),0)</x:f>
      </x:c>
      <x:c r="AB436" s="32" t="e">
        <x:f>IF(A436=1,Y436,AB435+Y436)</x:f>
      </x:c>
      <x:c r="AC436" s="32"/>
      <x:c r="AD436" s="32" t="e">
        <x:f>IF(A436=1,MAX(0,Dashboard!$F$14-$B$8),AG435)</x:f>
      </x:c>
      <x:c r="AE436" s="32" t="n">
        <x:f>0</x:f>
        <x:v>0</x:v>
      </x:c>
      <x:c r="AF436" s="32" t="e">
        <x:f>IF(A436&lt;=Dashboard!$F$17,AD436*Dashboard!$F$6,0)</x:f>
      </x:c>
      <x:c r="AG436" s="32" t="e">
        <x:f>IF(A436&lt;=Dashboard!$F$17,MIN(Dashboard!$F$10,AD436+AF436),0)</x:f>
      </x:c>
      <x:c r="AH436" s="32" t="e">
        <x:f>IF(A436&lt;=Dashboard!$F$17,MAX(0,AD436-MAX(0,AG436-AF436)),0)</x:f>
      </x:c>
      <x:c r="AI436" s="32" t="e">
        <x:f>IF(A436=1,AF436,AI435+AF436)</x:f>
      </x:c>
      <x:c r="AJ436" s="33"/>
      <x:c r="AK436" s="33"/>
      <x:c r="AL436" s="33"/>
      <x:c r="AM436" s="33"/>
    </x:row>
    <x:row r="437">
      <x:c r="A437" s="33" t="n">
        <x:v>425</x:v>
      </x:c>
      <x:c r="B437" s="32" t="e">
        <x:f>IF(A437=1,Dashboard!$F$14,F436)</x:f>
      </x:c>
      <x:c r="C437" s="32" t="n">
        <x:f>0</x:f>
        <x:v>0</x:v>
      </x:c>
      <x:c r="D437" s="32" t="e">
        <x:f>IF(A437&lt;=Dashboard!$F$15,B437*Dashboard!$F$6,0)</x:f>
      </x:c>
      <x:c r="E437" s="32" t="e">
        <x:f>IF(A437&lt;=Dashboard!$F$15,MIN(Dashboard!$F$10,B437+D437),0)</x:f>
      </x:c>
      <x:c r="F437" s="32" t="e">
        <x:f>IF(A437&lt;=Dashboard!$F$15,MAX(0,B437-MAX(0,E437-D437)),0)</x:f>
      </x:c>
      <x:c r="G437" s="32" t="e">
        <x:f>IF(A437=1,D437,G436+D437)</x:f>
      </x:c>
      <x:c r="H437" s="32"/>
      <x:c r="I437" s="32" t="e">
        <x:f>IF(A437=1,Dashboard!$F$14,M436)</x:f>
      </x:c>
      <x:c r="J437" s="32" t="e">
        <x:f>IF(A437&lt;=Dashboard!$F$17,MIN(I437,$B$5),0)</x:f>
      </x:c>
      <x:c r="K437" s="32" t="e">
        <x:f>IF(A437&lt;=Dashboard!$F$17,MAX(0,I437-J437)*Dashboard!$F$6,0)</x:f>
      </x:c>
      <x:c r="L437" s="32" t="e">
        <x:f>IF(A437&lt;=Dashboard!$F$17,MIN(Dashboard!$F$10,MAX(0,I437-J437)+K437),0)</x:f>
      </x:c>
      <x:c r="M437" s="32" t="e">
        <x:f>IF(A437&lt;=Dashboard!$F$17,MAX(0,I437-J437-MAX(0,L437-K437)),0)</x:f>
      </x:c>
      <x:c r="N437" s="32" t="e">
        <x:f>IF(A437=1,K437,N436+K437)</x:f>
      </x:c>
      <x:c r="O437" s="32"/>
      <x:c r="P437" s="32" t="e">
        <x:f>IF(A437=1,Dashboard!$F$14,T436)</x:f>
      </x:c>
      <x:c r="Q437" s="32" t="e">
        <x:f>IF(A437&lt;=Dashboard!$F$17,MIN(P437,$B$6*52/12),0)</x:f>
      </x:c>
      <x:c r="R437" s="32" t="e">
        <x:f>IF(A437&lt;=Dashboard!$F$17,MAX(0,P437-Q437)*Dashboard!$F$6,0)</x:f>
      </x:c>
      <x:c r="S437" s="32" t="e">
        <x:f>IF(A437&lt;=Dashboard!$F$17,MIN(Dashboard!$F$10,MAX(0,P437-Q437)+R437),0)</x:f>
      </x:c>
      <x:c r="T437" s="32" t="e">
        <x:f>IF(A437&lt;=Dashboard!$F$17,MAX(0,P437-Q437-MAX(0,S437-R437)),0)</x:f>
      </x:c>
      <x:c r="U437" s="32" t="e">
        <x:f>IF(A437=1,R437,U436+R437)</x:f>
      </x:c>
      <x:c r="V437" s="32"/>
      <x:c r="W437" s="32" t="e">
        <x:f>IF(A437=1,Dashboard!$F$14,AA436)</x:f>
      </x:c>
      <x:c r="X437" s="32" t="e">
        <x:f>IF(AND(A437&lt;=Dashboard!$F$17,MOD(A437-1,12)=0),MIN(W437,$B$7),0)</x:f>
      </x:c>
      <x:c r="Y437" s="32" t="e">
        <x:f>IF(A437&lt;=Dashboard!$F$17,MAX(0,W437-X437)*Dashboard!$F$6,0)</x:f>
      </x:c>
      <x:c r="Z437" s="32" t="e">
        <x:f>IF(A437&lt;=Dashboard!$F$17,MIN(Dashboard!$F$10,MAX(0,W437-X437)+Y437),0)</x:f>
      </x:c>
      <x:c r="AA437" s="32" t="e">
        <x:f>IF(A437&lt;=Dashboard!$F$17,MAX(0,W437-X437-MAX(0,Z437-Y437)),0)</x:f>
      </x:c>
      <x:c r="AB437" s="32" t="e">
        <x:f>IF(A437=1,Y437,AB436+Y437)</x:f>
      </x:c>
      <x:c r="AC437" s="32"/>
      <x:c r="AD437" s="32" t="e">
        <x:f>IF(A437=1,MAX(0,Dashboard!$F$14-$B$8),AG436)</x:f>
      </x:c>
      <x:c r="AE437" s="32" t="n">
        <x:f>0</x:f>
        <x:v>0</x:v>
      </x:c>
      <x:c r="AF437" s="32" t="e">
        <x:f>IF(A437&lt;=Dashboard!$F$17,AD437*Dashboard!$F$6,0)</x:f>
      </x:c>
      <x:c r="AG437" s="32" t="e">
        <x:f>IF(A437&lt;=Dashboard!$F$17,MIN(Dashboard!$F$10,AD437+AF437),0)</x:f>
      </x:c>
      <x:c r="AH437" s="32" t="e">
        <x:f>IF(A437&lt;=Dashboard!$F$17,MAX(0,AD437-MAX(0,AG437-AF437)),0)</x:f>
      </x:c>
      <x:c r="AI437" s="32" t="e">
        <x:f>IF(A437=1,AF437,AI436+AF437)</x:f>
      </x:c>
      <x:c r="AJ437" s="33"/>
      <x:c r="AK437" s="33"/>
      <x:c r="AL437" s="33"/>
      <x:c r="AM437" s="33"/>
    </x:row>
    <x:row r="438">
      <x:c r="A438" s="33" t="n">
        <x:v>426</x:v>
      </x:c>
      <x:c r="B438" s="32" t="e">
        <x:f>IF(A438=1,Dashboard!$F$14,F437)</x:f>
      </x:c>
      <x:c r="C438" s="32" t="n">
        <x:f>0</x:f>
        <x:v>0</x:v>
      </x:c>
      <x:c r="D438" s="32" t="e">
        <x:f>IF(A438&lt;=Dashboard!$F$15,B438*Dashboard!$F$6,0)</x:f>
      </x:c>
      <x:c r="E438" s="32" t="e">
        <x:f>IF(A438&lt;=Dashboard!$F$15,MIN(Dashboard!$F$10,B438+D438),0)</x:f>
      </x:c>
      <x:c r="F438" s="32" t="e">
        <x:f>IF(A438&lt;=Dashboard!$F$15,MAX(0,B438-MAX(0,E438-D438)),0)</x:f>
      </x:c>
      <x:c r="G438" s="32" t="e">
        <x:f>IF(A438=1,D438,G437+D438)</x:f>
      </x:c>
      <x:c r="H438" s="32"/>
      <x:c r="I438" s="32" t="e">
        <x:f>IF(A438=1,Dashboard!$F$14,M437)</x:f>
      </x:c>
      <x:c r="J438" s="32" t="e">
        <x:f>IF(A438&lt;=Dashboard!$F$17,MIN(I438,$B$5),0)</x:f>
      </x:c>
      <x:c r="K438" s="32" t="e">
        <x:f>IF(A438&lt;=Dashboard!$F$17,MAX(0,I438-J438)*Dashboard!$F$6,0)</x:f>
      </x:c>
      <x:c r="L438" s="32" t="e">
        <x:f>IF(A438&lt;=Dashboard!$F$17,MIN(Dashboard!$F$10,MAX(0,I438-J438)+K438),0)</x:f>
      </x:c>
      <x:c r="M438" s="32" t="e">
        <x:f>IF(A438&lt;=Dashboard!$F$17,MAX(0,I438-J438-MAX(0,L438-K438)),0)</x:f>
      </x:c>
      <x:c r="N438" s="32" t="e">
        <x:f>IF(A438=1,K438,N437+K438)</x:f>
      </x:c>
      <x:c r="O438" s="32"/>
      <x:c r="P438" s="32" t="e">
        <x:f>IF(A438=1,Dashboard!$F$14,T437)</x:f>
      </x:c>
      <x:c r="Q438" s="32" t="e">
        <x:f>IF(A438&lt;=Dashboard!$F$17,MIN(P438,$B$6*52/12),0)</x:f>
      </x:c>
      <x:c r="R438" s="32" t="e">
        <x:f>IF(A438&lt;=Dashboard!$F$17,MAX(0,P438-Q438)*Dashboard!$F$6,0)</x:f>
      </x:c>
      <x:c r="S438" s="32" t="e">
        <x:f>IF(A438&lt;=Dashboard!$F$17,MIN(Dashboard!$F$10,MAX(0,P438-Q438)+R438),0)</x:f>
      </x:c>
      <x:c r="T438" s="32" t="e">
        <x:f>IF(A438&lt;=Dashboard!$F$17,MAX(0,P438-Q438-MAX(0,S438-R438)),0)</x:f>
      </x:c>
      <x:c r="U438" s="32" t="e">
        <x:f>IF(A438=1,R438,U437+R438)</x:f>
      </x:c>
      <x:c r="V438" s="32"/>
      <x:c r="W438" s="32" t="e">
        <x:f>IF(A438=1,Dashboard!$F$14,AA437)</x:f>
      </x:c>
      <x:c r="X438" s="32" t="e">
        <x:f>IF(AND(A438&lt;=Dashboard!$F$17,MOD(A438-1,12)=0),MIN(W438,$B$7),0)</x:f>
      </x:c>
      <x:c r="Y438" s="32" t="e">
        <x:f>IF(A438&lt;=Dashboard!$F$17,MAX(0,W438-X438)*Dashboard!$F$6,0)</x:f>
      </x:c>
      <x:c r="Z438" s="32" t="e">
        <x:f>IF(A438&lt;=Dashboard!$F$17,MIN(Dashboard!$F$10,MAX(0,W438-X438)+Y438),0)</x:f>
      </x:c>
      <x:c r="AA438" s="32" t="e">
        <x:f>IF(A438&lt;=Dashboard!$F$17,MAX(0,W438-X438-MAX(0,Z438-Y438)),0)</x:f>
      </x:c>
      <x:c r="AB438" s="32" t="e">
        <x:f>IF(A438=1,Y438,AB437+Y438)</x:f>
      </x:c>
      <x:c r="AC438" s="32"/>
      <x:c r="AD438" s="32" t="e">
        <x:f>IF(A438=1,MAX(0,Dashboard!$F$14-$B$8),AG437)</x:f>
      </x:c>
      <x:c r="AE438" s="32" t="n">
        <x:f>0</x:f>
        <x:v>0</x:v>
      </x:c>
      <x:c r="AF438" s="32" t="e">
        <x:f>IF(A438&lt;=Dashboard!$F$17,AD438*Dashboard!$F$6,0)</x:f>
      </x:c>
      <x:c r="AG438" s="32" t="e">
        <x:f>IF(A438&lt;=Dashboard!$F$17,MIN(Dashboard!$F$10,AD438+AF438),0)</x:f>
      </x:c>
      <x:c r="AH438" s="32" t="e">
        <x:f>IF(A438&lt;=Dashboard!$F$17,MAX(0,AD438-MAX(0,AG438-AF438)),0)</x:f>
      </x:c>
      <x:c r="AI438" s="32" t="e">
        <x:f>IF(A438=1,AF438,AI437+AF438)</x:f>
      </x:c>
      <x:c r="AJ438" s="33"/>
      <x:c r="AK438" s="33"/>
      <x:c r="AL438" s="33"/>
      <x:c r="AM438" s="33"/>
    </x:row>
    <x:row r="439">
      <x:c r="A439" s="33" t="n">
        <x:v>427</x:v>
      </x:c>
      <x:c r="B439" s="32" t="e">
        <x:f>IF(A439=1,Dashboard!$F$14,F438)</x:f>
      </x:c>
      <x:c r="C439" s="32" t="n">
        <x:f>0</x:f>
        <x:v>0</x:v>
      </x:c>
      <x:c r="D439" s="32" t="e">
        <x:f>IF(A439&lt;=Dashboard!$F$15,B439*Dashboard!$F$6,0)</x:f>
      </x:c>
      <x:c r="E439" s="32" t="e">
        <x:f>IF(A439&lt;=Dashboard!$F$15,MIN(Dashboard!$F$10,B439+D439),0)</x:f>
      </x:c>
      <x:c r="F439" s="32" t="e">
        <x:f>IF(A439&lt;=Dashboard!$F$15,MAX(0,B439-MAX(0,E439-D439)),0)</x:f>
      </x:c>
      <x:c r="G439" s="32" t="e">
        <x:f>IF(A439=1,D439,G438+D439)</x:f>
      </x:c>
      <x:c r="H439" s="32"/>
      <x:c r="I439" s="32" t="e">
        <x:f>IF(A439=1,Dashboard!$F$14,M438)</x:f>
      </x:c>
      <x:c r="J439" s="32" t="e">
        <x:f>IF(A439&lt;=Dashboard!$F$17,MIN(I439,$B$5),0)</x:f>
      </x:c>
      <x:c r="K439" s="32" t="e">
        <x:f>IF(A439&lt;=Dashboard!$F$17,MAX(0,I439-J439)*Dashboard!$F$6,0)</x:f>
      </x:c>
      <x:c r="L439" s="32" t="e">
        <x:f>IF(A439&lt;=Dashboard!$F$17,MIN(Dashboard!$F$10,MAX(0,I439-J439)+K439),0)</x:f>
      </x:c>
      <x:c r="M439" s="32" t="e">
        <x:f>IF(A439&lt;=Dashboard!$F$17,MAX(0,I439-J439-MAX(0,L439-K439)),0)</x:f>
      </x:c>
      <x:c r="N439" s="32" t="e">
        <x:f>IF(A439=1,K439,N438+K439)</x:f>
      </x:c>
      <x:c r="O439" s="32"/>
      <x:c r="P439" s="32" t="e">
        <x:f>IF(A439=1,Dashboard!$F$14,T438)</x:f>
      </x:c>
      <x:c r="Q439" s="32" t="e">
        <x:f>IF(A439&lt;=Dashboard!$F$17,MIN(P439,$B$6*52/12),0)</x:f>
      </x:c>
      <x:c r="R439" s="32" t="e">
        <x:f>IF(A439&lt;=Dashboard!$F$17,MAX(0,P439-Q439)*Dashboard!$F$6,0)</x:f>
      </x:c>
      <x:c r="S439" s="32" t="e">
        <x:f>IF(A439&lt;=Dashboard!$F$17,MIN(Dashboard!$F$10,MAX(0,P439-Q439)+R439),0)</x:f>
      </x:c>
      <x:c r="T439" s="32" t="e">
        <x:f>IF(A439&lt;=Dashboard!$F$17,MAX(0,P439-Q439-MAX(0,S439-R439)),0)</x:f>
      </x:c>
      <x:c r="U439" s="32" t="e">
        <x:f>IF(A439=1,R439,U438+R439)</x:f>
      </x:c>
      <x:c r="V439" s="32"/>
      <x:c r="W439" s="32" t="e">
        <x:f>IF(A439=1,Dashboard!$F$14,AA438)</x:f>
      </x:c>
      <x:c r="X439" s="32" t="e">
        <x:f>IF(AND(A439&lt;=Dashboard!$F$17,MOD(A439-1,12)=0),MIN(W439,$B$7),0)</x:f>
      </x:c>
      <x:c r="Y439" s="32" t="e">
        <x:f>IF(A439&lt;=Dashboard!$F$17,MAX(0,W439-X439)*Dashboard!$F$6,0)</x:f>
      </x:c>
      <x:c r="Z439" s="32" t="e">
        <x:f>IF(A439&lt;=Dashboard!$F$17,MIN(Dashboard!$F$10,MAX(0,W439-X439)+Y439),0)</x:f>
      </x:c>
      <x:c r="AA439" s="32" t="e">
        <x:f>IF(A439&lt;=Dashboard!$F$17,MAX(0,W439-X439-MAX(0,Z439-Y439)),0)</x:f>
      </x:c>
      <x:c r="AB439" s="32" t="e">
        <x:f>IF(A439=1,Y439,AB438+Y439)</x:f>
      </x:c>
      <x:c r="AC439" s="32"/>
      <x:c r="AD439" s="32" t="e">
        <x:f>IF(A439=1,MAX(0,Dashboard!$F$14-$B$8),AG438)</x:f>
      </x:c>
      <x:c r="AE439" s="32" t="n">
        <x:f>0</x:f>
        <x:v>0</x:v>
      </x:c>
      <x:c r="AF439" s="32" t="e">
        <x:f>IF(A439&lt;=Dashboard!$F$17,AD439*Dashboard!$F$6,0)</x:f>
      </x:c>
      <x:c r="AG439" s="32" t="e">
        <x:f>IF(A439&lt;=Dashboard!$F$17,MIN(Dashboard!$F$10,AD439+AF439),0)</x:f>
      </x:c>
      <x:c r="AH439" s="32" t="e">
        <x:f>IF(A439&lt;=Dashboard!$F$17,MAX(0,AD439-MAX(0,AG439-AF439)),0)</x:f>
      </x:c>
      <x:c r="AI439" s="32" t="e">
        <x:f>IF(A439=1,AF439,AI438+AF439)</x:f>
      </x:c>
      <x:c r="AJ439" s="33"/>
      <x:c r="AK439" s="33"/>
      <x:c r="AL439" s="33"/>
      <x:c r="AM439" s="33"/>
    </x:row>
    <x:row r="440">
      <x:c r="A440" s="33" t="n">
        <x:v>428</x:v>
      </x:c>
      <x:c r="B440" s="32" t="e">
        <x:f>IF(A440=1,Dashboard!$F$14,F439)</x:f>
      </x:c>
      <x:c r="C440" s="32" t="n">
        <x:f>0</x:f>
        <x:v>0</x:v>
      </x:c>
      <x:c r="D440" s="32" t="e">
        <x:f>IF(A440&lt;=Dashboard!$F$15,B440*Dashboard!$F$6,0)</x:f>
      </x:c>
      <x:c r="E440" s="32" t="e">
        <x:f>IF(A440&lt;=Dashboard!$F$15,MIN(Dashboard!$F$10,B440+D440),0)</x:f>
      </x:c>
      <x:c r="F440" s="32" t="e">
        <x:f>IF(A440&lt;=Dashboard!$F$15,MAX(0,B440-MAX(0,E440-D440)),0)</x:f>
      </x:c>
      <x:c r="G440" s="32" t="e">
        <x:f>IF(A440=1,D440,G439+D440)</x:f>
      </x:c>
      <x:c r="H440" s="32"/>
      <x:c r="I440" s="32" t="e">
        <x:f>IF(A440=1,Dashboard!$F$14,M439)</x:f>
      </x:c>
      <x:c r="J440" s="32" t="e">
        <x:f>IF(A440&lt;=Dashboard!$F$17,MIN(I440,$B$5),0)</x:f>
      </x:c>
      <x:c r="K440" s="32" t="e">
        <x:f>IF(A440&lt;=Dashboard!$F$17,MAX(0,I440-J440)*Dashboard!$F$6,0)</x:f>
      </x:c>
      <x:c r="L440" s="32" t="e">
        <x:f>IF(A440&lt;=Dashboard!$F$17,MIN(Dashboard!$F$10,MAX(0,I440-J440)+K440),0)</x:f>
      </x:c>
      <x:c r="M440" s="32" t="e">
        <x:f>IF(A440&lt;=Dashboard!$F$17,MAX(0,I440-J440-MAX(0,L440-K440)),0)</x:f>
      </x:c>
      <x:c r="N440" s="32" t="e">
        <x:f>IF(A440=1,K440,N439+K440)</x:f>
      </x:c>
      <x:c r="O440" s="32"/>
      <x:c r="P440" s="32" t="e">
        <x:f>IF(A440=1,Dashboard!$F$14,T439)</x:f>
      </x:c>
      <x:c r="Q440" s="32" t="e">
        <x:f>IF(A440&lt;=Dashboard!$F$17,MIN(P440,$B$6*52/12),0)</x:f>
      </x:c>
      <x:c r="R440" s="32" t="e">
        <x:f>IF(A440&lt;=Dashboard!$F$17,MAX(0,P440-Q440)*Dashboard!$F$6,0)</x:f>
      </x:c>
      <x:c r="S440" s="32" t="e">
        <x:f>IF(A440&lt;=Dashboard!$F$17,MIN(Dashboard!$F$10,MAX(0,P440-Q440)+R440),0)</x:f>
      </x:c>
      <x:c r="T440" s="32" t="e">
        <x:f>IF(A440&lt;=Dashboard!$F$17,MAX(0,P440-Q440-MAX(0,S440-R440)),0)</x:f>
      </x:c>
      <x:c r="U440" s="32" t="e">
        <x:f>IF(A440=1,R440,U439+R440)</x:f>
      </x:c>
      <x:c r="V440" s="32"/>
      <x:c r="W440" s="32" t="e">
        <x:f>IF(A440=1,Dashboard!$F$14,AA439)</x:f>
      </x:c>
      <x:c r="X440" s="32" t="e">
        <x:f>IF(AND(A440&lt;=Dashboard!$F$17,MOD(A440-1,12)=0),MIN(W440,$B$7),0)</x:f>
      </x:c>
      <x:c r="Y440" s="32" t="e">
        <x:f>IF(A440&lt;=Dashboard!$F$17,MAX(0,W440-X440)*Dashboard!$F$6,0)</x:f>
      </x:c>
      <x:c r="Z440" s="32" t="e">
        <x:f>IF(A440&lt;=Dashboard!$F$17,MIN(Dashboard!$F$10,MAX(0,W440-X440)+Y440),0)</x:f>
      </x:c>
      <x:c r="AA440" s="32" t="e">
        <x:f>IF(A440&lt;=Dashboard!$F$17,MAX(0,W440-X440-MAX(0,Z440-Y440)),0)</x:f>
      </x:c>
      <x:c r="AB440" s="32" t="e">
        <x:f>IF(A440=1,Y440,AB439+Y440)</x:f>
      </x:c>
      <x:c r="AC440" s="32"/>
      <x:c r="AD440" s="32" t="e">
        <x:f>IF(A440=1,MAX(0,Dashboard!$F$14-$B$8),AG439)</x:f>
      </x:c>
      <x:c r="AE440" s="32" t="n">
        <x:f>0</x:f>
        <x:v>0</x:v>
      </x:c>
      <x:c r="AF440" s="32" t="e">
        <x:f>IF(A440&lt;=Dashboard!$F$17,AD440*Dashboard!$F$6,0)</x:f>
      </x:c>
      <x:c r="AG440" s="32" t="e">
        <x:f>IF(A440&lt;=Dashboard!$F$17,MIN(Dashboard!$F$10,AD440+AF440),0)</x:f>
      </x:c>
      <x:c r="AH440" s="32" t="e">
        <x:f>IF(A440&lt;=Dashboard!$F$17,MAX(0,AD440-MAX(0,AG440-AF440)),0)</x:f>
      </x:c>
      <x:c r="AI440" s="32" t="e">
        <x:f>IF(A440=1,AF440,AI439+AF440)</x:f>
      </x:c>
      <x:c r="AJ440" s="33"/>
      <x:c r="AK440" s="33"/>
      <x:c r="AL440" s="33"/>
      <x:c r="AM440" s="33"/>
    </x:row>
    <x:row r="441">
      <x:c r="A441" s="33" t="n">
        <x:v>429</x:v>
      </x:c>
      <x:c r="B441" s="32" t="e">
        <x:f>IF(A441=1,Dashboard!$F$14,F440)</x:f>
      </x:c>
      <x:c r="C441" s="32" t="n">
        <x:f>0</x:f>
        <x:v>0</x:v>
      </x:c>
      <x:c r="D441" s="32" t="e">
        <x:f>IF(A441&lt;=Dashboard!$F$15,B441*Dashboard!$F$6,0)</x:f>
      </x:c>
      <x:c r="E441" s="32" t="e">
        <x:f>IF(A441&lt;=Dashboard!$F$15,MIN(Dashboard!$F$10,B441+D441),0)</x:f>
      </x:c>
      <x:c r="F441" s="32" t="e">
        <x:f>IF(A441&lt;=Dashboard!$F$15,MAX(0,B441-MAX(0,E441-D441)),0)</x:f>
      </x:c>
      <x:c r="G441" s="32" t="e">
        <x:f>IF(A441=1,D441,G440+D441)</x:f>
      </x:c>
      <x:c r="H441" s="32"/>
      <x:c r="I441" s="32" t="e">
        <x:f>IF(A441=1,Dashboard!$F$14,M440)</x:f>
      </x:c>
      <x:c r="J441" s="32" t="e">
        <x:f>IF(A441&lt;=Dashboard!$F$17,MIN(I441,$B$5),0)</x:f>
      </x:c>
      <x:c r="K441" s="32" t="e">
        <x:f>IF(A441&lt;=Dashboard!$F$17,MAX(0,I441-J441)*Dashboard!$F$6,0)</x:f>
      </x:c>
      <x:c r="L441" s="32" t="e">
        <x:f>IF(A441&lt;=Dashboard!$F$17,MIN(Dashboard!$F$10,MAX(0,I441-J441)+K441),0)</x:f>
      </x:c>
      <x:c r="M441" s="32" t="e">
        <x:f>IF(A441&lt;=Dashboard!$F$17,MAX(0,I441-J441-MAX(0,L441-K441)),0)</x:f>
      </x:c>
      <x:c r="N441" s="32" t="e">
        <x:f>IF(A441=1,K441,N440+K441)</x:f>
      </x:c>
      <x:c r="O441" s="32"/>
      <x:c r="P441" s="32" t="e">
        <x:f>IF(A441=1,Dashboard!$F$14,T440)</x:f>
      </x:c>
      <x:c r="Q441" s="32" t="e">
        <x:f>IF(A441&lt;=Dashboard!$F$17,MIN(P441,$B$6*52/12),0)</x:f>
      </x:c>
      <x:c r="R441" s="32" t="e">
        <x:f>IF(A441&lt;=Dashboard!$F$17,MAX(0,P441-Q441)*Dashboard!$F$6,0)</x:f>
      </x:c>
      <x:c r="S441" s="32" t="e">
        <x:f>IF(A441&lt;=Dashboard!$F$17,MIN(Dashboard!$F$10,MAX(0,P441-Q441)+R441),0)</x:f>
      </x:c>
      <x:c r="T441" s="32" t="e">
        <x:f>IF(A441&lt;=Dashboard!$F$17,MAX(0,P441-Q441-MAX(0,S441-R441)),0)</x:f>
      </x:c>
      <x:c r="U441" s="32" t="e">
        <x:f>IF(A441=1,R441,U440+R441)</x:f>
      </x:c>
      <x:c r="V441" s="32"/>
      <x:c r="W441" s="32" t="e">
        <x:f>IF(A441=1,Dashboard!$F$14,AA440)</x:f>
      </x:c>
      <x:c r="X441" s="32" t="e">
        <x:f>IF(AND(A441&lt;=Dashboard!$F$17,MOD(A441-1,12)=0),MIN(W441,$B$7),0)</x:f>
      </x:c>
      <x:c r="Y441" s="32" t="e">
        <x:f>IF(A441&lt;=Dashboard!$F$17,MAX(0,W441-X441)*Dashboard!$F$6,0)</x:f>
      </x:c>
      <x:c r="Z441" s="32" t="e">
        <x:f>IF(A441&lt;=Dashboard!$F$17,MIN(Dashboard!$F$10,MAX(0,W441-X441)+Y441),0)</x:f>
      </x:c>
      <x:c r="AA441" s="32" t="e">
        <x:f>IF(A441&lt;=Dashboard!$F$17,MAX(0,W441-X441-MAX(0,Z441-Y441)),0)</x:f>
      </x:c>
      <x:c r="AB441" s="32" t="e">
        <x:f>IF(A441=1,Y441,AB440+Y441)</x:f>
      </x:c>
      <x:c r="AC441" s="32"/>
      <x:c r="AD441" s="32" t="e">
        <x:f>IF(A441=1,MAX(0,Dashboard!$F$14-$B$8),AG440)</x:f>
      </x:c>
      <x:c r="AE441" s="32" t="n">
        <x:f>0</x:f>
        <x:v>0</x:v>
      </x:c>
      <x:c r="AF441" s="32" t="e">
        <x:f>IF(A441&lt;=Dashboard!$F$17,AD441*Dashboard!$F$6,0)</x:f>
      </x:c>
      <x:c r="AG441" s="32" t="e">
        <x:f>IF(A441&lt;=Dashboard!$F$17,MIN(Dashboard!$F$10,AD441+AF441),0)</x:f>
      </x:c>
      <x:c r="AH441" s="32" t="e">
        <x:f>IF(A441&lt;=Dashboard!$F$17,MAX(0,AD441-MAX(0,AG441-AF441)),0)</x:f>
      </x:c>
      <x:c r="AI441" s="32" t="e">
        <x:f>IF(A441=1,AF441,AI440+AF441)</x:f>
      </x:c>
      <x:c r="AJ441" s="33"/>
      <x:c r="AK441" s="33"/>
      <x:c r="AL441" s="33"/>
      <x:c r="AM441" s="33"/>
    </x:row>
    <x:row r="442">
      <x:c r="A442" s="33" t="n">
        <x:v>430</x:v>
      </x:c>
      <x:c r="B442" s="32" t="e">
        <x:f>IF(A442=1,Dashboard!$F$14,F441)</x:f>
      </x:c>
      <x:c r="C442" s="32" t="n">
        <x:f>0</x:f>
        <x:v>0</x:v>
      </x:c>
      <x:c r="D442" s="32" t="e">
        <x:f>IF(A442&lt;=Dashboard!$F$15,B442*Dashboard!$F$6,0)</x:f>
      </x:c>
      <x:c r="E442" s="32" t="e">
        <x:f>IF(A442&lt;=Dashboard!$F$15,MIN(Dashboard!$F$10,B442+D442),0)</x:f>
      </x:c>
      <x:c r="F442" s="32" t="e">
        <x:f>IF(A442&lt;=Dashboard!$F$15,MAX(0,B442-MAX(0,E442-D442)),0)</x:f>
      </x:c>
      <x:c r="G442" s="32" t="e">
        <x:f>IF(A442=1,D442,G441+D442)</x:f>
      </x:c>
      <x:c r="H442" s="32"/>
      <x:c r="I442" s="32" t="e">
        <x:f>IF(A442=1,Dashboard!$F$14,M441)</x:f>
      </x:c>
      <x:c r="J442" s="32" t="e">
        <x:f>IF(A442&lt;=Dashboard!$F$17,MIN(I442,$B$5),0)</x:f>
      </x:c>
      <x:c r="K442" s="32" t="e">
        <x:f>IF(A442&lt;=Dashboard!$F$17,MAX(0,I442-J442)*Dashboard!$F$6,0)</x:f>
      </x:c>
      <x:c r="L442" s="32" t="e">
        <x:f>IF(A442&lt;=Dashboard!$F$17,MIN(Dashboard!$F$10,MAX(0,I442-J442)+K442),0)</x:f>
      </x:c>
      <x:c r="M442" s="32" t="e">
        <x:f>IF(A442&lt;=Dashboard!$F$17,MAX(0,I442-J442-MAX(0,L442-K442)),0)</x:f>
      </x:c>
      <x:c r="N442" s="32" t="e">
        <x:f>IF(A442=1,K442,N441+K442)</x:f>
      </x:c>
      <x:c r="O442" s="32"/>
      <x:c r="P442" s="32" t="e">
        <x:f>IF(A442=1,Dashboard!$F$14,T441)</x:f>
      </x:c>
      <x:c r="Q442" s="32" t="e">
        <x:f>IF(A442&lt;=Dashboard!$F$17,MIN(P442,$B$6*52/12),0)</x:f>
      </x:c>
      <x:c r="R442" s="32" t="e">
        <x:f>IF(A442&lt;=Dashboard!$F$17,MAX(0,P442-Q442)*Dashboard!$F$6,0)</x:f>
      </x:c>
      <x:c r="S442" s="32" t="e">
        <x:f>IF(A442&lt;=Dashboard!$F$17,MIN(Dashboard!$F$10,MAX(0,P442-Q442)+R442),0)</x:f>
      </x:c>
      <x:c r="T442" s="32" t="e">
        <x:f>IF(A442&lt;=Dashboard!$F$17,MAX(0,P442-Q442-MAX(0,S442-R442)),0)</x:f>
      </x:c>
      <x:c r="U442" s="32" t="e">
        <x:f>IF(A442=1,R442,U441+R442)</x:f>
      </x:c>
      <x:c r="V442" s="32"/>
      <x:c r="W442" s="32" t="e">
        <x:f>IF(A442=1,Dashboard!$F$14,AA441)</x:f>
      </x:c>
      <x:c r="X442" s="32" t="e">
        <x:f>IF(AND(A442&lt;=Dashboard!$F$17,MOD(A442-1,12)=0),MIN(W442,$B$7),0)</x:f>
      </x:c>
      <x:c r="Y442" s="32" t="e">
        <x:f>IF(A442&lt;=Dashboard!$F$17,MAX(0,W442-X442)*Dashboard!$F$6,0)</x:f>
      </x:c>
      <x:c r="Z442" s="32" t="e">
        <x:f>IF(A442&lt;=Dashboard!$F$17,MIN(Dashboard!$F$10,MAX(0,W442-X442)+Y442),0)</x:f>
      </x:c>
      <x:c r="AA442" s="32" t="e">
        <x:f>IF(A442&lt;=Dashboard!$F$17,MAX(0,W442-X442-MAX(0,Z442-Y442)),0)</x:f>
      </x:c>
      <x:c r="AB442" s="32" t="e">
        <x:f>IF(A442=1,Y442,AB441+Y442)</x:f>
      </x:c>
      <x:c r="AC442" s="32"/>
      <x:c r="AD442" s="32" t="e">
        <x:f>IF(A442=1,MAX(0,Dashboard!$F$14-$B$8),AG441)</x:f>
      </x:c>
      <x:c r="AE442" s="32" t="n">
        <x:f>0</x:f>
        <x:v>0</x:v>
      </x:c>
      <x:c r="AF442" s="32" t="e">
        <x:f>IF(A442&lt;=Dashboard!$F$17,AD442*Dashboard!$F$6,0)</x:f>
      </x:c>
      <x:c r="AG442" s="32" t="e">
        <x:f>IF(A442&lt;=Dashboard!$F$17,MIN(Dashboard!$F$10,AD442+AF442),0)</x:f>
      </x:c>
      <x:c r="AH442" s="32" t="e">
        <x:f>IF(A442&lt;=Dashboard!$F$17,MAX(0,AD442-MAX(0,AG442-AF442)),0)</x:f>
      </x:c>
      <x:c r="AI442" s="32" t="e">
        <x:f>IF(A442=1,AF442,AI441+AF442)</x:f>
      </x:c>
      <x:c r="AJ442" s="33"/>
      <x:c r="AK442" s="33"/>
      <x:c r="AL442" s="33"/>
      <x:c r="AM442" s="33"/>
    </x:row>
    <x:row r="443">
      <x:c r="A443" s="33" t="n">
        <x:v>431</x:v>
      </x:c>
      <x:c r="B443" s="32" t="e">
        <x:f>IF(A443=1,Dashboard!$F$14,F442)</x:f>
      </x:c>
      <x:c r="C443" s="32" t="n">
        <x:f>0</x:f>
        <x:v>0</x:v>
      </x:c>
      <x:c r="D443" s="32" t="e">
        <x:f>IF(A443&lt;=Dashboard!$F$15,B443*Dashboard!$F$6,0)</x:f>
      </x:c>
      <x:c r="E443" s="32" t="e">
        <x:f>IF(A443&lt;=Dashboard!$F$15,MIN(Dashboard!$F$10,B443+D443),0)</x:f>
      </x:c>
      <x:c r="F443" s="32" t="e">
        <x:f>IF(A443&lt;=Dashboard!$F$15,MAX(0,B443-MAX(0,E443-D443)),0)</x:f>
      </x:c>
      <x:c r="G443" s="32" t="e">
        <x:f>IF(A443=1,D443,G442+D443)</x:f>
      </x:c>
      <x:c r="H443" s="32"/>
      <x:c r="I443" s="32" t="e">
        <x:f>IF(A443=1,Dashboard!$F$14,M442)</x:f>
      </x:c>
      <x:c r="J443" s="32" t="e">
        <x:f>IF(A443&lt;=Dashboard!$F$17,MIN(I443,$B$5),0)</x:f>
      </x:c>
      <x:c r="K443" s="32" t="e">
        <x:f>IF(A443&lt;=Dashboard!$F$17,MAX(0,I443-J443)*Dashboard!$F$6,0)</x:f>
      </x:c>
      <x:c r="L443" s="32" t="e">
        <x:f>IF(A443&lt;=Dashboard!$F$17,MIN(Dashboard!$F$10,MAX(0,I443-J443)+K443),0)</x:f>
      </x:c>
      <x:c r="M443" s="32" t="e">
        <x:f>IF(A443&lt;=Dashboard!$F$17,MAX(0,I443-J443-MAX(0,L443-K443)),0)</x:f>
      </x:c>
      <x:c r="N443" s="32" t="e">
        <x:f>IF(A443=1,K443,N442+K443)</x:f>
      </x:c>
      <x:c r="O443" s="32"/>
      <x:c r="P443" s="32" t="e">
        <x:f>IF(A443=1,Dashboard!$F$14,T442)</x:f>
      </x:c>
      <x:c r="Q443" s="32" t="e">
        <x:f>IF(A443&lt;=Dashboard!$F$17,MIN(P443,$B$6*52/12),0)</x:f>
      </x:c>
      <x:c r="R443" s="32" t="e">
        <x:f>IF(A443&lt;=Dashboard!$F$17,MAX(0,P443-Q443)*Dashboard!$F$6,0)</x:f>
      </x:c>
      <x:c r="S443" s="32" t="e">
        <x:f>IF(A443&lt;=Dashboard!$F$17,MIN(Dashboard!$F$10,MAX(0,P443-Q443)+R443),0)</x:f>
      </x:c>
      <x:c r="T443" s="32" t="e">
        <x:f>IF(A443&lt;=Dashboard!$F$17,MAX(0,P443-Q443-MAX(0,S443-R443)),0)</x:f>
      </x:c>
      <x:c r="U443" s="32" t="e">
        <x:f>IF(A443=1,R443,U442+R443)</x:f>
      </x:c>
      <x:c r="V443" s="32"/>
      <x:c r="W443" s="32" t="e">
        <x:f>IF(A443=1,Dashboard!$F$14,AA442)</x:f>
      </x:c>
      <x:c r="X443" s="32" t="e">
        <x:f>IF(AND(A443&lt;=Dashboard!$F$17,MOD(A443-1,12)=0),MIN(W443,$B$7),0)</x:f>
      </x:c>
      <x:c r="Y443" s="32" t="e">
        <x:f>IF(A443&lt;=Dashboard!$F$17,MAX(0,W443-X443)*Dashboard!$F$6,0)</x:f>
      </x:c>
      <x:c r="Z443" s="32" t="e">
        <x:f>IF(A443&lt;=Dashboard!$F$17,MIN(Dashboard!$F$10,MAX(0,W443-X443)+Y443),0)</x:f>
      </x:c>
      <x:c r="AA443" s="32" t="e">
        <x:f>IF(A443&lt;=Dashboard!$F$17,MAX(0,W443-X443-MAX(0,Z443-Y443)),0)</x:f>
      </x:c>
      <x:c r="AB443" s="32" t="e">
        <x:f>IF(A443=1,Y443,AB442+Y443)</x:f>
      </x:c>
      <x:c r="AC443" s="32"/>
      <x:c r="AD443" s="32" t="e">
        <x:f>IF(A443=1,MAX(0,Dashboard!$F$14-$B$8),AG442)</x:f>
      </x:c>
      <x:c r="AE443" s="32" t="n">
        <x:f>0</x:f>
        <x:v>0</x:v>
      </x:c>
      <x:c r="AF443" s="32" t="e">
        <x:f>IF(A443&lt;=Dashboard!$F$17,AD443*Dashboard!$F$6,0)</x:f>
      </x:c>
      <x:c r="AG443" s="32" t="e">
        <x:f>IF(A443&lt;=Dashboard!$F$17,MIN(Dashboard!$F$10,AD443+AF443),0)</x:f>
      </x:c>
      <x:c r="AH443" s="32" t="e">
        <x:f>IF(A443&lt;=Dashboard!$F$17,MAX(0,AD443-MAX(0,AG443-AF443)),0)</x:f>
      </x:c>
      <x:c r="AI443" s="32" t="e">
        <x:f>IF(A443=1,AF443,AI442+AF443)</x:f>
      </x:c>
      <x:c r="AJ443" s="33"/>
      <x:c r="AK443" s="33"/>
      <x:c r="AL443" s="33"/>
      <x:c r="AM443" s="33"/>
    </x:row>
    <x:row r="444">
      <x:c r="A444" s="33" t="n">
        <x:v>432</x:v>
      </x:c>
      <x:c r="B444" s="32" t="e">
        <x:f>IF(A444=1,Dashboard!$F$14,F443)</x:f>
      </x:c>
      <x:c r="C444" s="32" t="n">
        <x:f>0</x:f>
        <x:v>0</x:v>
      </x:c>
      <x:c r="D444" s="32" t="e">
        <x:f>IF(A444&lt;=Dashboard!$F$15,B444*Dashboard!$F$6,0)</x:f>
      </x:c>
      <x:c r="E444" s="32" t="e">
        <x:f>IF(A444&lt;=Dashboard!$F$15,MIN(Dashboard!$F$10,B444+D444),0)</x:f>
      </x:c>
      <x:c r="F444" s="32" t="e">
        <x:f>IF(A444&lt;=Dashboard!$F$15,MAX(0,B444-MAX(0,E444-D444)),0)</x:f>
      </x:c>
      <x:c r="G444" s="32" t="e">
        <x:f>IF(A444=1,D444,G443+D444)</x:f>
      </x:c>
      <x:c r="H444" s="32"/>
      <x:c r="I444" s="32" t="e">
        <x:f>IF(A444=1,Dashboard!$F$14,M443)</x:f>
      </x:c>
      <x:c r="J444" s="32" t="e">
        <x:f>IF(A444&lt;=Dashboard!$F$17,MIN(I444,$B$5),0)</x:f>
      </x:c>
      <x:c r="K444" s="32" t="e">
        <x:f>IF(A444&lt;=Dashboard!$F$17,MAX(0,I444-J444)*Dashboard!$F$6,0)</x:f>
      </x:c>
      <x:c r="L444" s="32" t="e">
        <x:f>IF(A444&lt;=Dashboard!$F$17,MIN(Dashboard!$F$10,MAX(0,I444-J444)+K444),0)</x:f>
      </x:c>
      <x:c r="M444" s="32" t="e">
        <x:f>IF(A444&lt;=Dashboard!$F$17,MAX(0,I444-J444-MAX(0,L444-K444)),0)</x:f>
      </x:c>
      <x:c r="N444" s="32" t="e">
        <x:f>IF(A444=1,K444,N443+K444)</x:f>
      </x:c>
      <x:c r="O444" s="32"/>
      <x:c r="P444" s="32" t="e">
        <x:f>IF(A444=1,Dashboard!$F$14,T443)</x:f>
      </x:c>
      <x:c r="Q444" s="32" t="e">
        <x:f>IF(A444&lt;=Dashboard!$F$17,MIN(P444,$B$6*52/12),0)</x:f>
      </x:c>
      <x:c r="R444" s="32" t="e">
        <x:f>IF(A444&lt;=Dashboard!$F$17,MAX(0,P444-Q444)*Dashboard!$F$6,0)</x:f>
      </x:c>
      <x:c r="S444" s="32" t="e">
        <x:f>IF(A444&lt;=Dashboard!$F$17,MIN(Dashboard!$F$10,MAX(0,P444-Q444)+R444),0)</x:f>
      </x:c>
      <x:c r="T444" s="32" t="e">
        <x:f>IF(A444&lt;=Dashboard!$F$17,MAX(0,P444-Q444-MAX(0,S444-R444)),0)</x:f>
      </x:c>
      <x:c r="U444" s="32" t="e">
        <x:f>IF(A444=1,R444,U443+R444)</x:f>
      </x:c>
      <x:c r="V444" s="32"/>
      <x:c r="W444" s="32" t="e">
        <x:f>IF(A444=1,Dashboard!$F$14,AA443)</x:f>
      </x:c>
      <x:c r="X444" s="32" t="e">
        <x:f>IF(AND(A444&lt;=Dashboard!$F$17,MOD(A444-1,12)=0),MIN(W444,$B$7),0)</x:f>
      </x:c>
      <x:c r="Y444" s="32" t="e">
        <x:f>IF(A444&lt;=Dashboard!$F$17,MAX(0,W444-X444)*Dashboard!$F$6,0)</x:f>
      </x:c>
      <x:c r="Z444" s="32" t="e">
        <x:f>IF(A444&lt;=Dashboard!$F$17,MIN(Dashboard!$F$10,MAX(0,W444-X444)+Y444),0)</x:f>
      </x:c>
      <x:c r="AA444" s="32" t="e">
        <x:f>IF(A444&lt;=Dashboard!$F$17,MAX(0,W444-X444-MAX(0,Z444-Y444)),0)</x:f>
      </x:c>
      <x:c r="AB444" s="32" t="e">
        <x:f>IF(A444=1,Y444,AB443+Y444)</x:f>
      </x:c>
      <x:c r="AC444" s="32"/>
      <x:c r="AD444" s="32" t="e">
        <x:f>IF(A444=1,MAX(0,Dashboard!$F$14-$B$8),AG443)</x:f>
      </x:c>
      <x:c r="AE444" s="32" t="n">
        <x:f>0</x:f>
        <x:v>0</x:v>
      </x:c>
      <x:c r="AF444" s="32" t="e">
        <x:f>IF(A444&lt;=Dashboard!$F$17,AD444*Dashboard!$F$6,0)</x:f>
      </x:c>
      <x:c r="AG444" s="32" t="e">
        <x:f>IF(A444&lt;=Dashboard!$F$17,MIN(Dashboard!$F$10,AD444+AF444),0)</x:f>
      </x:c>
      <x:c r="AH444" s="32" t="e">
        <x:f>IF(A444&lt;=Dashboard!$F$17,MAX(0,AD444-MAX(0,AG444-AF444)),0)</x:f>
      </x:c>
      <x:c r="AI444" s="32" t="e">
        <x:f>IF(A444=1,AF444,AI443+AF444)</x:f>
      </x:c>
      <x:c r="AJ444" s="33"/>
      <x:c r="AK444" s="33"/>
      <x:c r="AL444" s="33"/>
      <x:c r="AM444" s="33"/>
    </x:row>
    <x:row r="445">
      <x:c r="A445" s="33" t="n">
        <x:v>433</x:v>
      </x:c>
      <x:c r="B445" s="32" t="e">
        <x:f>IF(A445=1,Dashboard!$F$14,F444)</x:f>
      </x:c>
      <x:c r="C445" s="32" t="n">
        <x:f>0</x:f>
        <x:v>0</x:v>
      </x:c>
      <x:c r="D445" s="32" t="e">
        <x:f>IF(A445&lt;=Dashboard!$F$15,B445*Dashboard!$F$6,0)</x:f>
      </x:c>
      <x:c r="E445" s="32" t="e">
        <x:f>IF(A445&lt;=Dashboard!$F$15,MIN(Dashboard!$F$10,B445+D445),0)</x:f>
      </x:c>
      <x:c r="F445" s="32" t="e">
        <x:f>IF(A445&lt;=Dashboard!$F$15,MAX(0,B445-MAX(0,E445-D445)),0)</x:f>
      </x:c>
      <x:c r="G445" s="32" t="e">
        <x:f>IF(A445=1,D445,G444+D445)</x:f>
      </x:c>
      <x:c r="H445" s="32"/>
      <x:c r="I445" s="32" t="e">
        <x:f>IF(A445=1,Dashboard!$F$14,M444)</x:f>
      </x:c>
      <x:c r="J445" s="32" t="e">
        <x:f>IF(A445&lt;=Dashboard!$F$17,MIN(I445,$B$5),0)</x:f>
      </x:c>
      <x:c r="K445" s="32" t="e">
        <x:f>IF(A445&lt;=Dashboard!$F$17,MAX(0,I445-J445)*Dashboard!$F$6,0)</x:f>
      </x:c>
      <x:c r="L445" s="32" t="e">
        <x:f>IF(A445&lt;=Dashboard!$F$17,MIN(Dashboard!$F$10,MAX(0,I445-J445)+K445),0)</x:f>
      </x:c>
      <x:c r="M445" s="32" t="e">
        <x:f>IF(A445&lt;=Dashboard!$F$17,MAX(0,I445-J445-MAX(0,L445-K445)),0)</x:f>
      </x:c>
      <x:c r="N445" s="32" t="e">
        <x:f>IF(A445=1,K445,N444+K445)</x:f>
      </x:c>
      <x:c r="O445" s="32"/>
      <x:c r="P445" s="32" t="e">
        <x:f>IF(A445=1,Dashboard!$F$14,T444)</x:f>
      </x:c>
      <x:c r="Q445" s="32" t="e">
        <x:f>IF(A445&lt;=Dashboard!$F$17,MIN(P445,$B$6*52/12),0)</x:f>
      </x:c>
      <x:c r="R445" s="32" t="e">
        <x:f>IF(A445&lt;=Dashboard!$F$17,MAX(0,P445-Q445)*Dashboard!$F$6,0)</x:f>
      </x:c>
      <x:c r="S445" s="32" t="e">
        <x:f>IF(A445&lt;=Dashboard!$F$17,MIN(Dashboard!$F$10,MAX(0,P445-Q445)+R445),0)</x:f>
      </x:c>
      <x:c r="T445" s="32" t="e">
        <x:f>IF(A445&lt;=Dashboard!$F$17,MAX(0,P445-Q445-MAX(0,S445-R445)),0)</x:f>
      </x:c>
      <x:c r="U445" s="32" t="e">
        <x:f>IF(A445=1,R445,U444+R445)</x:f>
      </x:c>
      <x:c r="V445" s="32"/>
      <x:c r="W445" s="32" t="e">
        <x:f>IF(A445=1,Dashboard!$F$14,AA444)</x:f>
      </x:c>
      <x:c r="X445" s="32" t="e">
        <x:f>IF(AND(A445&lt;=Dashboard!$F$17,MOD(A445-1,12)=0),MIN(W445,$B$7),0)</x:f>
      </x:c>
      <x:c r="Y445" s="32" t="e">
        <x:f>IF(A445&lt;=Dashboard!$F$17,MAX(0,W445-X445)*Dashboard!$F$6,0)</x:f>
      </x:c>
      <x:c r="Z445" s="32" t="e">
        <x:f>IF(A445&lt;=Dashboard!$F$17,MIN(Dashboard!$F$10,MAX(0,W445-X445)+Y445),0)</x:f>
      </x:c>
      <x:c r="AA445" s="32" t="e">
        <x:f>IF(A445&lt;=Dashboard!$F$17,MAX(0,W445-X445-MAX(0,Z445-Y445)),0)</x:f>
      </x:c>
      <x:c r="AB445" s="32" t="e">
        <x:f>IF(A445=1,Y445,AB444+Y445)</x:f>
      </x:c>
      <x:c r="AC445" s="32"/>
      <x:c r="AD445" s="32" t="e">
        <x:f>IF(A445=1,MAX(0,Dashboard!$F$14-$B$8),AG444)</x:f>
      </x:c>
      <x:c r="AE445" s="32" t="n">
        <x:f>0</x:f>
        <x:v>0</x:v>
      </x:c>
      <x:c r="AF445" s="32" t="e">
        <x:f>IF(A445&lt;=Dashboard!$F$17,AD445*Dashboard!$F$6,0)</x:f>
      </x:c>
      <x:c r="AG445" s="32" t="e">
        <x:f>IF(A445&lt;=Dashboard!$F$17,MIN(Dashboard!$F$10,AD445+AF445),0)</x:f>
      </x:c>
      <x:c r="AH445" s="32" t="e">
        <x:f>IF(A445&lt;=Dashboard!$F$17,MAX(0,AD445-MAX(0,AG445-AF445)),0)</x:f>
      </x:c>
      <x:c r="AI445" s="32" t="e">
        <x:f>IF(A445=1,AF445,AI444+AF445)</x:f>
      </x:c>
      <x:c r="AJ445" s="33"/>
      <x:c r="AK445" s="33"/>
      <x:c r="AL445" s="33"/>
      <x:c r="AM445" s="33"/>
    </x:row>
    <x:row r="446">
      <x:c r="A446" s="33" t="n">
        <x:v>434</x:v>
      </x:c>
      <x:c r="B446" s="32" t="e">
        <x:f>IF(A446=1,Dashboard!$F$14,F445)</x:f>
      </x:c>
      <x:c r="C446" s="32" t="n">
        <x:f>0</x:f>
        <x:v>0</x:v>
      </x:c>
      <x:c r="D446" s="32" t="e">
        <x:f>IF(A446&lt;=Dashboard!$F$15,B446*Dashboard!$F$6,0)</x:f>
      </x:c>
      <x:c r="E446" s="32" t="e">
        <x:f>IF(A446&lt;=Dashboard!$F$15,MIN(Dashboard!$F$10,B446+D446),0)</x:f>
      </x:c>
      <x:c r="F446" s="32" t="e">
        <x:f>IF(A446&lt;=Dashboard!$F$15,MAX(0,B446-MAX(0,E446-D446)),0)</x:f>
      </x:c>
      <x:c r="G446" s="32" t="e">
        <x:f>IF(A446=1,D446,G445+D446)</x:f>
      </x:c>
      <x:c r="H446" s="32"/>
      <x:c r="I446" s="32" t="e">
        <x:f>IF(A446=1,Dashboard!$F$14,M445)</x:f>
      </x:c>
      <x:c r="J446" s="32" t="e">
        <x:f>IF(A446&lt;=Dashboard!$F$17,MIN(I446,$B$5),0)</x:f>
      </x:c>
      <x:c r="K446" s="32" t="e">
        <x:f>IF(A446&lt;=Dashboard!$F$17,MAX(0,I446-J446)*Dashboard!$F$6,0)</x:f>
      </x:c>
      <x:c r="L446" s="32" t="e">
        <x:f>IF(A446&lt;=Dashboard!$F$17,MIN(Dashboard!$F$10,MAX(0,I446-J446)+K446),0)</x:f>
      </x:c>
      <x:c r="M446" s="32" t="e">
        <x:f>IF(A446&lt;=Dashboard!$F$17,MAX(0,I446-J446-MAX(0,L446-K446)),0)</x:f>
      </x:c>
      <x:c r="N446" s="32" t="e">
        <x:f>IF(A446=1,K446,N445+K446)</x:f>
      </x:c>
      <x:c r="O446" s="32"/>
      <x:c r="P446" s="32" t="e">
        <x:f>IF(A446=1,Dashboard!$F$14,T445)</x:f>
      </x:c>
      <x:c r="Q446" s="32" t="e">
        <x:f>IF(A446&lt;=Dashboard!$F$17,MIN(P446,$B$6*52/12),0)</x:f>
      </x:c>
      <x:c r="R446" s="32" t="e">
        <x:f>IF(A446&lt;=Dashboard!$F$17,MAX(0,P446-Q446)*Dashboard!$F$6,0)</x:f>
      </x:c>
      <x:c r="S446" s="32" t="e">
        <x:f>IF(A446&lt;=Dashboard!$F$17,MIN(Dashboard!$F$10,MAX(0,P446-Q446)+R446),0)</x:f>
      </x:c>
      <x:c r="T446" s="32" t="e">
        <x:f>IF(A446&lt;=Dashboard!$F$17,MAX(0,P446-Q446-MAX(0,S446-R446)),0)</x:f>
      </x:c>
      <x:c r="U446" s="32" t="e">
        <x:f>IF(A446=1,R446,U445+R446)</x:f>
      </x:c>
      <x:c r="V446" s="32"/>
      <x:c r="W446" s="32" t="e">
        <x:f>IF(A446=1,Dashboard!$F$14,AA445)</x:f>
      </x:c>
      <x:c r="X446" s="32" t="e">
        <x:f>IF(AND(A446&lt;=Dashboard!$F$17,MOD(A446-1,12)=0),MIN(W446,$B$7),0)</x:f>
      </x:c>
      <x:c r="Y446" s="32" t="e">
        <x:f>IF(A446&lt;=Dashboard!$F$17,MAX(0,W446-X446)*Dashboard!$F$6,0)</x:f>
      </x:c>
      <x:c r="Z446" s="32" t="e">
        <x:f>IF(A446&lt;=Dashboard!$F$17,MIN(Dashboard!$F$10,MAX(0,W446-X446)+Y446),0)</x:f>
      </x:c>
      <x:c r="AA446" s="32" t="e">
        <x:f>IF(A446&lt;=Dashboard!$F$17,MAX(0,W446-X446-MAX(0,Z446-Y446)),0)</x:f>
      </x:c>
      <x:c r="AB446" s="32" t="e">
        <x:f>IF(A446=1,Y446,AB445+Y446)</x:f>
      </x:c>
      <x:c r="AC446" s="32"/>
      <x:c r="AD446" s="32" t="e">
        <x:f>IF(A446=1,MAX(0,Dashboard!$F$14-$B$8),AG445)</x:f>
      </x:c>
      <x:c r="AE446" s="32" t="n">
        <x:f>0</x:f>
        <x:v>0</x:v>
      </x:c>
      <x:c r="AF446" s="32" t="e">
        <x:f>IF(A446&lt;=Dashboard!$F$17,AD446*Dashboard!$F$6,0)</x:f>
      </x:c>
      <x:c r="AG446" s="32" t="e">
        <x:f>IF(A446&lt;=Dashboard!$F$17,MIN(Dashboard!$F$10,AD446+AF446),0)</x:f>
      </x:c>
      <x:c r="AH446" s="32" t="e">
        <x:f>IF(A446&lt;=Dashboard!$F$17,MAX(0,AD446-MAX(0,AG446-AF446)),0)</x:f>
      </x:c>
      <x:c r="AI446" s="32" t="e">
        <x:f>IF(A446=1,AF446,AI445+AF446)</x:f>
      </x:c>
      <x:c r="AJ446" s="33"/>
      <x:c r="AK446" s="33"/>
      <x:c r="AL446" s="33"/>
      <x:c r="AM446" s="33"/>
    </x:row>
    <x:row r="447">
      <x:c r="A447" s="33" t="n">
        <x:v>435</x:v>
      </x:c>
      <x:c r="B447" s="32" t="e">
        <x:f>IF(A447=1,Dashboard!$F$14,F446)</x:f>
      </x:c>
      <x:c r="C447" s="32" t="n">
        <x:f>0</x:f>
        <x:v>0</x:v>
      </x:c>
      <x:c r="D447" s="32" t="e">
        <x:f>IF(A447&lt;=Dashboard!$F$15,B447*Dashboard!$F$6,0)</x:f>
      </x:c>
      <x:c r="E447" s="32" t="e">
        <x:f>IF(A447&lt;=Dashboard!$F$15,MIN(Dashboard!$F$10,B447+D447),0)</x:f>
      </x:c>
      <x:c r="F447" s="32" t="e">
        <x:f>IF(A447&lt;=Dashboard!$F$15,MAX(0,B447-MAX(0,E447-D447)),0)</x:f>
      </x:c>
      <x:c r="G447" s="32" t="e">
        <x:f>IF(A447=1,D447,G446+D447)</x:f>
      </x:c>
      <x:c r="H447" s="32"/>
      <x:c r="I447" s="32" t="e">
        <x:f>IF(A447=1,Dashboard!$F$14,M446)</x:f>
      </x:c>
      <x:c r="J447" s="32" t="e">
        <x:f>IF(A447&lt;=Dashboard!$F$17,MIN(I447,$B$5),0)</x:f>
      </x:c>
      <x:c r="K447" s="32" t="e">
        <x:f>IF(A447&lt;=Dashboard!$F$17,MAX(0,I447-J447)*Dashboard!$F$6,0)</x:f>
      </x:c>
      <x:c r="L447" s="32" t="e">
        <x:f>IF(A447&lt;=Dashboard!$F$17,MIN(Dashboard!$F$10,MAX(0,I447-J447)+K447),0)</x:f>
      </x:c>
      <x:c r="M447" s="32" t="e">
        <x:f>IF(A447&lt;=Dashboard!$F$17,MAX(0,I447-J447-MAX(0,L447-K447)),0)</x:f>
      </x:c>
      <x:c r="N447" s="32" t="e">
        <x:f>IF(A447=1,K447,N446+K447)</x:f>
      </x:c>
      <x:c r="O447" s="32"/>
      <x:c r="P447" s="32" t="e">
        <x:f>IF(A447=1,Dashboard!$F$14,T446)</x:f>
      </x:c>
      <x:c r="Q447" s="32" t="e">
        <x:f>IF(A447&lt;=Dashboard!$F$17,MIN(P447,$B$6*52/12),0)</x:f>
      </x:c>
      <x:c r="R447" s="32" t="e">
        <x:f>IF(A447&lt;=Dashboard!$F$17,MAX(0,P447-Q447)*Dashboard!$F$6,0)</x:f>
      </x:c>
      <x:c r="S447" s="32" t="e">
        <x:f>IF(A447&lt;=Dashboard!$F$17,MIN(Dashboard!$F$10,MAX(0,P447-Q447)+R447),0)</x:f>
      </x:c>
      <x:c r="T447" s="32" t="e">
        <x:f>IF(A447&lt;=Dashboard!$F$17,MAX(0,P447-Q447-MAX(0,S447-R447)),0)</x:f>
      </x:c>
      <x:c r="U447" s="32" t="e">
        <x:f>IF(A447=1,R447,U446+R447)</x:f>
      </x:c>
      <x:c r="V447" s="32"/>
      <x:c r="W447" s="32" t="e">
        <x:f>IF(A447=1,Dashboard!$F$14,AA446)</x:f>
      </x:c>
      <x:c r="X447" s="32" t="e">
        <x:f>IF(AND(A447&lt;=Dashboard!$F$17,MOD(A447-1,12)=0),MIN(W447,$B$7),0)</x:f>
      </x:c>
      <x:c r="Y447" s="32" t="e">
        <x:f>IF(A447&lt;=Dashboard!$F$17,MAX(0,W447-X447)*Dashboard!$F$6,0)</x:f>
      </x:c>
      <x:c r="Z447" s="32" t="e">
        <x:f>IF(A447&lt;=Dashboard!$F$17,MIN(Dashboard!$F$10,MAX(0,W447-X447)+Y447),0)</x:f>
      </x:c>
      <x:c r="AA447" s="32" t="e">
        <x:f>IF(A447&lt;=Dashboard!$F$17,MAX(0,W447-X447-MAX(0,Z447-Y447)),0)</x:f>
      </x:c>
      <x:c r="AB447" s="32" t="e">
        <x:f>IF(A447=1,Y447,AB446+Y447)</x:f>
      </x:c>
      <x:c r="AC447" s="32"/>
      <x:c r="AD447" s="32" t="e">
        <x:f>IF(A447=1,MAX(0,Dashboard!$F$14-$B$8),AG446)</x:f>
      </x:c>
      <x:c r="AE447" s="32" t="n">
        <x:f>0</x:f>
        <x:v>0</x:v>
      </x:c>
      <x:c r="AF447" s="32" t="e">
        <x:f>IF(A447&lt;=Dashboard!$F$17,AD447*Dashboard!$F$6,0)</x:f>
      </x:c>
      <x:c r="AG447" s="32" t="e">
        <x:f>IF(A447&lt;=Dashboard!$F$17,MIN(Dashboard!$F$10,AD447+AF447),0)</x:f>
      </x:c>
      <x:c r="AH447" s="32" t="e">
        <x:f>IF(A447&lt;=Dashboard!$F$17,MAX(0,AD447-MAX(0,AG447-AF447)),0)</x:f>
      </x:c>
      <x:c r="AI447" s="32" t="e">
        <x:f>IF(A447=1,AF447,AI446+AF447)</x:f>
      </x:c>
      <x:c r="AJ447" s="33"/>
      <x:c r="AK447" s="33"/>
      <x:c r="AL447" s="33"/>
      <x:c r="AM447" s="33"/>
    </x:row>
    <x:row r="448">
      <x:c r="A448" s="33" t="n">
        <x:v>436</x:v>
      </x:c>
      <x:c r="B448" s="32" t="e">
        <x:f>IF(A448=1,Dashboard!$F$14,F447)</x:f>
      </x:c>
      <x:c r="C448" s="32" t="n">
        <x:f>0</x:f>
        <x:v>0</x:v>
      </x:c>
      <x:c r="D448" s="32" t="e">
        <x:f>IF(A448&lt;=Dashboard!$F$15,B448*Dashboard!$F$6,0)</x:f>
      </x:c>
      <x:c r="E448" s="32" t="e">
        <x:f>IF(A448&lt;=Dashboard!$F$15,MIN(Dashboard!$F$10,B448+D448),0)</x:f>
      </x:c>
      <x:c r="F448" s="32" t="e">
        <x:f>IF(A448&lt;=Dashboard!$F$15,MAX(0,B448-MAX(0,E448-D448)),0)</x:f>
      </x:c>
      <x:c r="G448" s="32" t="e">
        <x:f>IF(A448=1,D448,G447+D448)</x:f>
      </x:c>
      <x:c r="H448" s="32"/>
      <x:c r="I448" s="32" t="e">
        <x:f>IF(A448=1,Dashboard!$F$14,M447)</x:f>
      </x:c>
      <x:c r="J448" s="32" t="e">
        <x:f>IF(A448&lt;=Dashboard!$F$17,MIN(I448,$B$5),0)</x:f>
      </x:c>
      <x:c r="K448" s="32" t="e">
        <x:f>IF(A448&lt;=Dashboard!$F$17,MAX(0,I448-J448)*Dashboard!$F$6,0)</x:f>
      </x:c>
      <x:c r="L448" s="32" t="e">
        <x:f>IF(A448&lt;=Dashboard!$F$17,MIN(Dashboard!$F$10,MAX(0,I448-J448)+K448),0)</x:f>
      </x:c>
      <x:c r="M448" s="32" t="e">
        <x:f>IF(A448&lt;=Dashboard!$F$17,MAX(0,I448-J448-MAX(0,L448-K448)),0)</x:f>
      </x:c>
      <x:c r="N448" s="32" t="e">
        <x:f>IF(A448=1,K448,N447+K448)</x:f>
      </x:c>
      <x:c r="O448" s="32"/>
      <x:c r="P448" s="32" t="e">
        <x:f>IF(A448=1,Dashboard!$F$14,T447)</x:f>
      </x:c>
      <x:c r="Q448" s="32" t="e">
        <x:f>IF(A448&lt;=Dashboard!$F$17,MIN(P448,$B$6*52/12),0)</x:f>
      </x:c>
      <x:c r="R448" s="32" t="e">
        <x:f>IF(A448&lt;=Dashboard!$F$17,MAX(0,P448-Q448)*Dashboard!$F$6,0)</x:f>
      </x:c>
      <x:c r="S448" s="32" t="e">
        <x:f>IF(A448&lt;=Dashboard!$F$17,MIN(Dashboard!$F$10,MAX(0,P448-Q448)+R448),0)</x:f>
      </x:c>
      <x:c r="T448" s="32" t="e">
        <x:f>IF(A448&lt;=Dashboard!$F$17,MAX(0,P448-Q448-MAX(0,S448-R448)),0)</x:f>
      </x:c>
      <x:c r="U448" s="32" t="e">
        <x:f>IF(A448=1,R448,U447+R448)</x:f>
      </x:c>
      <x:c r="V448" s="32"/>
      <x:c r="W448" s="32" t="e">
        <x:f>IF(A448=1,Dashboard!$F$14,AA447)</x:f>
      </x:c>
      <x:c r="X448" s="32" t="e">
        <x:f>IF(AND(A448&lt;=Dashboard!$F$17,MOD(A448-1,12)=0),MIN(W448,$B$7),0)</x:f>
      </x:c>
      <x:c r="Y448" s="32" t="e">
        <x:f>IF(A448&lt;=Dashboard!$F$17,MAX(0,W448-X448)*Dashboard!$F$6,0)</x:f>
      </x:c>
      <x:c r="Z448" s="32" t="e">
        <x:f>IF(A448&lt;=Dashboard!$F$17,MIN(Dashboard!$F$10,MAX(0,W448-X448)+Y448),0)</x:f>
      </x:c>
      <x:c r="AA448" s="32" t="e">
        <x:f>IF(A448&lt;=Dashboard!$F$17,MAX(0,W448-X448-MAX(0,Z448-Y448)),0)</x:f>
      </x:c>
      <x:c r="AB448" s="32" t="e">
        <x:f>IF(A448=1,Y448,AB447+Y448)</x:f>
      </x:c>
      <x:c r="AC448" s="32"/>
      <x:c r="AD448" s="32" t="e">
        <x:f>IF(A448=1,MAX(0,Dashboard!$F$14-$B$8),AG447)</x:f>
      </x:c>
      <x:c r="AE448" s="32" t="n">
        <x:f>0</x:f>
        <x:v>0</x:v>
      </x:c>
      <x:c r="AF448" s="32" t="e">
        <x:f>IF(A448&lt;=Dashboard!$F$17,AD448*Dashboard!$F$6,0)</x:f>
      </x:c>
      <x:c r="AG448" s="32" t="e">
        <x:f>IF(A448&lt;=Dashboard!$F$17,MIN(Dashboard!$F$10,AD448+AF448),0)</x:f>
      </x:c>
      <x:c r="AH448" s="32" t="e">
        <x:f>IF(A448&lt;=Dashboard!$F$17,MAX(0,AD448-MAX(0,AG448-AF448)),0)</x:f>
      </x:c>
      <x:c r="AI448" s="32" t="e">
        <x:f>IF(A448=1,AF448,AI447+AF448)</x:f>
      </x:c>
      <x:c r="AJ448" s="33"/>
      <x:c r="AK448" s="33"/>
      <x:c r="AL448" s="33"/>
      <x:c r="AM448" s="33"/>
    </x:row>
    <x:row r="449">
      <x:c r="A449" s="33" t="n">
        <x:v>437</x:v>
      </x:c>
      <x:c r="B449" s="32" t="e">
        <x:f>IF(A449=1,Dashboard!$F$14,F448)</x:f>
      </x:c>
      <x:c r="C449" s="32" t="n">
        <x:f>0</x:f>
        <x:v>0</x:v>
      </x:c>
      <x:c r="D449" s="32" t="e">
        <x:f>IF(A449&lt;=Dashboard!$F$15,B449*Dashboard!$F$6,0)</x:f>
      </x:c>
      <x:c r="E449" s="32" t="e">
        <x:f>IF(A449&lt;=Dashboard!$F$15,MIN(Dashboard!$F$10,B449+D449),0)</x:f>
      </x:c>
      <x:c r="F449" s="32" t="e">
        <x:f>IF(A449&lt;=Dashboard!$F$15,MAX(0,B449-MAX(0,E449-D449)),0)</x:f>
      </x:c>
      <x:c r="G449" s="32" t="e">
        <x:f>IF(A449=1,D449,G448+D449)</x:f>
      </x:c>
      <x:c r="H449" s="32"/>
      <x:c r="I449" s="32" t="e">
        <x:f>IF(A449=1,Dashboard!$F$14,M448)</x:f>
      </x:c>
      <x:c r="J449" s="32" t="e">
        <x:f>IF(A449&lt;=Dashboard!$F$17,MIN(I449,$B$5),0)</x:f>
      </x:c>
      <x:c r="K449" s="32" t="e">
        <x:f>IF(A449&lt;=Dashboard!$F$17,MAX(0,I449-J449)*Dashboard!$F$6,0)</x:f>
      </x:c>
      <x:c r="L449" s="32" t="e">
        <x:f>IF(A449&lt;=Dashboard!$F$17,MIN(Dashboard!$F$10,MAX(0,I449-J449)+K449),0)</x:f>
      </x:c>
      <x:c r="M449" s="32" t="e">
        <x:f>IF(A449&lt;=Dashboard!$F$17,MAX(0,I449-J449-MAX(0,L449-K449)),0)</x:f>
      </x:c>
      <x:c r="N449" s="32" t="e">
        <x:f>IF(A449=1,K449,N448+K449)</x:f>
      </x:c>
      <x:c r="O449" s="32"/>
      <x:c r="P449" s="32" t="e">
        <x:f>IF(A449=1,Dashboard!$F$14,T448)</x:f>
      </x:c>
      <x:c r="Q449" s="32" t="e">
        <x:f>IF(A449&lt;=Dashboard!$F$17,MIN(P449,$B$6*52/12),0)</x:f>
      </x:c>
      <x:c r="R449" s="32" t="e">
        <x:f>IF(A449&lt;=Dashboard!$F$17,MAX(0,P449-Q449)*Dashboard!$F$6,0)</x:f>
      </x:c>
      <x:c r="S449" s="32" t="e">
        <x:f>IF(A449&lt;=Dashboard!$F$17,MIN(Dashboard!$F$10,MAX(0,P449-Q449)+R449),0)</x:f>
      </x:c>
      <x:c r="T449" s="32" t="e">
        <x:f>IF(A449&lt;=Dashboard!$F$17,MAX(0,P449-Q449-MAX(0,S449-R449)),0)</x:f>
      </x:c>
      <x:c r="U449" s="32" t="e">
        <x:f>IF(A449=1,R449,U448+R449)</x:f>
      </x:c>
      <x:c r="V449" s="32"/>
      <x:c r="W449" s="32" t="e">
        <x:f>IF(A449=1,Dashboard!$F$14,AA448)</x:f>
      </x:c>
      <x:c r="X449" s="32" t="e">
        <x:f>IF(AND(A449&lt;=Dashboard!$F$17,MOD(A449-1,12)=0),MIN(W449,$B$7),0)</x:f>
      </x:c>
      <x:c r="Y449" s="32" t="e">
        <x:f>IF(A449&lt;=Dashboard!$F$17,MAX(0,W449-X449)*Dashboard!$F$6,0)</x:f>
      </x:c>
      <x:c r="Z449" s="32" t="e">
        <x:f>IF(A449&lt;=Dashboard!$F$17,MIN(Dashboard!$F$10,MAX(0,W449-X449)+Y449),0)</x:f>
      </x:c>
      <x:c r="AA449" s="32" t="e">
        <x:f>IF(A449&lt;=Dashboard!$F$17,MAX(0,W449-X449-MAX(0,Z449-Y449)),0)</x:f>
      </x:c>
      <x:c r="AB449" s="32" t="e">
        <x:f>IF(A449=1,Y449,AB448+Y449)</x:f>
      </x:c>
      <x:c r="AC449" s="32"/>
      <x:c r="AD449" s="32" t="e">
        <x:f>IF(A449=1,MAX(0,Dashboard!$F$14-$B$8),AG448)</x:f>
      </x:c>
      <x:c r="AE449" s="32" t="n">
        <x:f>0</x:f>
        <x:v>0</x:v>
      </x:c>
      <x:c r="AF449" s="32" t="e">
        <x:f>IF(A449&lt;=Dashboard!$F$17,AD449*Dashboard!$F$6,0)</x:f>
      </x:c>
      <x:c r="AG449" s="32" t="e">
        <x:f>IF(A449&lt;=Dashboard!$F$17,MIN(Dashboard!$F$10,AD449+AF449),0)</x:f>
      </x:c>
      <x:c r="AH449" s="32" t="e">
        <x:f>IF(A449&lt;=Dashboard!$F$17,MAX(0,AD449-MAX(0,AG449-AF449)),0)</x:f>
      </x:c>
      <x:c r="AI449" s="32" t="e">
        <x:f>IF(A449=1,AF449,AI448+AF449)</x:f>
      </x:c>
      <x:c r="AJ449" s="33"/>
      <x:c r="AK449" s="33"/>
      <x:c r="AL449" s="33"/>
      <x:c r="AM449" s="33"/>
    </x:row>
    <x:row r="450">
      <x:c r="A450" s="33" t="n">
        <x:v>438</x:v>
      </x:c>
      <x:c r="B450" s="32" t="e">
        <x:f>IF(A450=1,Dashboard!$F$14,F449)</x:f>
      </x:c>
      <x:c r="C450" s="32" t="n">
        <x:f>0</x:f>
        <x:v>0</x:v>
      </x:c>
      <x:c r="D450" s="32" t="e">
        <x:f>IF(A450&lt;=Dashboard!$F$15,B450*Dashboard!$F$6,0)</x:f>
      </x:c>
      <x:c r="E450" s="32" t="e">
        <x:f>IF(A450&lt;=Dashboard!$F$15,MIN(Dashboard!$F$10,B450+D450),0)</x:f>
      </x:c>
      <x:c r="F450" s="32" t="e">
        <x:f>IF(A450&lt;=Dashboard!$F$15,MAX(0,B450-MAX(0,E450-D450)),0)</x:f>
      </x:c>
      <x:c r="G450" s="32" t="e">
        <x:f>IF(A450=1,D450,G449+D450)</x:f>
      </x:c>
      <x:c r="H450" s="32"/>
      <x:c r="I450" s="32" t="e">
        <x:f>IF(A450=1,Dashboard!$F$14,M449)</x:f>
      </x:c>
      <x:c r="J450" s="32" t="e">
        <x:f>IF(A450&lt;=Dashboard!$F$17,MIN(I450,$B$5),0)</x:f>
      </x:c>
      <x:c r="K450" s="32" t="e">
        <x:f>IF(A450&lt;=Dashboard!$F$17,MAX(0,I450-J450)*Dashboard!$F$6,0)</x:f>
      </x:c>
      <x:c r="L450" s="32" t="e">
        <x:f>IF(A450&lt;=Dashboard!$F$17,MIN(Dashboard!$F$10,MAX(0,I450-J450)+K450),0)</x:f>
      </x:c>
      <x:c r="M450" s="32" t="e">
        <x:f>IF(A450&lt;=Dashboard!$F$17,MAX(0,I450-J450-MAX(0,L450-K450)),0)</x:f>
      </x:c>
      <x:c r="N450" s="32" t="e">
        <x:f>IF(A450=1,K450,N449+K450)</x:f>
      </x:c>
      <x:c r="O450" s="32"/>
      <x:c r="P450" s="32" t="e">
        <x:f>IF(A450=1,Dashboard!$F$14,T449)</x:f>
      </x:c>
      <x:c r="Q450" s="32" t="e">
        <x:f>IF(A450&lt;=Dashboard!$F$17,MIN(P450,$B$6*52/12),0)</x:f>
      </x:c>
      <x:c r="R450" s="32" t="e">
        <x:f>IF(A450&lt;=Dashboard!$F$17,MAX(0,P450-Q450)*Dashboard!$F$6,0)</x:f>
      </x:c>
      <x:c r="S450" s="32" t="e">
        <x:f>IF(A450&lt;=Dashboard!$F$17,MIN(Dashboard!$F$10,MAX(0,P450-Q450)+R450),0)</x:f>
      </x:c>
      <x:c r="T450" s="32" t="e">
        <x:f>IF(A450&lt;=Dashboard!$F$17,MAX(0,P450-Q450-MAX(0,S450-R450)),0)</x:f>
      </x:c>
      <x:c r="U450" s="32" t="e">
        <x:f>IF(A450=1,R450,U449+R450)</x:f>
      </x:c>
      <x:c r="V450" s="32"/>
      <x:c r="W450" s="32" t="e">
        <x:f>IF(A450=1,Dashboard!$F$14,AA449)</x:f>
      </x:c>
      <x:c r="X450" s="32" t="e">
        <x:f>IF(AND(A450&lt;=Dashboard!$F$17,MOD(A450-1,12)=0),MIN(W450,$B$7),0)</x:f>
      </x:c>
      <x:c r="Y450" s="32" t="e">
        <x:f>IF(A450&lt;=Dashboard!$F$17,MAX(0,W450-X450)*Dashboard!$F$6,0)</x:f>
      </x:c>
      <x:c r="Z450" s="32" t="e">
        <x:f>IF(A450&lt;=Dashboard!$F$17,MIN(Dashboard!$F$10,MAX(0,W450-X450)+Y450),0)</x:f>
      </x:c>
      <x:c r="AA450" s="32" t="e">
        <x:f>IF(A450&lt;=Dashboard!$F$17,MAX(0,W450-X450-MAX(0,Z450-Y450)),0)</x:f>
      </x:c>
      <x:c r="AB450" s="32" t="e">
        <x:f>IF(A450=1,Y450,AB449+Y450)</x:f>
      </x:c>
      <x:c r="AC450" s="32"/>
      <x:c r="AD450" s="32" t="e">
        <x:f>IF(A450=1,MAX(0,Dashboard!$F$14-$B$8),AG449)</x:f>
      </x:c>
      <x:c r="AE450" s="32" t="n">
        <x:f>0</x:f>
        <x:v>0</x:v>
      </x:c>
      <x:c r="AF450" s="32" t="e">
        <x:f>IF(A450&lt;=Dashboard!$F$17,AD450*Dashboard!$F$6,0)</x:f>
      </x:c>
      <x:c r="AG450" s="32" t="e">
        <x:f>IF(A450&lt;=Dashboard!$F$17,MIN(Dashboard!$F$10,AD450+AF450),0)</x:f>
      </x:c>
      <x:c r="AH450" s="32" t="e">
        <x:f>IF(A450&lt;=Dashboard!$F$17,MAX(0,AD450-MAX(0,AG450-AF450)),0)</x:f>
      </x:c>
      <x:c r="AI450" s="32" t="e">
        <x:f>IF(A450=1,AF450,AI449+AF450)</x:f>
      </x:c>
      <x:c r="AJ450" s="33"/>
      <x:c r="AK450" s="33"/>
      <x:c r="AL450" s="33"/>
      <x:c r="AM450" s="33"/>
    </x:row>
    <x:row r="451">
      <x:c r="A451" s="33" t="n">
        <x:v>439</x:v>
      </x:c>
      <x:c r="B451" s="32" t="e">
        <x:f>IF(A451=1,Dashboard!$F$14,F450)</x:f>
      </x:c>
      <x:c r="C451" s="32" t="n">
        <x:f>0</x:f>
        <x:v>0</x:v>
      </x:c>
      <x:c r="D451" s="32" t="e">
        <x:f>IF(A451&lt;=Dashboard!$F$15,B451*Dashboard!$F$6,0)</x:f>
      </x:c>
      <x:c r="E451" s="32" t="e">
        <x:f>IF(A451&lt;=Dashboard!$F$15,MIN(Dashboard!$F$10,B451+D451),0)</x:f>
      </x:c>
      <x:c r="F451" s="32" t="e">
        <x:f>IF(A451&lt;=Dashboard!$F$15,MAX(0,B451-MAX(0,E451-D451)),0)</x:f>
      </x:c>
      <x:c r="G451" s="32" t="e">
        <x:f>IF(A451=1,D451,G450+D451)</x:f>
      </x:c>
      <x:c r="H451" s="32"/>
      <x:c r="I451" s="32" t="e">
        <x:f>IF(A451=1,Dashboard!$F$14,M450)</x:f>
      </x:c>
      <x:c r="J451" s="32" t="e">
        <x:f>IF(A451&lt;=Dashboard!$F$17,MIN(I451,$B$5),0)</x:f>
      </x:c>
      <x:c r="K451" s="32" t="e">
        <x:f>IF(A451&lt;=Dashboard!$F$17,MAX(0,I451-J451)*Dashboard!$F$6,0)</x:f>
      </x:c>
      <x:c r="L451" s="32" t="e">
        <x:f>IF(A451&lt;=Dashboard!$F$17,MIN(Dashboard!$F$10,MAX(0,I451-J451)+K451),0)</x:f>
      </x:c>
      <x:c r="M451" s="32" t="e">
        <x:f>IF(A451&lt;=Dashboard!$F$17,MAX(0,I451-J451-MAX(0,L451-K451)),0)</x:f>
      </x:c>
      <x:c r="N451" s="32" t="e">
        <x:f>IF(A451=1,K451,N450+K451)</x:f>
      </x:c>
      <x:c r="O451" s="32"/>
      <x:c r="P451" s="32" t="e">
        <x:f>IF(A451=1,Dashboard!$F$14,T450)</x:f>
      </x:c>
      <x:c r="Q451" s="32" t="e">
        <x:f>IF(A451&lt;=Dashboard!$F$17,MIN(P451,$B$6*52/12),0)</x:f>
      </x:c>
      <x:c r="R451" s="32" t="e">
        <x:f>IF(A451&lt;=Dashboard!$F$17,MAX(0,P451-Q451)*Dashboard!$F$6,0)</x:f>
      </x:c>
      <x:c r="S451" s="32" t="e">
        <x:f>IF(A451&lt;=Dashboard!$F$17,MIN(Dashboard!$F$10,MAX(0,P451-Q451)+R451),0)</x:f>
      </x:c>
      <x:c r="T451" s="32" t="e">
        <x:f>IF(A451&lt;=Dashboard!$F$17,MAX(0,P451-Q451-MAX(0,S451-R451)),0)</x:f>
      </x:c>
      <x:c r="U451" s="32" t="e">
        <x:f>IF(A451=1,R451,U450+R451)</x:f>
      </x:c>
      <x:c r="V451" s="32"/>
      <x:c r="W451" s="32" t="e">
        <x:f>IF(A451=1,Dashboard!$F$14,AA450)</x:f>
      </x:c>
      <x:c r="X451" s="32" t="e">
        <x:f>IF(AND(A451&lt;=Dashboard!$F$17,MOD(A451-1,12)=0),MIN(W451,$B$7),0)</x:f>
      </x:c>
      <x:c r="Y451" s="32" t="e">
        <x:f>IF(A451&lt;=Dashboard!$F$17,MAX(0,W451-X451)*Dashboard!$F$6,0)</x:f>
      </x:c>
      <x:c r="Z451" s="32" t="e">
        <x:f>IF(A451&lt;=Dashboard!$F$17,MIN(Dashboard!$F$10,MAX(0,W451-X451)+Y451),0)</x:f>
      </x:c>
      <x:c r="AA451" s="32" t="e">
        <x:f>IF(A451&lt;=Dashboard!$F$17,MAX(0,W451-X451-MAX(0,Z451-Y451)),0)</x:f>
      </x:c>
      <x:c r="AB451" s="32" t="e">
        <x:f>IF(A451=1,Y451,AB450+Y451)</x:f>
      </x:c>
      <x:c r="AC451" s="32"/>
      <x:c r="AD451" s="32" t="e">
        <x:f>IF(A451=1,MAX(0,Dashboard!$F$14-$B$8),AG450)</x:f>
      </x:c>
      <x:c r="AE451" s="32" t="n">
        <x:f>0</x:f>
        <x:v>0</x:v>
      </x:c>
      <x:c r="AF451" s="32" t="e">
        <x:f>IF(A451&lt;=Dashboard!$F$17,AD451*Dashboard!$F$6,0)</x:f>
      </x:c>
      <x:c r="AG451" s="32" t="e">
        <x:f>IF(A451&lt;=Dashboard!$F$17,MIN(Dashboard!$F$10,AD451+AF451),0)</x:f>
      </x:c>
      <x:c r="AH451" s="32" t="e">
        <x:f>IF(A451&lt;=Dashboard!$F$17,MAX(0,AD451-MAX(0,AG451-AF451)),0)</x:f>
      </x:c>
      <x:c r="AI451" s="32" t="e">
        <x:f>IF(A451=1,AF451,AI450+AF451)</x:f>
      </x:c>
      <x:c r="AJ451" s="33"/>
      <x:c r="AK451" s="33"/>
      <x:c r="AL451" s="33"/>
      <x:c r="AM451" s="33"/>
    </x:row>
    <x:row r="452">
      <x:c r="A452" s="33" t="n">
        <x:v>440</x:v>
      </x:c>
      <x:c r="B452" s="32" t="e">
        <x:f>IF(A452=1,Dashboard!$F$14,F451)</x:f>
      </x:c>
      <x:c r="C452" s="32" t="n">
        <x:f>0</x:f>
        <x:v>0</x:v>
      </x:c>
      <x:c r="D452" s="32" t="e">
        <x:f>IF(A452&lt;=Dashboard!$F$15,B452*Dashboard!$F$6,0)</x:f>
      </x:c>
      <x:c r="E452" s="32" t="e">
        <x:f>IF(A452&lt;=Dashboard!$F$15,MIN(Dashboard!$F$10,B452+D452),0)</x:f>
      </x:c>
      <x:c r="F452" s="32" t="e">
        <x:f>IF(A452&lt;=Dashboard!$F$15,MAX(0,B452-MAX(0,E452-D452)),0)</x:f>
      </x:c>
      <x:c r="G452" s="32" t="e">
        <x:f>IF(A452=1,D452,G451+D452)</x:f>
      </x:c>
      <x:c r="H452" s="32"/>
      <x:c r="I452" s="32" t="e">
        <x:f>IF(A452=1,Dashboard!$F$14,M451)</x:f>
      </x:c>
      <x:c r="J452" s="32" t="e">
        <x:f>IF(A452&lt;=Dashboard!$F$17,MIN(I452,$B$5),0)</x:f>
      </x:c>
      <x:c r="K452" s="32" t="e">
        <x:f>IF(A452&lt;=Dashboard!$F$17,MAX(0,I452-J452)*Dashboard!$F$6,0)</x:f>
      </x:c>
      <x:c r="L452" s="32" t="e">
        <x:f>IF(A452&lt;=Dashboard!$F$17,MIN(Dashboard!$F$10,MAX(0,I452-J452)+K452),0)</x:f>
      </x:c>
      <x:c r="M452" s="32" t="e">
        <x:f>IF(A452&lt;=Dashboard!$F$17,MAX(0,I452-J452-MAX(0,L452-K452)),0)</x:f>
      </x:c>
      <x:c r="N452" s="32" t="e">
        <x:f>IF(A452=1,K452,N451+K452)</x:f>
      </x:c>
      <x:c r="O452" s="32"/>
      <x:c r="P452" s="32" t="e">
        <x:f>IF(A452=1,Dashboard!$F$14,T451)</x:f>
      </x:c>
      <x:c r="Q452" s="32" t="e">
        <x:f>IF(A452&lt;=Dashboard!$F$17,MIN(P452,$B$6*52/12),0)</x:f>
      </x:c>
      <x:c r="R452" s="32" t="e">
        <x:f>IF(A452&lt;=Dashboard!$F$17,MAX(0,P452-Q452)*Dashboard!$F$6,0)</x:f>
      </x:c>
      <x:c r="S452" s="32" t="e">
        <x:f>IF(A452&lt;=Dashboard!$F$17,MIN(Dashboard!$F$10,MAX(0,P452-Q452)+R452),0)</x:f>
      </x:c>
      <x:c r="T452" s="32" t="e">
        <x:f>IF(A452&lt;=Dashboard!$F$17,MAX(0,P452-Q452-MAX(0,S452-R452)),0)</x:f>
      </x:c>
      <x:c r="U452" s="32" t="e">
        <x:f>IF(A452=1,R452,U451+R452)</x:f>
      </x:c>
      <x:c r="V452" s="32"/>
      <x:c r="W452" s="32" t="e">
        <x:f>IF(A452=1,Dashboard!$F$14,AA451)</x:f>
      </x:c>
      <x:c r="X452" s="32" t="e">
        <x:f>IF(AND(A452&lt;=Dashboard!$F$17,MOD(A452-1,12)=0),MIN(W452,$B$7),0)</x:f>
      </x:c>
      <x:c r="Y452" s="32" t="e">
        <x:f>IF(A452&lt;=Dashboard!$F$17,MAX(0,W452-X452)*Dashboard!$F$6,0)</x:f>
      </x:c>
      <x:c r="Z452" s="32" t="e">
        <x:f>IF(A452&lt;=Dashboard!$F$17,MIN(Dashboard!$F$10,MAX(0,W452-X452)+Y452),0)</x:f>
      </x:c>
      <x:c r="AA452" s="32" t="e">
        <x:f>IF(A452&lt;=Dashboard!$F$17,MAX(0,W452-X452-MAX(0,Z452-Y452)),0)</x:f>
      </x:c>
      <x:c r="AB452" s="32" t="e">
        <x:f>IF(A452=1,Y452,AB451+Y452)</x:f>
      </x:c>
      <x:c r="AC452" s="32"/>
      <x:c r="AD452" s="32" t="e">
        <x:f>IF(A452=1,MAX(0,Dashboard!$F$14-$B$8),AG451)</x:f>
      </x:c>
      <x:c r="AE452" s="32" t="n">
        <x:f>0</x:f>
        <x:v>0</x:v>
      </x:c>
      <x:c r="AF452" s="32" t="e">
        <x:f>IF(A452&lt;=Dashboard!$F$17,AD452*Dashboard!$F$6,0)</x:f>
      </x:c>
      <x:c r="AG452" s="32" t="e">
        <x:f>IF(A452&lt;=Dashboard!$F$17,MIN(Dashboard!$F$10,AD452+AF452),0)</x:f>
      </x:c>
      <x:c r="AH452" s="32" t="e">
        <x:f>IF(A452&lt;=Dashboard!$F$17,MAX(0,AD452-MAX(0,AG452-AF452)),0)</x:f>
      </x:c>
      <x:c r="AI452" s="32" t="e">
        <x:f>IF(A452=1,AF452,AI451+AF452)</x:f>
      </x:c>
      <x:c r="AJ452" s="33"/>
      <x:c r="AK452" s="33"/>
      <x:c r="AL452" s="33"/>
      <x:c r="AM452" s="33"/>
    </x:row>
    <x:row r="453">
      <x:c r="A453" s="33" t="n">
        <x:v>441</x:v>
      </x:c>
      <x:c r="B453" s="32" t="e">
        <x:f>IF(A453=1,Dashboard!$F$14,F452)</x:f>
      </x:c>
      <x:c r="C453" s="32" t="n">
        <x:f>0</x:f>
        <x:v>0</x:v>
      </x:c>
      <x:c r="D453" s="32" t="e">
        <x:f>IF(A453&lt;=Dashboard!$F$15,B453*Dashboard!$F$6,0)</x:f>
      </x:c>
      <x:c r="E453" s="32" t="e">
        <x:f>IF(A453&lt;=Dashboard!$F$15,MIN(Dashboard!$F$10,B453+D453),0)</x:f>
      </x:c>
      <x:c r="F453" s="32" t="e">
        <x:f>IF(A453&lt;=Dashboard!$F$15,MAX(0,B453-MAX(0,E453-D453)),0)</x:f>
      </x:c>
      <x:c r="G453" s="32" t="e">
        <x:f>IF(A453=1,D453,G452+D453)</x:f>
      </x:c>
      <x:c r="H453" s="32"/>
      <x:c r="I453" s="32" t="e">
        <x:f>IF(A453=1,Dashboard!$F$14,M452)</x:f>
      </x:c>
      <x:c r="J453" s="32" t="e">
        <x:f>IF(A453&lt;=Dashboard!$F$17,MIN(I453,$B$5),0)</x:f>
      </x:c>
      <x:c r="K453" s="32" t="e">
        <x:f>IF(A453&lt;=Dashboard!$F$17,MAX(0,I453-J453)*Dashboard!$F$6,0)</x:f>
      </x:c>
      <x:c r="L453" s="32" t="e">
        <x:f>IF(A453&lt;=Dashboard!$F$17,MIN(Dashboard!$F$10,MAX(0,I453-J453)+K453),0)</x:f>
      </x:c>
      <x:c r="M453" s="32" t="e">
        <x:f>IF(A453&lt;=Dashboard!$F$17,MAX(0,I453-J453-MAX(0,L453-K453)),0)</x:f>
      </x:c>
      <x:c r="N453" s="32" t="e">
        <x:f>IF(A453=1,K453,N452+K453)</x:f>
      </x:c>
      <x:c r="O453" s="32"/>
      <x:c r="P453" s="32" t="e">
        <x:f>IF(A453=1,Dashboard!$F$14,T452)</x:f>
      </x:c>
      <x:c r="Q453" s="32" t="e">
        <x:f>IF(A453&lt;=Dashboard!$F$17,MIN(P453,$B$6*52/12),0)</x:f>
      </x:c>
      <x:c r="R453" s="32" t="e">
        <x:f>IF(A453&lt;=Dashboard!$F$17,MAX(0,P453-Q453)*Dashboard!$F$6,0)</x:f>
      </x:c>
      <x:c r="S453" s="32" t="e">
        <x:f>IF(A453&lt;=Dashboard!$F$17,MIN(Dashboard!$F$10,MAX(0,P453-Q453)+R453),0)</x:f>
      </x:c>
      <x:c r="T453" s="32" t="e">
        <x:f>IF(A453&lt;=Dashboard!$F$17,MAX(0,P453-Q453-MAX(0,S453-R453)),0)</x:f>
      </x:c>
      <x:c r="U453" s="32" t="e">
        <x:f>IF(A453=1,R453,U452+R453)</x:f>
      </x:c>
      <x:c r="V453" s="32"/>
      <x:c r="W453" s="32" t="e">
        <x:f>IF(A453=1,Dashboard!$F$14,AA452)</x:f>
      </x:c>
      <x:c r="X453" s="32" t="e">
        <x:f>IF(AND(A453&lt;=Dashboard!$F$17,MOD(A453-1,12)=0),MIN(W453,$B$7),0)</x:f>
      </x:c>
      <x:c r="Y453" s="32" t="e">
        <x:f>IF(A453&lt;=Dashboard!$F$17,MAX(0,W453-X453)*Dashboard!$F$6,0)</x:f>
      </x:c>
      <x:c r="Z453" s="32" t="e">
        <x:f>IF(A453&lt;=Dashboard!$F$17,MIN(Dashboard!$F$10,MAX(0,W453-X453)+Y453),0)</x:f>
      </x:c>
      <x:c r="AA453" s="32" t="e">
        <x:f>IF(A453&lt;=Dashboard!$F$17,MAX(0,W453-X453-MAX(0,Z453-Y453)),0)</x:f>
      </x:c>
      <x:c r="AB453" s="32" t="e">
        <x:f>IF(A453=1,Y453,AB452+Y453)</x:f>
      </x:c>
      <x:c r="AC453" s="32"/>
      <x:c r="AD453" s="32" t="e">
        <x:f>IF(A453=1,MAX(0,Dashboard!$F$14-$B$8),AG452)</x:f>
      </x:c>
      <x:c r="AE453" s="32" t="n">
        <x:f>0</x:f>
        <x:v>0</x:v>
      </x:c>
      <x:c r="AF453" s="32" t="e">
        <x:f>IF(A453&lt;=Dashboard!$F$17,AD453*Dashboard!$F$6,0)</x:f>
      </x:c>
      <x:c r="AG453" s="32" t="e">
        <x:f>IF(A453&lt;=Dashboard!$F$17,MIN(Dashboard!$F$10,AD453+AF453),0)</x:f>
      </x:c>
      <x:c r="AH453" s="32" t="e">
        <x:f>IF(A453&lt;=Dashboard!$F$17,MAX(0,AD453-MAX(0,AG453-AF453)),0)</x:f>
      </x:c>
      <x:c r="AI453" s="32" t="e">
        <x:f>IF(A453=1,AF453,AI452+AF453)</x:f>
      </x:c>
      <x:c r="AJ453" s="33"/>
      <x:c r="AK453" s="33"/>
      <x:c r="AL453" s="33"/>
      <x:c r="AM453" s="33"/>
    </x:row>
    <x:row r="454">
      <x:c r="A454" s="33" t="n">
        <x:v>442</x:v>
      </x:c>
      <x:c r="B454" s="32" t="e">
        <x:f>IF(A454=1,Dashboard!$F$14,F453)</x:f>
      </x:c>
      <x:c r="C454" s="32" t="n">
        <x:f>0</x:f>
        <x:v>0</x:v>
      </x:c>
      <x:c r="D454" s="32" t="e">
        <x:f>IF(A454&lt;=Dashboard!$F$15,B454*Dashboard!$F$6,0)</x:f>
      </x:c>
      <x:c r="E454" s="32" t="e">
        <x:f>IF(A454&lt;=Dashboard!$F$15,MIN(Dashboard!$F$10,B454+D454),0)</x:f>
      </x:c>
      <x:c r="F454" s="32" t="e">
        <x:f>IF(A454&lt;=Dashboard!$F$15,MAX(0,B454-MAX(0,E454-D454)),0)</x:f>
      </x:c>
      <x:c r="G454" s="32" t="e">
        <x:f>IF(A454=1,D454,G453+D454)</x:f>
      </x:c>
      <x:c r="H454" s="32"/>
      <x:c r="I454" s="32" t="e">
        <x:f>IF(A454=1,Dashboard!$F$14,M453)</x:f>
      </x:c>
      <x:c r="J454" s="32" t="e">
        <x:f>IF(A454&lt;=Dashboard!$F$17,MIN(I454,$B$5),0)</x:f>
      </x:c>
      <x:c r="K454" s="32" t="e">
        <x:f>IF(A454&lt;=Dashboard!$F$17,MAX(0,I454-J454)*Dashboard!$F$6,0)</x:f>
      </x:c>
      <x:c r="L454" s="32" t="e">
        <x:f>IF(A454&lt;=Dashboard!$F$17,MIN(Dashboard!$F$10,MAX(0,I454-J454)+K454),0)</x:f>
      </x:c>
      <x:c r="M454" s="32" t="e">
        <x:f>IF(A454&lt;=Dashboard!$F$17,MAX(0,I454-J454-MAX(0,L454-K454)),0)</x:f>
      </x:c>
      <x:c r="N454" s="32" t="e">
        <x:f>IF(A454=1,K454,N453+K454)</x:f>
      </x:c>
      <x:c r="O454" s="32"/>
      <x:c r="P454" s="32" t="e">
        <x:f>IF(A454=1,Dashboard!$F$14,T453)</x:f>
      </x:c>
      <x:c r="Q454" s="32" t="e">
        <x:f>IF(A454&lt;=Dashboard!$F$17,MIN(P454,$B$6*52/12),0)</x:f>
      </x:c>
      <x:c r="R454" s="32" t="e">
        <x:f>IF(A454&lt;=Dashboard!$F$17,MAX(0,P454-Q454)*Dashboard!$F$6,0)</x:f>
      </x:c>
      <x:c r="S454" s="32" t="e">
        <x:f>IF(A454&lt;=Dashboard!$F$17,MIN(Dashboard!$F$10,MAX(0,P454-Q454)+R454),0)</x:f>
      </x:c>
      <x:c r="T454" s="32" t="e">
        <x:f>IF(A454&lt;=Dashboard!$F$17,MAX(0,P454-Q454-MAX(0,S454-R454)),0)</x:f>
      </x:c>
      <x:c r="U454" s="32" t="e">
        <x:f>IF(A454=1,R454,U453+R454)</x:f>
      </x:c>
      <x:c r="V454" s="32"/>
      <x:c r="W454" s="32" t="e">
        <x:f>IF(A454=1,Dashboard!$F$14,AA453)</x:f>
      </x:c>
      <x:c r="X454" s="32" t="e">
        <x:f>IF(AND(A454&lt;=Dashboard!$F$17,MOD(A454-1,12)=0),MIN(W454,$B$7),0)</x:f>
      </x:c>
      <x:c r="Y454" s="32" t="e">
        <x:f>IF(A454&lt;=Dashboard!$F$17,MAX(0,W454-X454)*Dashboard!$F$6,0)</x:f>
      </x:c>
      <x:c r="Z454" s="32" t="e">
        <x:f>IF(A454&lt;=Dashboard!$F$17,MIN(Dashboard!$F$10,MAX(0,W454-X454)+Y454),0)</x:f>
      </x:c>
      <x:c r="AA454" s="32" t="e">
        <x:f>IF(A454&lt;=Dashboard!$F$17,MAX(0,W454-X454-MAX(0,Z454-Y454)),0)</x:f>
      </x:c>
      <x:c r="AB454" s="32" t="e">
        <x:f>IF(A454=1,Y454,AB453+Y454)</x:f>
      </x:c>
      <x:c r="AC454" s="32"/>
      <x:c r="AD454" s="32" t="e">
        <x:f>IF(A454=1,MAX(0,Dashboard!$F$14-$B$8),AG453)</x:f>
      </x:c>
      <x:c r="AE454" s="32" t="n">
        <x:f>0</x:f>
        <x:v>0</x:v>
      </x:c>
      <x:c r="AF454" s="32" t="e">
        <x:f>IF(A454&lt;=Dashboard!$F$17,AD454*Dashboard!$F$6,0)</x:f>
      </x:c>
      <x:c r="AG454" s="32" t="e">
        <x:f>IF(A454&lt;=Dashboard!$F$17,MIN(Dashboard!$F$10,AD454+AF454),0)</x:f>
      </x:c>
      <x:c r="AH454" s="32" t="e">
        <x:f>IF(A454&lt;=Dashboard!$F$17,MAX(0,AD454-MAX(0,AG454-AF454)),0)</x:f>
      </x:c>
      <x:c r="AI454" s="32" t="e">
        <x:f>IF(A454=1,AF454,AI453+AF454)</x:f>
      </x:c>
      <x:c r="AJ454" s="33"/>
      <x:c r="AK454" s="33"/>
      <x:c r="AL454" s="33"/>
      <x:c r="AM454" s="33"/>
    </x:row>
    <x:row r="455">
      <x:c r="A455" s="33" t="n">
        <x:v>443</x:v>
      </x:c>
      <x:c r="B455" s="32" t="e">
        <x:f>IF(A455=1,Dashboard!$F$14,F454)</x:f>
      </x:c>
      <x:c r="C455" s="32" t="n">
        <x:f>0</x:f>
        <x:v>0</x:v>
      </x:c>
      <x:c r="D455" s="32" t="e">
        <x:f>IF(A455&lt;=Dashboard!$F$15,B455*Dashboard!$F$6,0)</x:f>
      </x:c>
      <x:c r="E455" s="32" t="e">
        <x:f>IF(A455&lt;=Dashboard!$F$15,MIN(Dashboard!$F$10,B455+D455),0)</x:f>
      </x:c>
      <x:c r="F455" s="32" t="e">
        <x:f>IF(A455&lt;=Dashboard!$F$15,MAX(0,B455-MAX(0,E455-D455)),0)</x:f>
      </x:c>
      <x:c r="G455" s="32" t="e">
        <x:f>IF(A455=1,D455,G454+D455)</x:f>
      </x:c>
      <x:c r="H455" s="32"/>
      <x:c r="I455" s="32" t="e">
        <x:f>IF(A455=1,Dashboard!$F$14,M454)</x:f>
      </x:c>
      <x:c r="J455" s="32" t="e">
        <x:f>IF(A455&lt;=Dashboard!$F$17,MIN(I455,$B$5),0)</x:f>
      </x:c>
      <x:c r="K455" s="32" t="e">
        <x:f>IF(A455&lt;=Dashboard!$F$17,MAX(0,I455-J455)*Dashboard!$F$6,0)</x:f>
      </x:c>
      <x:c r="L455" s="32" t="e">
        <x:f>IF(A455&lt;=Dashboard!$F$17,MIN(Dashboard!$F$10,MAX(0,I455-J455)+K455),0)</x:f>
      </x:c>
      <x:c r="M455" s="32" t="e">
        <x:f>IF(A455&lt;=Dashboard!$F$17,MAX(0,I455-J455-MAX(0,L455-K455)),0)</x:f>
      </x:c>
      <x:c r="N455" s="32" t="e">
        <x:f>IF(A455=1,K455,N454+K455)</x:f>
      </x:c>
      <x:c r="O455" s="32"/>
      <x:c r="P455" s="32" t="e">
        <x:f>IF(A455=1,Dashboard!$F$14,T454)</x:f>
      </x:c>
      <x:c r="Q455" s="32" t="e">
        <x:f>IF(A455&lt;=Dashboard!$F$17,MIN(P455,$B$6*52/12),0)</x:f>
      </x:c>
      <x:c r="R455" s="32" t="e">
        <x:f>IF(A455&lt;=Dashboard!$F$17,MAX(0,P455-Q455)*Dashboard!$F$6,0)</x:f>
      </x:c>
      <x:c r="S455" s="32" t="e">
        <x:f>IF(A455&lt;=Dashboard!$F$17,MIN(Dashboard!$F$10,MAX(0,P455-Q455)+R455),0)</x:f>
      </x:c>
      <x:c r="T455" s="32" t="e">
        <x:f>IF(A455&lt;=Dashboard!$F$17,MAX(0,P455-Q455-MAX(0,S455-R455)),0)</x:f>
      </x:c>
      <x:c r="U455" s="32" t="e">
        <x:f>IF(A455=1,R455,U454+R455)</x:f>
      </x:c>
      <x:c r="V455" s="32"/>
      <x:c r="W455" s="32" t="e">
        <x:f>IF(A455=1,Dashboard!$F$14,AA454)</x:f>
      </x:c>
      <x:c r="X455" s="32" t="e">
        <x:f>IF(AND(A455&lt;=Dashboard!$F$17,MOD(A455-1,12)=0),MIN(W455,$B$7),0)</x:f>
      </x:c>
      <x:c r="Y455" s="32" t="e">
        <x:f>IF(A455&lt;=Dashboard!$F$17,MAX(0,W455-X455)*Dashboard!$F$6,0)</x:f>
      </x:c>
      <x:c r="Z455" s="32" t="e">
        <x:f>IF(A455&lt;=Dashboard!$F$17,MIN(Dashboard!$F$10,MAX(0,W455-X455)+Y455),0)</x:f>
      </x:c>
      <x:c r="AA455" s="32" t="e">
        <x:f>IF(A455&lt;=Dashboard!$F$17,MAX(0,W455-X455-MAX(0,Z455-Y455)),0)</x:f>
      </x:c>
      <x:c r="AB455" s="32" t="e">
        <x:f>IF(A455=1,Y455,AB454+Y455)</x:f>
      </x:c>
      <x:c r="AC455" s="32"/>
      <x:c r="AD455" s="32" t="e">
        <x:f>IF(A455=1,MAX(0,Dashboard!$F$14-$B$8),AG454)</x:f>
      </x:c>
      <x:c r="AE455" s="32" t="n">
        <x:f>0</x:f>
        <x:v>0</x:v>
      </x:c>
      <x:c r="AF455" s="32" t="e">
        <x:f>IF(A455&lt;=Dashboard!$F$17,AD455*Dashboard!$F$6,0)</x:f>
      </x:c>
      <x:c r="AG455" s="32" t="e">
        <x:f>IF(A455&lt;=Dashboard!$F$17,MIN(Dashboard!$F$10,AD455+AF455),0)</x:f>
      </x:c>
      <x:c r="AH455" s="32" t="e">
        <x:f>IF(A455&lt;=Dashboard!$F$17,MAX(0,AD455-MAX(0,AG455-AF455)),0)</x:f>
      </x:c>
      <x:c r="AI455" s="32" t="e">
        <x:f>IF(A455=1,AF455,AI454+AF455)</x:f>
      </x:c>
      <x:c r="AJ455" s="33"/>
      <x:c r="AK455" s="33"/>
      <x:c r="AL455" s="33"/>
      <x:c r="AM455" s="33"/>
    </x:row>
    <x:row r="456">
      <x:c r="A456" s="33" t="n">
        <x:v>444</x:v>
      </x:c>
      <x:c r="B456" s="32" t="e">
        <x:f>IF(A456=1,Dashboard!$F$14,F455)</x:f>
      </x:c>
      <x:c r="C456" s="32" t="n">
        <x:f>0</x:f>
        <x:v>0</x:v>
      </x:c>
      <x:c r="D456" s="32" t="e">
        <x:f>IF(A456&lt;=Dashboard!$F$15,B456*Dashboard!$F$6,0)</x:f>
      </x:c>
      <x:c r="E456" s="32" t="e">
        <x:f>IF(A456&lt;=Dashboard!$F$15,MIN(Dashboard!$F$10,B456+D456),0)</x:f>
      </x:c>
      <x:c r="F456" s="32" t="e">
        <x:f>IF(A456&lt;=Dashboard!$F$15,MAX(0,B456-MAX(0,E456-D456)),0)</x:f>
      </x:c>
      <x:c r="G456" s="32" t="e">
        <x:f>IF(A456=1,D456,G455+D456)</x:f>
      </x:c>
      <x:c r="H456" s="32"/>
      <x:c r="I456" s="32" t="e">
        <x:f>IF(A456=1,Dashboard!$F$14,M455)</x:f>
      </x:c>
      <x:c r="J456" s="32" t="e">
        <x:f>IF(A456&lt;=Dashboard!$F$17,MIN(I456,$B$5),0)</x:f>
      </x:c>
      <x:c r="K456" s="32" t="e">
        <x:f>IF(A456&lt;=Dashboard!$F$17,MAX(0,I456-J456)*Dashboard!$F$6,0)</x:f>
      </x:c>
      <x:c r="L456" s="32" t="e">
        <x:f>IF(A456&lt;=Dashboard!$F$17,MIN(Dashboard!$F$10,MAX(0,I456-J456)+K456),0)</x:f>
      </x:c>
      <x:c r="M456" s="32" t="e">
        <x:f>IF(A456&lt;=Dashboard!$F$17,MAX(0,I456-J456-MAX(0,L456-K456)),0)</x:f>
      </x:c>
      <x:c r="N456" s="32" t="e">
        <x:f>IF(A456=1,K456,N455+K456)</x:f>
      </x:c>
      <x:c r="O456" s="32"/>
      <x:c r="P456" s="32" t="e">
        <x:f>IF(A456=1,Dashboard!$F$14,T455)</x:f>
      </x:c>
      <x:c r="Q456" s="32" t="e">
        <x:f>IF(A456&lt;=Dashboard!$F$17,MIN(P456,$B$6*52/12),0)</x:f>
      </x:c>
      <x:c r="R456" s="32" t="e">
        <x:f>IF(A456&lt;=Dashboard!$F$17,MAX(0,P456-Q456)*Dashboard!$F$6,0)</x:f>
      </x:c>
      <x:c r="S456" s="32" t="e">
        <x:f>IF(A456&lt;=Dashboard!$F$17,MIN(Dashboard!$F$10,MAX(0,P456-Q456)+R456),0)</x:f>
      </x:c>
      <x:c r="T456" s="32" t="e">
        <x:f>IF(A456&lt;=Dashboard!$F$17,MAX(0,P456-Q456-MAX(0,S456-R456)),0)</x:f>
      </x:c>
      <x:c r="U456" s="32" t="e">
        <x:f>IF(A456=1,R456,U455+R456)</x:f>
      </x:c>
      <x:c r="V456" s="32"/>
      <x:c r="W456" s="32" t="e">
        <x:f>IF(A456=1,Dashboard!$F$14,AA455)</x:f>
      </x:c>
      <x:c r="X456" s="32" t="e">
        <x:f>IF(AND(A456&lt;=Dashboard!$F$17,MOD(A456-1,12)=0),MIN(W456,$B$7),0)</x:f>
      </x:c>
      <x:c r="Y456" s="32" t="e">
        <x:f>IF(A456&lt;=Dashboard!$F$17,MAX(0,W456-X456)*Dashboard!$F$6,0)</x:f>
      </x:c>
      <x:c r="Z456" s="32" t="e">
        <x:f>IF(A456&lt;=Dashboard!$F$17,MIN(Dashboard!$F$10,MAX(0,W456-X456)+Y456),0)</x:f>
      </x:c>
      <x:c r="AA456" s="32" t="e">
        <x:f>IF(A456&lt;=Dashboard!$F$17,MAX(0,W456-X456-MAX(0,Z456-Y456)),0)</x:f>
      </x:c>
      <x:c r="AB456" s="32" t="e">
        <x:f>IF(A456=1,Y456,AB455+Y456)</x:f>
      </x:c>
      <x:c r="AC456" s="32"/>
      <x:c r="AD456" s="32" t="e">
        <x:f>IF(A456=1,MAX(0,Dashboard!$F$14-$B$8),AG455)</x:f>
      </x:c>
      <x:c r="AE456" s="32" t="n">
        <x:f>0</x:f>
        <x:v>0</x:v>
      </x:c>
      <x:c r="AF456" s="32" t="e">
        <x:f>IF(A456&lt;=Dashboard!$F$17,AD456*Dashboard!$F$6,0)</x:f>
      </x:c>
      <x:c r="AG456" s="32" t="e">
        <x:f>IF(A456&lt;=Dashboard!$F$17,MIN(Dashboard!$F$10,AD456+AF456),0)</x:f>
      </x:c>
      <x:c r="AH456" s="32" t="e">
        <x:f>IF(A456&lt;=Dashboard!$F$17,MAX(0,AD456-MAX(0,AG456-AF456)),0)</x:f>
      </x:c>
      <x:c r="AI456" s="32" t="e">
        <x:f>IF(A456=1,AF456,AI455+AF456)</x:f>
      </x:c>
      <x:c r="AJ456" s="33"/>
      <x:c r="AK456" s="33"/>
      <x:c r="AL456" s="33"/>
      <x:c r="AM456" s="33"/>
    </x:row>
    <x:row r="457">
      <x:c r="A457" s="33" t="n">
        <x:v>445</x:v>
      </x:c>
      <x:c r="B457" s="32" t="e">
        <x:f>IF(A457=1,Dashboard!$F$14,F456)</x:f>
      </x:c>
      <x:c r="C457" s="32" t="n">
        <x:f>0</x:f>
        <x:v>0</x:v>
      </x:c>
      <x:c r="D457" s="32" t="e">
        <x:f>IF(A457&lt;=Dashboard!$F$15,B457*Dashboard!$F$6,0)</x:f>
      </x:c>
      <x:c r="E457" s="32" t="e">
        <x:f>IF(A457&lt;=Dashboard!$F$15,MIN(Dashboard!$F$10,B457+D457),0)</x:f>
      </x:c>
      <x:c r="F457" s="32" t="e">
        <x:f>IF(A457&lt;=Dashboard!$F$15,MAX(0,B457-MAX(0,E457-D457)),0)</x:f>
      </x:c>
      <x:c r="G457" s="32" t="e">
        <x:f>IF(A457=1,D457,G456+D457)</x:f>
      </x:c>
      <x:c r="H457" s="32"/>
      <x:c r="I457" s="32" t="e">
        <x:f>IF(A457=1,Dashboard!$F$14,M456)</x:f>
      </x:c>
      <x:c r="J457" s="32" t="e">
        <x:f>IF(A457&lt;=Dashboard!$F$17,MIN(I457,$B$5),0)</x:f>
      </x:c>
      <x:c r="K457" s="32" t="e">
        <x:f>IF(A457&lt;=Dashboard!$F$17,MAX(0,I457-J457)*Dashboard!$F$6,0)</x:f>
      </x:c>
      <x:c r="L457" s="32" t="e">
        <x:f>IF(A457&lt;=Dashboard!$F$17,MIN(Dashboard!$F$10,MAX(0,I457-J457)+K457),0)</x:f>
      </x:c>
      <x:c r="M457" s="32" t="e">
        <x:f>IF(A457&lt;=Dashboard!$F$17,MAX(0,I457-J457-MAX(0,L457-K457)),0)</x:f>
      </x:c>
      <x:c r="N457" s="32" t="e">
        <x:f>IF(A457=1,K457,N456+K457)</x:f>
      </x:c>
      <x:c r="O457" s="32"/>
      <x:c r="P457" s="32" t="e">
        <x:f>IF(A457=1,Dashboard!$F$14,T456)</x:f>
      </x:c>
      <x:c r="Q457" s="32" t="e">
        <x:f>IF(A457&lt;=Dashboard!$F$17,MIN(P457,$B$6*52/12),0)</x:f>
      </x:c>
      <x:c r="R457" s="32" t="e">
        <x:f>IF(A457&lt;=Dashboard!$F$17,MAX(0,P457-Q457)*Dashboard!$F$6,0)</x:f>
      </x:c>
      <x:c r="S457" s="32" t="e">
        <x:f>IF(A457&lt;=Dashboard!$F$17,MIN(Dashboard!$F$10,MAX(0,P457-Q457)+R457),0)</x:f>
      </x:c>
      <x:c r="T457" s="32" t="e">
        <x:f>IF(A457&lt;=Dashboard!$F$17,MAX(0,P457-Q457-MAX(0,S457-R457)),0)</x:f>
      </x:c>
      <x:c r="U457" s="32" t="e">
        <x:f>IF(A457=1,R457,U456+R457)</x:f>
      </x:c>
      <x:c r="V457" s="32"/>
      <x:c r="W457" s="32" t="e">
        <x:f>IF(A457=1,Dashboard!$F$14,AA456)</x:f>
      </x:c>
      <x:c r="X457" s="32" t="e">
        <x:f>IF(AND(A457&lt;=Dashboard!$F$17,MOD(A457-1,12)=0),MIN(W457,$B$7),0)</x:f>
      </x:c>
      <x:c r="Y457" s="32" t="e">
        <x:f>IF(A457&lt;=Dashboard!$F$17,MAX(0,W457-X457)*Dashboard!$F$6,0)</x:f>
      </x:c>
      <x:c r="Z457" s="32" t="e">
        <x:f>IF(A457&lt;=Dashboard!$F$17,MIN(Dashboard!$F$10,MAX(0,W457-X457)+Y457),0)</x:f>
      </x:c>
      <x:c r="AA457" s="32" t="e">
        <x:f>IF(A457&lt;=Dashboard!$F$17,MAX(0,W457-X457-MAX(0,Z457-Y457)),0)</x:f>
      </x:c>
      <x:c r="AB457" s="32" t="e">
        <x:f>IF(A457=1,Y457,AB456+Y457)</x:f>
      </x:c>
      <x:c r="AC457" s="32"/>
      <x:c r="AD457" s="32" t="e">
        <x:f>IF(A457=1,MAX(0,Dashboard!$F$14-$B$8),AG456)</x:f>
      </x:c>
      <x:c r="AE457" s="32" t="n">
        <x:f>0</x:f>
        <x:v>0</x:v>
      </x:c>
      <x:c r="AF457" s="32" t="e">
        <x:f>IF(A457&lt;=Dashboard!$F$17,AD457*Dashboard!$F$6,0)</x:f>
      </x:c>
      <x:c r="AG457" s="32" t="e">
        <x:f>IF(A457&lt;=Dashboard!$F$17,MIN(Dashboard!$F$10,AD457+AF457),0)</x:f>
      </x:c>
      <x:c r="AH457" s="32" t="e">
        <x:f>IF(A457&lt;=Dashboard!$F$17,MAX(0,AD457-MAX(0,AG457-AF457)),0)</x:f>
      </x:c>
      <x:c r="AI457" s="32" t="e">
        <x:f>IF(A457=1,AF457,AI456+AF457)</x:f>
      </x:c>
      <x:c r="AJ457" s="33"/>
      <x:c r="AK457" s="33"/>
      <x:c r="AL457" s="33"/>
      <x:c r="AM457" s="33"/>
    </x:row>
    <x:row r="458">
      <x:c r="A458" s="33" t="n">
        <x:v>446</x:v>
      </x:c>
      <x:c r="B458" s="32" t="e">
        <x:f>IF(A458=1,Dashboard!$F$14,F457)</x:f>
      </x:c>
      <x:c r="C458" s="32" t="n">
        <x:f>0</x:f>
        <x:v>0</x:v>
      </x:c>
      <x:c r="D458" s="32" t="e">
        <x:f>IF(A458&lt;=Dashboard!$F$15,B458*Dashboard!$F$6,0)</x:f>
      </x:c>
      <x:c r="E458" s="32" t="e">
        <x:f>IF(A458&lt;=Dashboard!$F$15,MIN(Dashboard!$F$10,B458+D458),0)</x:f>
      </x:c>
      <x:c r="F458" s="32" t="e">
        <x:f>IF(A458&lt;=Dashboard!$F$15,MAX(0,B458-MAX(0,E458-D458)),0)</x:f>
      </x:c>
      <x:c r="G458" s="32" t="e">
        <x:f>IF(A458=1,D458,G457+D458)</x:f>
      </x:c>
      <x:c r="H458" s="32"/>
      <x:c r="I458" s="32" t="e">
        <x:f>IF(A458=1,Dashboard!$F$14,M457)</x:f>
      </x:c>
      <x:c r="J458" s="32" t="e">
        <x:f>IF(A458&lt;=Dashboard!$F$17,MIN(I458,$B$5),0)</x:f>
      </x:c>
      <x:c r="K458" s="32" t="e">
        <x:f>IF(A458&lt;=Dashboard!$F$17,MAX(0,I458-J458)*Dashboard!$F$6,0)</x:f>
      </x:c>
      <x:c r="L458" s="32" t="e">
        <x:f>IF(A458&lt;=Dashboard!$F$17,MIN(Dashboard!$F$10,MAX(0,I458-J458)+K458),0)</x:f>
      </x:c>
      <x:c r="M458" s="32" t="e">
        <x:f>IF(A458&lt;=Dashboard!$F$17,MAX(0,I458-J458-MAX(0,L458-K458)),0)</x:f>
      </x:c>
      <x:c r="N458" s="32" t="e">
        <x:f>IF(A458=1,K458,N457+K458)</x:f>
      </x:c>
      <x:c r="O458" s="32"/>
      <x:c r="P458" s="32" t="e">
        <x:f>IF(A458=1,Dashboard!$F$14,T457)</x:f>
      </x:c>
      <x:c r="Q458" s="32" t="e">
        <x:f>IF(A458&lt;=Dashboard!$F$17,MIN(P458,$B$6*52/12),0)</x:f>
      </x:c>
      <x:c r="R458" s="32" t="e">
        <x:f>IF(A458&lt;=Dashboard!$F$17,MAX(0,P458-Q458)*Dashboard!$F$6,0)</x:f>
      </x:c>
      <x:c r="S458" s="32" t="e">
        <x:f>IF(A458&lt;=Dashboard!$F$17,MIN(Dashboard!$F$10,MAX(0,P458-Q458)+R458),0)</x:f>
      </x:c>
      <x:c r="T458" s="32" t="e">
        <x:f>IF(A458&lt;=Dashboard!$F$17,MAX(0,P458-Q458-MAX(0,S458-R458)),0)</x:f>
      </x:c>
      <x:c r="U458" s="32" t="e">
        <x:f>IF(A458=1,R458,U457+R458)</x:f>
      </x:c>
      <x:c r="V458" s="32"/>
      <x:c r="W458" s="32" t="e">
        <x:f>IF(A458=1,Dashboard!$F$14,AA457)</x:f>
      </x:c>
      <x:c r="X458" s="32" t="e">
        <x:f>IF(AND(A458&lt;=Dashboard!$F$17,MOD(A458-1,12)=0),MIN(W458,$B$7),0)</x:f>
      </x:c>
      <x:c r="Y458" s="32" t="e">
        <x:f>IF(A458&lt;=Dashboard!$F$17,MAX(0,W458-X458)*Dashboard!$F$6,0)</x:f>
      </x:c>
      <x:c r="Z458" s="32" t="e">
        <x:f>IF(A458&lt;=Dashboard!$F$17,MIN(Dashboard!$F$10,MAX(0,W458-X458)+Y458),0)</x:f>
      </x:c>
      <x:c r="AA458" s="32" t="e">
        <x:f>IF(A458&lt;=Dashboard!$F$17,MAX(0,W458-X458-MAX(0,Z458-Y458)),0)</x:f>
      </x:c>
      <x:c r="AB458" s="32" t="e">
        <x:f>IF(A458=1,Y458,AB457+Y458)</x:f>
      </x:c>
      <x:c r="AC458" s="32"/>
      <x:c r="AD458" s="32" t="e">
        <x:f>IF(A458=1,MAX(0,Dashboard!$F$14-$B$8),AG457)</x:f>
      </x:c>
      <x:c r="AE458" s="32" t="n">
        <x:f>0</x:f>
        <x:v>0</x:v>
      </x:c>
      <x:c r="AF458" s="32" t="e">
        <x:f>IF(A458&lt;=Dashboard!$F$17,AD458*Dashboard!$F$6,0)</x:f>
      </x:c>
      <x:c r="AG458" s="32" t="e">
        <x:f>IF(A458&lt;=Dashboard!$F$17,MIN(Dashboard!$F$10,AD458+AF458),0)</x:f>
      </x:c>
      <x:c r="AH458" s="32" t="e">
        <x:f>IF(A458&lt;=Dashboard!$F$17,MAX(0,AD458-MAX(0,AG458-AF458)),0)</x:f>
      </x:c>
      <x:c r="AI458" s="32" t="e">
        <x:f>IF(A458=1,AF458,AI457+AF458)</x:f>
      </x:c>
      <x:c r="AJ458" s="33"/>
      <x:c r="AK458" s="33"/>
      <x:c r="AL458" s="33"/>
      <x:c r="AM458" s="33"/>
    </x:row>
    <x:row r="459">
      <x:c r="A459" s="33" t="n">
        <x:v>447</x:v>
      </x:c>
      <x:c r="B459" s="32" t="e">
        <x:f>IF(A459=1,Dashboard!$F$14,F458)</x:f>
      </x:c>
      <x:c r="C459" s="32" t="n">
        <x:f>0</x:f>
        <x:v>0</x:v>
      </x:c>
      <x:c r="D459" s="32" t="e">
        <x:f>IF(A459&lt;=Dashboard!$F$15,B459*Dashboard!$F$6,0)</x:f>
      </x:c>
      <x:c r="E459" s="32" t="e">
        <x:f>IF(A459&lt;=Dashboard!$F$15,MIN(Dashboard!$F$10,B459+D459),0)</x:f>
      </x:c>
      <x:c r="F459" s="32" t="e">
        <x:f>IF(A459&lt;=Dashboard!$F$15,MAX(0,B459-MAX(0,E459-D459)),0)</x:f>
      </x:c>
      <x:c r="G459" s="32" t="e">
        <x:f>IF(A459=1,D459,G458+D459)</x:f>
      </x:c>
      <x:c r="H459" s="32"/>
      <x:c r="I459" s="32" t="e">
        <x:f>IF(A459=1,Dashboard!$F$14,M458)</x:f>
      </x:c>
      <x:c r="J459" s="32" t="e">
        <x:f>IF(A459&lt;=Dashboard!$F$17,MIN(I459,$B$5),0)</x:f>
      </x:c>
      <x:c r="K459" s="32" t="e">
        <x:f>IF(A459&lt;=Dashboard!$F$17,MAX(0,I459-J459)*Dashboard!$F$6,0)</x:f>
      </x:c>
      <x:c r="L459" s="32" t="e">
        <x:f>IF(A459&lt;=Dashboard!$F$17,MIN(Dashboard!$F$10,MAX(0,I459-J459)+K459),0)</x:f>
      </x:c>
      <x:c r="M459" s="32" t="e">
        <x:f>IF(A459&lt;=Dashboard!$F$17,MAX(0,I459-J459-MAX(0,L459-K459)),0)</x:f>
      </x:c>
      <x:c r="N459" s="32" t="e">
        <x:f>IF(A459=1,K459,N458+K459)</x:f>
      </x:c>
      <x:c r="O459" s="32"/>
      <x:c r="P459" s="32" t="e">
        <x:f>IF(A459=1,Dashboard!$F$14,T458)</x:f>
      </x:c>
      <x:c r="Q459" s="32" t="e">
        <x:f>IF(A459&lt;=Dashboard!$F$17,MIN(P459,$B$6*52/12),0)</x:f>
      </x:c>
      <x:c r="R459" s="32" t="e">
        <x:f>IF(A459&lt;=Dashboard!$F$17,MAX(0,P459-Q459)*Dashboard!$F$6,0)</x:f>
      </x:c>
      <x:c r="S459" s="32" t="e">
        <x:f>IF(A459&lt;=Dashboard!$F$17,MIN(Dashboard!$F$10,MAX(0,P459-Q459)+R459),0)</x:f>
      </x:c>
      <x:c r="T459" s="32" t="e">
        <x:f>IF(A459&lt;=Dashboard!$F$17,MAX(0,P459-Q459-MAX(0,S459-R459)),0)</x:f>
      </x:c>
      <x:c r="U459" s="32" t="e">
        <x:f>IF(A459=1,R459,U458+R459)</x:f>
      </x:c>
      <x:c r="V459" s="32"/>
      <x:c r="W459" s="32" t="e">
        <x:f>IF(A459=1,Dashboard!$F$14,AA458)</x:f>
      </x:c>
      <x:c r="X459" s="32" t="e">
        <x:f>IF(AND(A459&lt;=Dashboard!$F$17,MOD(A459-1,12)=0),MIN(W459,$B$7),0)</x:f>
      </x:c>
      <x:c r="Y459" s="32" t="e">
        <x:f>IF(A459&lt;=Dashboard!$F$17,MAX(0,W459-X459)*Dashboard!$F$6,0)</x:f>
      </x:c>
      <x:c r="Z459" s="32" t="e">
        <x:f>IF(A459&lt;=Dashboard!$F$17,MIN(Dashboard!$F$10,MAX(0,W459-X459)+Y459),0)</x:f>
      </x:c>
      <x:c r="AA459" s="32" t="e">
        <x:f>IF(A459&lt;=Dashboard!$F$17,MAX(0,W459-X459-MAX(0,Z459-Y459)),0)</x:f>
      </x:c>
      <x:c r="AB459" s="32" t="e">
        <x:f>IF(A459=1,Y459,AB458+Y459)</x:f>
      </x:c>
      <x:c r="AC459" s="32"/>
      <x:c r="AD459" s="32" t="e">
        <x:f>IF(A459=1,MAX(0,Dashboard!$F$14-$B$8),AG458)</x:f>
      </x:c>
      <x:c r="AE459" s="32" t="n">
        <x:f>0</x:f>
        <x:v>0</x:v>
      </x:c>
      <x:c r="AF459" s="32" t="e">
        <x:f>IF(A459&lt;=Dashboard!$F$17,AD459*Dashboard!$F$6,0)</x:f>
      </x:c>
      <x:c r="AG459" s="32" t="e">
        <x:f>IF(A459&lt;=Dashboard!$F$17,MIN(Dashboard!$F$10,AD459+AF459),0)</x:f>
      </x:c>
      <x:c r="AH459" s="32" t="e">
        <x:f>IF(A459&lt;=Dashboard!$F$17,MAX(0,AD459-MAX(0,AG459-AF459)),0)</x:f>
      </x:c>
      <x:c r="AI459" s="32" t="e">
        <x:f>IF(A459=1,AF459,AI458+AF459)</x:f>
      </x:c>
      <x:c r="AJ459" s="33"/>
      <x:c r="AK459" s="33"/>
      <x:c r="AL459" s="33"/>
      <x:c r="AM459" s="33"/>
    </x:row>
    <x:row r="460">
      <x:c r="A460" s="33" t="n">
        <x:v>448</x:v>
      </x:c>
      <x:c r="B460" s="32" t="e">
        <x:f>IF(A460=1,Dashboard!$F$14,F459)</x:f>
      </x:c>
      <x:c r="C460" s="32" t="n">
        <x:f>0</x:f>
        <x:v>0</x:v>
      </x:c>
      <x:c r="D460" s="32" t="e">
        <x:f>IF(A460&lt;=Dashboard!$F$15,B460*Dashboard!$F$6,0)</x:f>
      </x:c>
      <x:c r="E460" s="32" t="e">
        <x:f>IF(A460&lt;=Dashboard!$F$15,MIN(Dashboard!$F$10,B460+D460),0)</x:f>
      </x:c>
      <x:c r="F460" s="32" t="e">
        <x:f>IF(A460&lt;=Dashboard!$F$15,MAX(0,B460-MAX(0,E460-D460)),0)</x:f>
      </x:c>
      <x:c r="G460" s="32" t="e">
        <x:f>IF(A460=1,D460,G459+D460)</x:f>
      </x:c>
      <x:c r="H460" s="32"/>
      <x:c r="I460" s="32" t="e">
        <x:f>IF(A460=1,Dashboard!$F$14,M459)</x:f>
      </x:c>
      <x:c r="J460" s="32" t="e">
        <x:f>IF(A460&lt;=Dashboard!$F$17,MIN(I460,$B$5),0)</x:f>
      </x:c>
      <x:c r="K460" s="32" t="e">
        <x:f>IF(A460&lt;=Dashboard!$F$17,MAX(0,I460-J460)*Dashboard!$F$6,0)</x:f>
      </x:c>
      <x:c r="L460" s="32" t="e">
        <x:f>IF(A460&lt;=Dashboard!$F$17,MIN(Dashboard!$F$10,MAX(0,I460-J460)+K460),0)</x:f>
      </x:c>
      <x:c r="M460" s="32" t="e">
        <x:f>IF(A460&lt;=Dashboard!$F$17,MAX(0,I460-J460-MAX(0,L460-K460)),0)</x:f>
      </x:c>
      <x:c r="N460" s="32" t="e">
        <x:f>IF(A460=1,K460,N459+K460)</x:f>
      </x:c>
      <x:c r="O460" s="32"/>
      <x:c r="P460" s="32" t="e">
        <x:f>IF(A460=1,Dashboard!$F$14,T459)</x:f>
      </x:c>
      <x:c r="Q460" s="32" t="e">
        <x:f>IF(A460&lt;=Dashboard!$F$17,MIN(P460,$B$6*52/12),0)</x:f>
      </x:c>
      <x:c r="R460" s="32" t="e">
        <x:f>IF(A460&lt;=Dashboard!$F$17,MAX(0,P460-Q460)*Dashboard!$F$6,0)</x:f>
      </x:c>
      <x:c r="S460" s="32" t="e">
        <x:f>IF(A460&lt;=Dashboard!$F$17,MIN(Dashboard!$F$10,MAX(0,P460-Q460)+R460),0)</x:f>
      </x:c>
      <x:c r="T460" s="32" t="e">
        <x:f>IF(A460&lt;=Dashboard!$F$17,MAX(0,P460-Q460-MAX(0,S460-R460)),0)</x:f>
      </x:c>
      <x:c r="U460" s="32" t="e">
        <x:f>IF(A460=1,R460,U459+R460)</x:f>
      </x:c>
      <x:c r="V460" s="32"/>
      <x:c r="W460" s="32" t="e">
        <x:f>IF(A460=1,Dashboard!$F$14,AA459)</x:f>
      </x:c>
      <x:c r="X460" s="32" t="e">
        <x:f>IF(AND(A460&lt;=Dashboard!$F$17,MOD(A460-1,12)=0),MIN(W460,$B$7),0)</x:f>
      </x:c>
      <x:c r="Y460" s="32" t="e">
        <x:f>IF(A460&lt;=Dashboard!$F$17,MAX(0,W460-X460)*Dashboard!$F$6,0)</x:f>
      </x:c>
      <x:c r="Z460" s="32" t="e">
        <x:f>IF(A460&lt;=Dashboard!$F$17,MIN(Dashboard!$F$10,MAX(0,W460-X460)+Y460),0)</x:f>
      </x:c>
      <x:c r="AA460" s="32" t="e">
        <x:f>IF(A460&lt;=Dashboard!$F$17,MAX(0,W460-X460-MAX(0,Z460-Y460)),0)</x:f>
      </x:c>
      <x:c r="AB460" s="32" t="e">
        <x:f>IF(A460=1,Y460,AB459+Y460)</x:f>
      </x:c>
      <x:c r="AC460" s="32"/>
      <x:c r="AD460" s="32" t="e">
        <x:f>IF(A460=1,MAX(0,Dashboard!$F$14-$B$8),AG459)</x:f>
      </x:c>
      <x:c r="AE460" s="32" t="n">
        <x:f>0</x:f>
        <x:v>0</x:v>
      </x:c>
      <x:c r="AF460" s="32" t="e">
        <x:f>IF(A460&lt;=Dashboard!$F$17,AD460*Dashboard!$F$6,0)</x:f>
      </x:c>
      <x:c r="AG460" s="32" t="e">
        <x:f>IF(A460&lt;=Dashboard!$F$17,MIN(Dashboard!$F$10,AD460+AF460),0)</x:f>
      </x:c>
      <x:c r="AH460" s="32" t="e">
        <x:f>IF(A460&lt;=Dashboard!$F$17,MAX(0,AD460-MAX(0,AG460-AF460)),0)</x:f>
      </x:c>
      <x:c r="AI460" s="32" t="e">
        <x:f>IF(A460=1,AF460,AI459+AF460)</x:f>
      </x:c>
      <x:c r="AJ460" s="33"/>
      <x:c r="AK460" s="33"/>
      <x:c r="AL460" s="33"/>
      <x:c r="AM460" s="33"/>
    </x:row>
    <x:row r="461">
      <x:c r="A461" s="33" t="n">
        <x:v>449</x:v>
      </x:c>
      <x:c r="B461" s="32" t="e">
        <x:f>IF(A461=1,Dashboard!$F$14,F460)</x:f>
      </x:c>
      <x:c r="C461" s="32" t="n">
        <x:f>0</x:f>
        <x:v>0</x:v>
      </x:c>
      <x:c r="D461" s="32" t="e">
        <x:f>IF(A461&lt;=Dashboard!$F$15,B461*Dashboard!$F$6,0)</x:f>
      </x:c>
      <x:c r="E461" s="32" t="e">
        <x:f>IF(A461&lt;=Dashboard!$F$15,MIN(Dashboard!$F$10,B461+D461),0)</x:f>
      </x:c>
      <x:c r="F461" s="32" t="e">
        <x:f>IF(A461&lt;=Dashboard!$F$15,MAX(0,B461-MAX(0,E461-D461)),0)</x:f>
      </x:c>
      <x:c r="G461" s="32" t="e">
        <x:f>IF(A461=1,D461,G460+D461)</x:f>
      </x:c>
      <x:c r="H461" s="32"/>
      <x:c r="I461" s="32" t="e">
        <x:f>IF(A461=1,Dashboard!$F$14,M460)</x:f>
      </x:c>
      <x:c r="J461" s="32" t="e">
        <x:f>IF(A461&lt;=Dashboard!$F$17,MIN(I461,$B$5),0)</x:f>
      </x:c>
      <x:c r="K461" s="32" t="e">
        <x:f>IF(A461&lt;=Dashboard!$F$17,MAX(0,I461-J461)*Dashboard!$F$6,0)</x:f>
      </x:c>
      <x:c r="L461" s="32" t="e">
        <x:f>IF(A461&lt;=Dashboard!$F$17,MIN(Dashboard!$F$10,MAX(0,I461-J461)+K461),0)</x:f>
      </x:c>
      <x:c r="M461" s="32" t="e">
        <x:f>IF(A461&lt;=Dashboard!$F$17,MAX(0,I461-J461-MAX(0,L461-K461)),0)</x:f>
      </x:c>
      <x:c r="N461" s="32" t="e">
        <x:f>IF(A461=1,K461,N460+K461)</x:f>
      </x:c>
      <x:c r="O461" s="32"/>
      <x:c r="P461" s="32" t="e">
        <x:f>IF(A461=1,Dashboard!$F$14,T460)</x:f>
      </x:c>
      <x:c r="Q461" s="32" t="e">
        <x:f>IF(A461&lt;=Dashboard!$F$17,MIN(P461,$B$6*52/12),0)</x:f>
      </x:c>
      <x:c r="R461" s="32" t="e">
        <x:f>IF(A461&lt;=Dashboard!$F$17,MAX(0,P461-Q461)*Dashboard!$F$6,0)</x:f>
      </x:c>
      <x:c r="S461" s="32" t="e">
        <x:f>IF(A461&lt;=Dashboard!$F$17,MIN(Dashboard!$F$10,MAX(0,P461-Q461)+R461),0)</x:f>
      </x:c>
      <x:c r="T461" s="32" t="e">
        <x:f>IF(A461&lt;=Dashboard!$F$17,MAX(0,P461-Q461-MAX(0,S461-R461)),0)</x:f>
      </x:c>
      <x:c r="U461" s="32" t="e">
        <x:f>IF(A461=1,R461,U460+R461)</x:f>
      </x:c>
      <x:c r="V461" s="32"/>
      <x:c r="W461" s="32" t="e">
        <x:f>IF(A461=1,Dashboard!$F$14,AA460)</x:f>
      </x:c>
      <x:c r="X461" s="32" t="e">
        <x:f>IF(AND(A461&lt;=Dashboard!$F$17,MOD(A461-1,12)=0),MIN(W461,$B$7),0)</x:f>
      </x:c>
      <x:c r="Y461" s="32" t="e">
        <x:f>IF(A461&lt;=Dashboard!$F$17,MAX(0,W461-X461)*Dashboard!$F$6,0)</x:f>
      </x:c>
      <x:c r="Z461" s="32" t="e">
        <x:f>IF(A461&lt;=Dashboard!$F$17,MIN(Dashboard!$F$10,MAX(0,W461-X461)+Y461),0)</x:f>
      </x:c>
      <x:c r="AA461" s="32" t="e">
        <x:f>IF(A461&lt;=Dashboard!$F$17,MAX(0,W461-X461-MAX(0,Z461-Y461)),0)</x:f>
      </x:c>
      <x:c r="AB461" s="32" t="e">
        <x:f>IF(A461=1,Y461,AB460+Y461)</x:f>
      </x:c>
      <x:c r="AC461" s="32"/>
      <x:c r="AD461" s="32" t="e">
        <x:f>IF(A461=1,MAX(0,Dashboard!$F$14-$B$8),AG460)</x:f>
      </x:c>
      <x:c r="AE461" s="32" t="n">
        <x:f>0</x:f>
        <x:v>0</x:v>
      </x:c>
      <x:c r="AF461" s="32" t="e">
        <x:f>IF(A461&lt;=Dashboard!$F$17,AD461*Dashboard!$F$6,0)</x:f>
      </x:c>
      <x:c r="AG461" s="32" t="e">
        <x:f>IF(A461&lt;=Dashboard!$F$17,MIN(Dashboard!$F$10,AD461+AF461),0)</x:f>
      </x:c>
      <x:c r="AH461" s="32" t="e">
        <x:f>IF(A461&lt;=Dashboard!$F$17,MAX(0,AD461-MAX(0,AG461-AF461)),0)</x:f>
      </x:c>
      <x:c r="AI461" s="32" t="e">
        <x:f>IF(A461=1,AF461,AI460+AF461)</x:f>
      </x:c>
      <x:c r="AJ461" s="33"/>
      <x:c r="AK461" s="33"/>
      <x:c r="AL461" s="33"/>
      <x:c r="AM461" s="33"/>
    </x:row>
    <x:row r="462">
      <x:c r="A462" s="33" t="n">
        <x:v>450</x:v>
      </x:c>
      <x:c r="B462" s="32" t="e">
        <x:f>IF(A462=1,Dashboard!$F$14,F461)</x:f>
      </x:c>
      <x:c r="C462" s="32" t="n">
        <x:f>0</x:f>
        <x:v>0</x:v>
      </x:c>
      <x:c r="D462" s="32" t="e">
        <x:f>IF(A462&lt;=Dashboard!$F$15,B462*Dashboard!$F$6,0)</x:f>
      </x:c>
      <x:c r="E462" s="32" t="e">
        <x:f>IF(A462&lt;=Dashboard!$F$15,MIN(Dashboard!$F$10,B462+D462),0)</x:f>
      </x:c>
      <x:c r="F462" s="32" t="e">
        <x:f>IF(A462&lt;=Dashboard!$F$15,MAX(0,B462-MAX(0,E462-D462)),0)</x:f>
      </x:c>
      <x:c r="G462" s="32" t="e">
        <x:f>IF(A462=1,D462,G461+D462)</x:f>
      </x:c>
      <x:c r="H462" s="32"/>
      <x:c r="I462" s="32" t="e">
        <x:f>IF(A462=1,Dashboard!$F$14,M461)</x:f>
      </x:c>
      <x:c r="J462" s="32" t="e">
        <x:f>IF(A462&lt;=Dashboard!$F$17,MIN(I462,$B$5),0)</x:f>
      </x:c>
      <x:c r="K462" s="32" t="e">
        <x:f>IF(A462&lt;=Dashboard!$F$17,MAX(0,I462-J462)*Dashboard!$F$6,0)</x:f>
      </x:c>
      <x:c r="L462" s="32" t="e">
        <x:f>IF(A462&lt;=Dashboard!$F$17,MIN(Dashboard!$F$10,MAX(0,I462-J462)+K462),0)</x:f>
      </x:c>
      <x:c r="M462" s="32" t="e">
        <x:f>IF(A462&lt;=Dashboard!$F$17,MAX(0,I462-J462-MAX(0,L462-K462)),0)</x:f>
      </x:c>
      <x:c r="N462" s="32" t="e">
        <x:f>IF(A462=1,K462,N461+K462)</x:f>
      </x:c>
      <x:c r="O462" s="32"/>
      <x:c r="P462" s="32" t="e">
        <x:f>IF(A462=1,Dashboard!$F$14,T461)</x:f>
      </x:c>
      <x:c r="Q462" s="32" t="e">
        <x:f>IF(A462&lt;=Dashboard!$F$17,MIN(P462,$B$6*52/12),0)</x:f>
      </x:c>
      <x:c r="R462" s="32" t="e">
        <x:f>IF(A462&lt;=Dashboard!$F$17,MAX(0,P462-Q462)*Dashboard!$F$6,0)</x:f>
      </x:c>
      <x:c r="S462" s="32" t="e">
        <x:f>IF(A462&lt;=Dashboard!$F$17,MIN(Dashboard!$F$10,MAX(0,P462-Q462)+R462),0)</x:f>
      </x:c>
      <x:c r="T462" s="32" t="e">
        <x:f>IF(A462&lt;=Dashboard!$F$17,MAX(0,P462-Q462-MAX(0,S462-R462)),0)</x:f>
      </x:c>
      <x:c r="U462" s="32" t="e">
        <x:f>IF(A462=1,R462,U461+R462)</x:f>
      </x:c>
      <x:c r="V462" s="32"/>
      <x:c r="W462" s="32" t="e">
        <x:f>IF(A462=1,Dashboard!$F$14,AA461)</x:f>
      </x:c>
      <x:c r="X462" s="32" t="e">
        <x:f>IF(AND(A462&lt;=Dashboard!$F$17,MOD(A462-1,12)=0),MIN(W462,$B$7),0)</x:f>
      </x:c>
      <x:c r="Y462" s="32" t="e">
        <x:f>IF(A462&lt;=Dashboard!$F$17,MAX(0,W462-X462)*Dashboard!$F$6,0)</x:f>
      </x:c>
      <x:c r="Z462" s="32" t="e">
        <x:f>IF(A462&lt;=Dashboard!$F$17,MIN(Dashboard!$F$10,MAX(0,W462-X462)+Y462),0)</x:f>
      </x:c>
      <x:c r="AA462" s="32" t="e">
        <x:f>IF(A462&lt;=Dashboard!$F$17,MAX(0,W462-X462-MAX(0,Z462-Y462)),0)</x:f>
      </x:c>
      <x:c r="AB462" s="32" t="e">
        <x:f>IF(A462=1,Y462,AB461+Y462)</x:f>
      </x:c>
      <x:c r="AC462" s="32"/>
      <x:c r="AD462" s="32" t="e">
        <x:f>IF(A462=1,MAX(0,Dashboard!$F$14-$B$8),AG461)</x:f>
      </x:c>
      <x:c r="AE462" s="32" t="n">
        <x:f>0</x:f>
        <x:v>0</x:v>
      </x:c>
      <x:c r="AF462" s="32" t="e">
        <x:f>IF(A462&lt;=Dashboard!$F$17,AD462*Dashboard!$F$6,0)</x:f>
      </x:c>
      <x:c r="AG462" s="32" t="e">
        <x:f>IF(A462&lt;=Dashboard!$F$17,MIN(Dashboard!$F$10,AD462+AF462),0)</x:f>
      </x:c>
      <x:c r="AH462" s="32" t="e">
        <x:f>IF(A462&lt;=Dashboard!$F$17,MAX(0,AD462-MAX(0,AG462-AF462)),0)</x:f>
      </x:c>
      <x:c r="AI462" s="32" t="e">
        <x:f>IF(A462=1,AF462,AI461+AF462)</x:f>
      </x:c>
      <x:c r="AJ462" s="33"/>
      <x:c r="AK462" s="33"/>
      <x:c r="AL462" s="33"/>
      <x:c r="AM462" s="33"/>
    </x:row>
    <x:row r="463">
      <x:c r="A463" s="33" t="n">
        <x:v>451</x:v>
      </x:c>
      <x:c r="B463" s="32" t="e">
        <x:f>IF(A463=1,Dashboard!$F$14,F462)</x:f>
      </x:c>
      <x:c r="C463" s="32" t="n">
        <x:f>0</x:f>
        <x:v>0</x:v>
      </x:c>
      <x:c r="D463" s="32" t="e">
        <x:f>IF(A463&lt;=Dashboard!$F$15,B463*Dashboard!$F$6,0)</x:f>
      </x:c>
      <x:c r="E463" s="32" t="e">
        <x:f>IF(A463&lt;=Dashboard!$F$15,MIN(Dashboard!$F$10,B463+D463),0)</x:f>
      </x:c>
      <x:c r="F463" s="32" t="e">
        <x:f>IF(A463&lt;=Dashboard!$F$15,MAX(0,B463-MAX(0,E463-D463)),0)</x:f>
      </x:c>
      <x:c r="G463" s="32" t="e">
        <x:f>IF(A463=1,D463,G462+D463)</x:f>
      </x:c>
      <x:c r="H463" s="32"/>
      <x:c r="I463" s="32" t="e">
        <x:f>IF(A463=1,Dashboard!$F$14,M462)</x:f>
      </x:c>
      <x:c r="J463" s="32" t="e">
        <x:f>IF(A463&lt;=Dashboard!$F$17,MIN(I463,$B$5),0)</x:f>
      </x:c>
      <x:c r="K463" s="32" t="e">
        <x:f>IF(A463&lt;=Dashboard!$F$17,MAX(0,I463-J463)*Dashboard!$F$6,0)</x:f>
      </x:c>
      <x:c r="L463" s="32" t="e">
        <x:f>IF(A463&lt;=Dashboard!$F$17,MIN(Dashboard!$F$10,MAX(0,I463-J463)+K463),0)</x:f>
      </x:c>
      <x:c r="M463" s="32" t="e">
        <x:f>IF(A463&lt;=Dashboard!$F$17,MAX(0,I463-J463-MAX(0,L463-K463)),0)</x:f>
      </x:c>
      <x:c r="N463" s="32" t="e">
        <x:f>IF(A463=1,K463,N462+K463)</x:f>
      </x:c>
      <x:c r="O463" s="32"/>
      <x:c r="P463" s="32" t="e">
        <x:f>IF(A463=1,Dashboard!$F$14,T462)</x:f>
      </x:c>
      <x:c r="Q463" s="32" t="e">
        <x:f>IF(A463&lt;=Dashboard!$F$17,MIN(P463,$B$6*52/12),0)</x:f>
      </x:c>
      <x:c r="R463" s="32" t="e">
        <x:f>IF(A463&lt;=Dashboard!$F$17,MAX(0,P463-Q463)*Dashboard!$F$6,0)</x:f>
      </x:c>
      <x:c r="S463" s="32" t="e">
        <x:f>IF(A463&lt;=Dashboard!$F$17,MIN(Dashboard!$F$10,MAX(0,P463-Q463)+R463),0)</x:f>
      </x:c>
      <x:c r="T463" s="32" t="e">
        <x:f>IF(A463&lt;=Dashboard!$F$17,MAX(0,P463-Q463-MAX(0,S463-R463)),0)</x:f>
      </x:c>
      <x:c r="U463" s="32" t="e">
        <x:f>IF(A463=1,R463,U462+R463)</x:f>
      </x:c>
      <x:c r="V463" s="32"/>
      <x:c r="W463" s="32" t="e">
        <x:f>IF(A463=1,Dashboard!$F$14,AA462)</x:f>
      </x:c>
      <x:c r="X463" s="32" t="e">
        <x:f>IF(AND(A463&lt;=Dashboard!$F$17,MOD(A463-1,12)=0),MIN(W463,$B$7),0)</x:f>
      </x:c>
      <x:c r="Y463" s="32" t="e">
        <x:f>IF(A463&lt;=Dashboard!$F$17,MAX(0,W463-X463)*Dashboard!$F$6,0)</x:f>
      </x:c>
      <x:c r="Z463" s="32" t="e">
        <x:f>IF(A463&lt;=Dashboard!$F$17,MIN(Dashboard!$F$10,MAX(0,W463-X463)+Y463),0)</x:f>
      </x:c>
      <x:c r="AA463" s="32" t="e">
        <x:f>IF(A463&lt;=Dashboard!$F$17,MAX(0,W463-X463-MAX(0,Z463-Y463)),0)</x:f>
      </x:c>
      <x:c r="AB463" s="32" t="e">
        <x:f>IF(A463=1,Y463,AB462+Y463)</x:f>
      </x:c>
      <x:c r="AC463" s="32"/>
      <x:c r="AD463" s="32" t="e">
        <x:f>IF(A463=1,MAX(0,Dashboard!$F$14-$B$8),AG462)</x:f>
      </x:c>
      <x:c r="AE463" s="32" t="n">
        <x:f>0</x:f>
        <x:v>0</x:v>
      </x:c>
      <x:c r="AF463" s="32" t="e">
        <x:f>IF(A463&lt;=Dashboard!$F$17,AD463*Dashboard!$F$6,0)</x:f>
      </x:c>
      <x:c r="AG463" s="32" t="e">
        <x:f>IF(A463&lt;=Dashboard!$F$17,MIN(Dashboard!$F$10,AD463+AF463),0)</x:f>
      </x:c>
      <x:c r="AH463" s="32" t="e">
        <x:f>IF(A463&lt;=Dashboard!$F$17,MAX(0,AD463-MAX(0,AG463-AF463)),0)</x:f>
      </x:c>
      <x:c r="AI463" s="32" t="e">
        <x:f>IF(A463=1,AF463,AI462+AF463)</x:f>
      </x:c>
      <x:c r="AJ463" s="33"/>
      <x:c r="AK463" s="33"/>
      <x:c r="AL463" s="33"/>
      <x:c r="AM463" s="33"/>
    </x:row>
    <x:row r="464">
      <x:c r="A464" s="33" t="n">
        <x:v>452</x:v>
      </x:c>
      <x:c r="B464" s="32" t="e">
        <x:f>IF(A464=1,Dashboard!$F$14,F463)</x:f>
      </x:c>
      <x:c r="C464" s="32" t="n">
        <x:f>0</x:f>
        <x:v>0</x:v>
      </x:c>
      <x:c r="D464" s="32" t="e">
        <x:f>IF(A464&lt;=Dashboard!$F$15,B464*Dashboard!$F$6,0)</x:f>
      </x:c>
      <x:c r="E464" s="32" t="e">
        <x:f>IF(A464&lt;=Dashboard!$F$15,MIN(Dashboard!$F$10,B464+D464),0)</x:f>
      </x:c>
      <x:c r="F464" s="32" t="e">
        <x:f>IF(A464&lt;=Dashboard!$F$15,MAX(0,B464-MAX(0,E464-D464)),0)</x:f>
      </x:c>
      <x:c r="G464" s="32" t="e">
        <x:f>IF(A464=1,D464,G463+D464)</x:f>
      </x:c>
      <x:c r="H464" s="32"/>
      <x:c r="I464" s="32" t="e">
        <x:f>IF(A464=1,Dashboard!$F$14,M463)</x:f>
      </x:c>
      <x:c r="J464" s="32" t="e">
        <x:f>IF(A464&lt;=Dashboard!$F$17,MIN(I464,$B$5),0)</x:f>
      </x:c>
      <x:c r="K464" s="32" t="e">
        <x:f>IF(A464&lt;=Dashboard!$F$17,MAX(0,I464-J464)*Dashboard!$F$6,0)</x:f>
      </x:c>
      <x:c r="L464" s="32" t="e">
        <x:f>IF(A464&lt;=Dashboard!$F$17,MIN(Dashboard!$F$10,MAX(0,I464-J464)+K464),0)</x:f>
      </x:c>
      <x:c r="M464" s="32" t="e">
        <x:f>IF(A464&lt;=Dashboard!$F$17,MAX(0,I464-J464-MAX(0,L464-K464)),0)</x:f>
      </x:c>
      <x:c r="N464" s="32" t="e">
        <x:f>IF(A464=1,K464,N463+K464)</x:f>
      </x:c>
      <x:c r="O464" s="32"/>
      <x:c r="P464" s="32" t="e">
        <x:f>IF(A464=1,Dashboard!$F$14,T463)</x:f>
      </x:c>
      <x:c r="Q464" s="32" t="e">
        <x:f>IF(A464&lt;=Dashboard!$F$17,MIN(P464,$B$6*52/12),0)</x:f>
      </x:c>
      <x:c r="R464" s="32" t="e">
        <x:f>IF(A464&lt;=Dashboard!$F$17,MAX(0,P464-Q464)*Dashboard!$F$6,0)</x:f>
      </x:c>
      <x:c r="S464" s="32" t="e">
        <x:f>IF(A464&lt;=Dashboard!$F$17,MIN(Dashboard!$F$10,MAX(0,P464-Q464)+R464),0)</x:f>
      </x:c>
      <x:c r="T464" s="32" t="e">
        <x:f>IF(A464&lt;=Dashboard!$F$17,MAX(0,P464-Q464-MAX(0,S464-R464)),0)</x:f>
      </x:c>
      <x:c r="U464" s="32" t="e">
        <x:f>IF(A464=1,R464,U463+R464)</x:f>
      </x:c>
      <x:c r="V464" s="32"/>
      <x:c r="W464" s="32" t="e">
        <x:f>IF(A464=1,Dashboard!$F$14,AA463)</x:f>
      </x:c>
      <x:c r="X464" s="32" t="e">
        <x:f>IF(AND(A464&lt;=Dashboard!$F$17,MOD(A464-1,12)=0),MIN(W464,$B$7),0)</x:f>
      </x:c>
      <x:c r="Y464" s="32" t="e">
        <x:f>IF(A464&lt;=Dashboard!$F$17,MAX(0,W464-X464)*Dashboard!$F$6,0)</x:f>
      </x:c>
      <x:c r="Z464" s="32" t="e">
        <x:f>IF(A464&lt;=Dashboard!$F$17,MIN(Dashboard!$F$10,MAX(0,W464-X464)+Y464),0)</x:f>
      </x:c>
      <x:c r="AA464" s="32" t="e">
        <x:f>IF(A464&lt;=Dashboard!$F$17,MAX(0,W464-X464-MAX(0,Z464-Y464)),0)</x:f>
      </x:c>
      <x:c r="AB464" s="32" t="e">
        <x:f>IF(A464=1,Y464,AB463+Y464)</x:f>
      </x:c>
      <x:c r="AC464" s="32"/>
      <x:c r="AD464" s="32" t="e">
        <x:f>IF(A464=1,MAX(0,Dashboard!$F$14-$B$8),AG463)</x:f>
      </x:c>
      <x:c r="AE464" s="32" t="n">
        <x:f>0</x:f>
        <x:v>0</x:v>
      </x:c>
      <x:c r="AF464" s="32" t="e">
        <x:f>IF(A464&lt;=Dashboard!$F$17,AD464*Dashboard!$F$6,0)</x:f>
      </x:c>
      <x:c r="AG464" s="32" t="e">
        <x:f>IF(A464&lt;=Dashboard!$F$17,MIN(Dashboard!$F$10,AD464+AF464),0)</x:f>
      </x:c>
      <x:c r="AH464" s="32" t="e">
        <x:f>IF(A464&lt;=Dashboard!$F$17,MAX(0,AD464-MAX(0,AG464-AF464)),0)</x:f>
      </x:c>
      <x:c r="AI464" s="32" t="e">
        <x:f>IF(A464=1,AF464,AI463+AF464)</x:f>
      </x:c>
      <x:c r="AJ464" s="33"/>
      <x:c r="AK464" s="33"/>
      <x:c r="AL464" s="33"/>
      <x:c r="AM464" s="33"/>
    </x:row>
    <x:row r="465">
      <x:c r="A465" s="33" t="n">
        <x:v>453</x:v>
      </x:c>
      <x:c r="B465" s="32" t="e">
        <x:f>IF(A465=1,Dashboard!$F$14,F464)</x:f>
      </x:c>
      <x:c r="C465" s="32" t="n">
        <x:f>0</x:f>
        <x:v>0</x:v>
      </x:c>
      <x:c r="D465" s="32" t="e">
        <x:f>IF(A465&lt;=Dashboard!$F$15,B465*Dashboard!$F$6,0)</x:f>
      </x:c>
      <x:c r="E465" s="32" t="e">
        <x:f>IF(A465&lt;=Dashboard!$F$15,MIN(Dashboard!$F$10,B465+D465),0)</x:f>
      </x:c>
      <x:c r="F465" s="32" t="e">
        <x:f>IF(A465&lt;=Dashboard!$F$15,MAX(0,B465-MAX(0,E465-D465)),0)</x:f>
      </x:c>
      <x:c r="G465" s="32" t="e">
        <x:f>IF(A465=1,D465,G464+D465)</x:f>
      </x:c>
      <x:c r="H465" s="32"/>
      <x:c r="I465" s="32" t="e">
        <x:f>IF(A465=1,Dashboard!$F$14,M464)</x:f>
      </x:c>
      <x:c r="J465" s="32" t="e">
        <x:f>IF(A465&lt;=Dashboard!$F$17,MIN(I465,$B$5),0)</x:f>
      </x:c>
      <x:c r="K465" s="32" t="e">
        <x:f>IF(A465&lt;=Dashboard!$F$17,MAX(0,I465-J465)*Dashboard!$F$6,0)</x:f>
      </x:c>
      <x:c r="L465" s="32" t="e">
        <x:f>IF(A465&lt;=Dashboard!$F$17,MIN(Dashboard!$F$10,MAX(0,I465-J465)+K465),0)</x:f>
      </x:c>
      <x:c r="M465" s="32" t="e">
        <x:f>IF(A465&lt;=Dashboard!$F$17,MAX(0,I465-J465-MAX(0,L465-K465)),0)</x:f>
      </x:c>
      <x:c r="N465" s="32" t="e">
        <x:f>IF(A465=1,K465,N464+K465)</x:f>
      </x:c>
      <x:c r="O465" s="32"/>
      <x:c r="P465" s="32" t="e">
        <x:f>IF(A465=1,Dashboard!$F$14,T464)</x:f>
      </x:c>
      <x:c r="Q465" s="32" t="e">
        <x:f>IF(A465&lt;=Dashboard!$F$17,MIN(P465,$B$6*52/12),0)</x:f>
      </x:c>
      <x:c r="R465" s="32" t="e">
        <x:f>IF(A465&lt;=Dashboard!$F$17,MAX(0,P465-Q465)*Dashboard!$F$6,0)</x:f>
      </x:c>
      <x:c r="S465" s="32" t="e">
        <x:f>IF(A465&lt;=Dashboard!$F$17,MIN(Dashboard!$F$10,MAX(0,P465-Q465)+R465),0)</x:f>
      </x:c>
      <x:c r="T465" s="32" t="e">
        <x:f>IF(A465&lt;=Dashboard!$F$17,MAX(0,P465-Q465-MAX(0,S465-R465)),0)</x:f>
      </x:c>
      <x:c r="U465" s="32" t="e">
        <x:f>IF(A465=1,R465,U464+R465)</x:f>
      </x:c>
      <x:c r="V465" s="32"/>
      <x:c r="W465" s="32" t="e">
        <x:f>IF(A465=1,Dashboard!$F$14,AA464)</x:f>
      </x:c>
      <x:c r="X465" s="32" t="e">
        <x:f>IF(AND(A465&lt;=Dashboard!$F$17,MOD(A465-1,12)=0),MIN(W465,$B$7),0)</x:f>
      </x:c>
      <x:c r="Y465" s="32" t="e">
        <x:f>IF(A465&lt;=Dashboard!$F$17,MAX(0,W465-X465)*Dashboard!$F$6,0)</x:f>
      </x:c>
      <x:c r="Z465" s="32" t="e">
        <x:f>IF(A465&lt;=Dashboard!$F$17,MIN(Dashboard!$F$10,MAX(0,W465-X465)+Y465),0)</x:f>
      </x:c>
      <x:c r="AA465" s="32" t="e">
        <x:f>IF(A465&lt;=Dashboard!$F$17,MAX(0,W465-X465-MAX(0,Z465-Y465)),0)</x:f>
      </x:c>
      <x:c r="AB465" s="32" t="e">
        <x:f>IF(A465=1,Y465,AB464+Y465)</x:f>
      </x:c>
      <x:c r="AC465" s="32"/>
      <x:c r="AD465" s="32" t="e">
        <x:f>IF(A465=1,MAX(0,Dashboard!$F$14-$B$8),AG464)</x:f>
      </x:c>
      <x:c r="AE465" s="32" t="n">
        <x:f>0</x:f>
        <x:v>0</x:v>
      </x:c>
      <x:c r="AF465" s="32" t="e">
        <x:f>IF(A465&lt;=Dashboard!$F$17,AD465*Dashboard!$F$6,0)</x:f>
      </x:c>
      <x:c r="AG465" s="32" t="e">
        <x:f>IF(A465&lt;=Dashboard!$F$17,MIN(Dashboard!$F$10,AD465+AF465),0)</x:f>
      </x:c>
      <x:c r="AH465" s="32" t="e">
        <x:f>IF(A465&lt;=Dashboard!$F$17,MAX(0,AD465-MAX(0,AG465-AF465)),0)</x:f>
      </x:c>
      <x:c r="AI465" s="32" t="e">
        <x:f>IF(A465=1,AF465,AI464+AF465)</x:f>
      </x:c>
      <x:c r="AJ465" s="33"/>
      <x:c r="AK465" s="33"/>
      <x:c r="AL465" s="33"/>
      <x:c r="AM465" s="33"/>
    </x:row>
    <x:row r="466">
      <x:c r="A466" s="33" t="n">
        <x:v>454</x:v>
      </x:c>
      <x:c r="B466" s="32" t="e">
        <x:f>IF(A466=1,Dashboard!$F$14,F465)</x:f>
      </x:c>
      <x:c r="C466" s="32" t="n">
        <x:f>0</x:f>
        <x:v>0</x:v>
      </x:c>
      <x:c r="D466" s="32" t="e">
        <x:f>IF(A466&lt;=Dashboard!$F$15,B466*Dashboard!$F$6,0)</x:f>
      </x:c>
      <x:c r="E466" s="32" t="e">
        <x:f>IF(A466&lt;=Dashboard!$F$15,MIN(Dashboard!$F$10,B466+D466),0)</x:f>
      </x:c>
      <x:c r="F466" s="32" t="e">
        <x:f>IF(A466&lt;=Dashboard!$F$15,MAX(0,B466-MAX(0,E466-D466)),0)</x:f>
      </x:c>
      <x:c r="G466" s="32" t="e">
        <x:f>IF(A466=1,D466,G465+D466)</x:f>
      </x:c>
      <x:c r="H466" s="32"/>
      <x:c r="I466" s="32" t="e">
        <x:f>IF(A466=1,Dashboard!$F$14,M465)</x:f>
      </x:c>
      <x:c r="J466" s="32" t="e">
        <x:f>IF(A466&lt;=Dashboard!$F$17,MIN(I466,$B$5),0)</x:f>
      </x:c>
      <x:c r="K466" s="32" t="e">
        <x:f>IF(A466&lt;=Dashboard!$F$17,MAX(0,I466-J466)*Dashboard!$F$6,0)</x:f>
      </x:c>
      <x:c r="L466" s="32" t="e">
        <x:f>IF(A466&lt;=Dashboard!$F$17,MIN(Dashboard!$F$10,MAX(0,I466-J466)+K466),0)</x:f>
      </x:c>
      <x:c r="M466" s="32" t="e">
        <x:f>IF(A466&lt;=Dashboard!$F$17,MAX(0,I466-J466-MAX(0,L466-K466)),0)</x:f>
      </x:c>
      <x:c r="N466" s="32" t="e">
        <x:f>IF(A466=1,K466,N465+K466)</x:f>
      </x:c>
      <x:c r="O466" s="32"/>
      <x:c r="P466" s="32" t="e">
        <x:f>IF(A466=1,Dashboard!$F$14,T465)</x:f>
      </x:c>
      <x:c r="Q466" s="32" t="e">
        <x:f>IF(A466&lt;=Dashboard!$F$17,MIN(P466,$B$6*52/12),0)</x:f>
      </x:c>
      <x:c r="R466" s="32" t="e">
        <x:f>IF(A466&lt;=Dashboard!$F$17,MAX(0,P466-Q466)*Dashboard!$F$6,0)</x:f>
      </x:c>
      <x:c r="S466" s="32" t="e">
        <x:f>IF(A466&lt;=Dashboard!$F$17,MIN(Dashboard!$F$10,MAX(0,P466-Q466)+R466),0)</x:f>
      </x:c>
      <x:c r="T466" s="32" t="e">
        <x:f>IF(A466&lt;=Dashboard!$F$17,MAX(0,P466-Q466-MAX(0,S466-R466)),0)</x:f>
      </x:c>
      <x:c r="U466" s="32" t="e">
        <x:f>IF(A466=1,R466,U465+R466)</x:f>
      </x:c>
      <x:c r="V466" s="32"/>
      <x:c r="W466" s="32" t="e">
        <x:f>IF(A466=1,Dashboard!$F$14,AA465)</x:f>
      </x:c>
      <x:c r="X466" s="32" t="e">
        <x:f>IF(AND(A466&lt;=Dashboard!$F$17,MOD(A466-1,12)=0),MIN(W466,$B$7),0)</x:f>
      </x:c>
      <x:c r="Y466" s="32" t="e">
        <x:f>IF(A466&lt;=Dashboard!$F$17,MAX(0,W466-X466)*Dashboard!$F$6,0)</x:f>
      </x:c>
      <x:c r="Z466" s="32" t="e">
        <x:f>IF(A466&lt;=Dashboard!$F$17,MIN(Dashboard!$F$10,MAX(0,W466-X466)+Y466),0)</x:f>
      </x:c>
      <x:c r="AA466" s="32" t="e">
        <x:f>IF(A466&lt;=Dashboard!$F$17,MAX(0,W466-X466-MAX(0,Z466-Y466)),0)</x:f>
      </x:c>
      <x:c r="AB466" s="32" t="e">
        <x:f>IF(A466=1,Y466,AB465+Y466)</x:f>
      </x:c>
      <x:c r="AC466" s="32"/>
      <x:c r="AD466" s="32" t="e">
        <x:f>IF(A466=1,MAX(0,Dashboard!$F$14-$B$8),AG465)</x:f>
      </x:c>
      <x:c r="AE466" s="32" t="n">
        <x:f>0</x:f>
        <x:v>0</x:v>
      </x:c>
      <x:c r="AF466" s="32" t="e">
        <x:f>IF(A466&lt;=Dashboard!$F$17,AD466*Dashboard!$F$6,0)</x:f>
      </x:c>
      <x:c r="AG466" s="32" t="e">
        <x:f>IF(A466&lt;=Dashboard!$F$17,MIN(Dashboard!$F$10,AD466+AF466),0)</x:f>
      </x:c>
      <x:c r="AH466" s="32" t="e">
        <x:f>IF(A466&lt;=Dashboard!$F$17,MAX(0,AD466-MAX(0,AG466-AF466)),0)</x:f>
      </x:c>
      <x:c r="AI466" s="32" t="e">
        <x:f>IF(A466=1,AF466,AI465+AF466)</x:f>
      </x:c>
      <x:c r="AJ466" s="33"/>
      <x:c r="AK466" s="33"/>
      <x:c r="AL466" s="33"/>
      <x:c r="AM466" s="33"/>
    </x:row>
    <x:row r="467">
      <x:c r="A467" s="33" t="n">
        <x:v>455</x:v>
      </x:c>
      <x:c r="B467" s="32" t="e">
        <x:f>IF(A467=1,Dashboard!$F$14,F466)</x:f>
      </x:c>
      <x:c r="C467" s="32" t="n">
        <x:f>0</x:f>
        <x:v>0</x:v>
      </x:c>
      <x:c r="D467" s="32" t="e">
        <x:f>IF(A467&lt;=Dashboard!$F$15,B467*Dashboard!$F$6,0)</x:f>
      </x:c>
      <x:c r="E467" s="32" t="e">
        <x:f>IF(A467&lt;=Dashboard!$F$15,MIN(Dashboard!$F$10,B467+D467),0)</x:f>
      </x:c>
      <x:c r="F467" s="32" t="e">
        <x:f>IF(A467&lt;=Dashboard!$F$15,MAX(0,B467-MAX(0,E467-D467)),0)</x:f>
      </x:c>
      <x:c r="G467" s="32" t="e">
        <x:f>IF(A467=1,D467,G466+D467)</x:f>
      </x:c>
      <x:c r="H467" s="32"/>
      <x:c r="I467" s="32" t="e">
        <x:f>IF(A467=1,Dashboard!$F$14,M466)</x:f>
      </x:c>
      <x:c r="J467" s="32" t="e">
        <x:f>IF(A467&lt;=Dashboard!$F$17,MIN(I467,$B$5),0)</x:f>
      </x:c>
      <x:c r="K467" s="32" t="e">
        <x:f>IF(A467&lt;=Dashboard!$F$17,MAX(0,I467-J467)*Dashboard!$F$6,0)</x:f>
      </x:c>
      <x:c r="L467" s="32" t="e">
        <x:f>IF(A467&lt;=Dashboard!$F$17,MIN(Dashboard!$F$10,MAX(0,I467-J467)+K467),0)</x:f>
      </x:c>
      <x:c r="M467" s="32" t="e">
        <x:f>IF(A467&lt;=Dashboard!$F$17,MAX(0,I467-J467-MAX(0,L467-K467)),0)</x:f>
      </x:c>
      <x:c r="N467" s="32" t="e">
        <x:f>IF(A467=1,K467,N466+K467)</x:f>
      </x:c>
      <x:c r="O467" s="32"/>
      <x:c r="P467" s="32" t="e">
        <x:f>IF(A467=1,Dashboard!$F$14,T466)</x:f>
      </x:c>
      <x:c r="Q467" s="32" t="e">
        <x:f>IF(A467&lt;=Dashboard!$F$17,MIN(P467,$B$6*52/12),0)</x:f>
      </x:c>
      <x:c r="R467" s="32" t="e">
        <x:f>IF(A467&lt;=Dashboard!$F$17,MAX(0,P467-Q467)*Dashboard!$F$6,0)</x:f>
      </x:c>
      <x:c r="S467" s="32" t="e">
        <x:f>IF(A467&lt;=Dashboard!$F$17,MIN(Dashboard!$F$10,MAX(0,P467-Q467)+R467),0)</x:f>
      </x:c>
      <x:c r="T467" s="32" t="e">
        <x:f>IF(A467&lt;=Dashboard!$F$17,MAX(0,P467-Q467-MAX(0,S467-R467)),0)</x:f>
      </x:c>
      <x:c r="U467" s="32" t="e">
        <x:f>IF(A467=1,R467,U466+R467)</x:f>
      </x:c>
      <x:c r="V467" s="32"/>
      <x:c r="W467" s="32" t="e">
        <x:f>IF(A467=1,Dashboard!$F$14,AA466)</x:f>
      </x:c>
      <x:c r="X467" s="32" t="e">
        <x:f>IF(AND(A467&lt;=Dashboard!$F$17,MOD(A467-1,12)=0),MIN(W467,$B$7),0)</x:f>
      </x:c>
      <x:c r="Y467" s="32" t="e">
        <x:f>IF(A467&lt;=Dashboard!$F$17,MAX(0,W467-X467)*Dashboard!$F$6,0)</x:f>
      </x:c>
      <x:c r="Z467" s="32" t="e">
        <x:f>IF(A467&lt;=Dashboard!$F$17,MIN(Dashboard!$F$10,MAX(0,W467-X467)+Y467),0)</x:f>
      </x:c>
      <x:c r="AA467" s="32" t="e">
        <x:f>IF(A467&lt;=Dashboard!$F$17,MAX(0,W467-X467-MAX(0,Z467-Y467)),0)</x:f>
      </x:c>
      <x:c r="AB467" s="32" t="e">
        <x:f>IF(A467=1,Y467,AB466+Y467)</x:f>
      </x:c>
      <x:c r="AC467" s="32"/>
      <x:c r="AD467" s="32" t="e">
        <x:f>IF(A467=1,MAX(0,Dashboard!$F$14-$B$8),AG466)</x:f>
      </x:c>
      <x:c r="AE467" s="32" t="n">
        <x:f>0</x:f>
        <x:v>0</x:v>
      </x:c>
      <x:c r="AF467" s="32" t="e">
        <x:f>IF(A467&lt;=Dashboard!$F$17,AD467*Dashboard!$F$6,0)</x:f>
      </x:c>
      <x:c r="AG467" s="32" t="e">
        <x:f>IF(A467&lt;=Dashboard!$F$17,MIN(Dashboard!$F$10,AD467+AF467),0)</x:f>
      </x:c>
      <x:c r="AH467" s="32" t="e">
        <x:f>IF(A467&lt;=Dashboard!$F$17,MAX(0,AD467-MAX(0,AG467-AF467)),0)</x:f>
      </x:c>
      <x:c r="AI467" s="32" t="e">
        <x:f>IF(A467=1,AF467,AI466+AF467)</x:f>
      </x:c>
      <x:c r="AJ467" s="33"/>
      <x:c r="AK467" s="33"/>
      <x:c r="AL467" s="33"/>
      <x:c r="AM467" s="33"/>
    </x:row>
    <x:row r="468">
      <x:c r="A468" s="33" t="n">
        <x:v>456</x:v>
      </x:c>
      <x:c r="B468" s="32" t="e">
        <x:f>IF(A468=1,Dashboard!$F$14,F467)</x:f>
      </x:c>
      <x:c r="C468" s="32" t="n">
        <x:f>0</x:f>
        <x:v>0</x:v>
      </x:c>
      <x:c r="D468" s="32" t="e">
        <x:f>IF(A468&lt;=Dashboard!$F$15,B468*Dashboard!$F$6,0)</x:f>
      </x:c>
      <x:c r="E468" s="32" t="e">
        <x:f>IF(A468&lt;=Dashboard!$F$15,MIN(Dashboard!$F$10,B468+D468),0)</x:f>
      </x:c>
      <x:c r="F468" s="32" t="e">
        <x:f>IF(A468&lt;=Dashboard!$F$15,MAX(0,B468-MAX(0,E468-D468)),0)</x:f>
      </x:c>
      <x:c r="G468" s="32" t="e">
        <x:f>IF(A468=1,D468,G467+D468)</x:f>
      </x:c>
      <x:c r="H468" s="32"/>
      <x:c r="I468" s="32" t="e">
        <x:f>IF(A468=1,Dashboard!$F$14,M467)</x:f>
      </x:c>
      <x:c r="J468" s="32" t="e">
        <x:f>IF(A468&lt;=Dashboard!$F$17,MIN(I468,$B$5),0)</x:f>
      </x:c>
      <x:c r="K468" s="32" t="e">
        <x:f>IF(A468&lt;=Dashboard!$F$17,MAX(0,I468-J468)*Dashboard!$F$6,0)</x:f>
      </x:c>
      <x:c r="L468" s="32" t="e">
        <x:f>IF(A468&lt;=Dashboard!$F$17,MIN(Dashboard!$F$10,MAX(0,I468-J468)+K468),0)</x:f>
      </x:c>
      <x:c r="M468" s="32" t="e">
        <x:f>IF(A468&lt;=Dashboard!$F$17,MAX(0,I468-J468-MAX(0,L468-K468)),0)</x:f>
      </x:c>
      <x:c r="N468" s="32" t="e">
        <x:f>IF(A468=1,K468,N467+K468)</x:f>
      </x:c>
      <x:c r="O468" s="32"/>
      <x:c r="P468" s="32" t="e">
        <x:f>IF(A468=1,Dashboard!$F$14,T467)</x:f>
      </x:c>
      <x:c r="Q468" s="32" t="e">
        <x:f>IF(A468&lt;=Dashboard!$F$17,MIN(P468,$B$6*52/12),0)</x:f>
      </x:c>
      <x:c r="R468" s="32" t="e">
        <x:f>IF(A468&lt;=Dashboard!$F$17,MAX(0,P468-Q468)*Dashboard!$F$6,0)</x:f>
      </x:c>
      <x:c r="S468" s="32" t="e">
        <x:f>IF(A468&lt;=Dashboard!$F$17,MIN(Dashboard!$F$10,MAX(0,P468-Q468)+R468),0)</x:f>
      </x:c>
      <x:c r="T468" s="32" t="e">
        <x:f>IF(A468&lt;=Dashboard!$F$17,MAX(0,P468-Q468-MAX(0,S468-R468)),0)</x:f>
      </x:c>
      <x:c r="U468" s="32" t="e">
        <x:f>IF(A468=1,R468,U467+R468)</x:f>
      </x:c>
      <x:c r="V468" s="32"/>
      <x:c r="W468" s="32" t="e">
        <x:f>IF(A468=1,Dashboard!$F$14,AA467)</x:f>
      </x:c>
      <x:c r="X468" s="32" t="e">
        <x:f>IF(AND(A468&lt;=Dashboard!$F$17,MOD(A468-1,12)=0),MIN(W468,$B$7),0)</x:f>
      </x:c>
      <x:c r="Y468" s="32" t="e">
        <x:f>IF(A468&lt;=Dashboard!$F$17,MAX(0,W468-X468)*Dashboard!$F$6,0)</x:f>
      </x:c>
      <x:c r="Z468" s="32" t="e">
        <x:f>IF(A468&lt;=Dashboard!$F$17,MIN(Dashboard!$F$10,MAX(0,W468-X468)+Y468),0)</x:f>
      </x:c>
      <x:c r="AA468" s="32" t="e">
        <x:f>IF(A468&lt;=Dashboard!$F$17,MAX(0,W468-X468-MAX(0,Z468-Y468)),0)</x:f>
      </x:c>
      <x:c r="AB468" s="32" t="e">
        <x:f>IF(A468=1,Y468,AB467+Y468)</x:f>
      </x:c>
      <x:c r="AC468" s="32"/>
      <x:c r="AD468" s="32" t="e">
        <x:f>IF(A468=1,MAX(0,Dashboard!$F$14-$B$8),AG467)</x:f>
      </x:c>
      <x:c r="AE468" s="32" t="n">
        <x:f>0</x:f>
        <x:v>0</x:v>
      </x:c>
      <x:c r="AF468" s="32" t="e">
        <x:f>IF(A468&lt;=Dashboard!$F$17,AD468*Dashboard!$F$6,0)</x:f>
      </x:c>
      <x:c r="AG468" s="32" t="e">
        <x:f>IF(A468&lt;=Dashboard!$F$17,MIN(Dashboard!$F$10,AD468+AF468),0)</x:f>
      </x:c>
      <x:c r="AH468" s="32" t="e">
        <x:f>IF(A468&lt;=Dashboard!$F$17,MAX(0,AD468-MAX(0,AG468-AF468)),0)</x:f>
      </x:c>
      <x:c r="AI468" s="32" t="e">
        <x:f>IF(A468=1,AF468,AI467+AF468)</x:f>
      </x:c>
      <x:c r="AJ468" s="33"/>
      <x:c r="AK468" s="33"/>
      <x:c r="AL468" s="33"/>
      <x:c r="AM468" s="33"/>
    </x:row>
    <x:row r="469">
      <x:c r="A469" s="33" t="n">
        <x:v>457</x:v>
      </x:c>
      <x:c r="B469" s="32" t="e">
        <x:f>IF(A469=1,Dashboard!$F$14,F468)</x:f>
      </x:c>
      <x:c r="C469" s="32" t="n">
        <x:f>0</x:f>
        <x:v>0</x:v>
      </x:c>
      <x:c r="D469" s="32" t="e">
        <x:f>IF(A469&lt;=Dashboard!$F$15,B469*Dashboard!$F$6,0)</x:f>
      </x:c>
      <x:c r="E469" s="32" t="e">
        <x:f>IF(A469&lt;=Dashboard!$F$15,MIN(Dashboard!$F$10,B469+D469),0)</x:f>
      </x:c>
      <x:c r="F469" s="32" t="e">
        <x:f>IF(A469&lt;=Dashboard!$F$15,MAX(0,B469-MAX(0,E469-D469)),0)</x:f>
      </x:c>
      <x:c r="G469" s="32" t="e">
        <x:f>IF(A469=1,D469,G468+D469)</x:f>
      </x:c>
      <x:c r="H469" s="32"/>
      <x:c r="I469" s="32" t="e">
        <x:f>IF(A469=1,Dashboard!$F$14,M468)</x:f>
      </x:c>
      <x:c r="J469" s="32" t="e">
        <x:f>IF(A469&lt;=Dashboard!$F$17,MIN(I469,$B$5),0)</x:f>
      </x:c>
      <x:c r="K469" s="32" t="e">
        <x:f>IF(A469&lt;=Dashboard!$F$17,MAX(0,I469-J469)*Dashboard!$F$6,0)</x:f>
      </x:c>
      <x:c r="L469" s="32" t="e">
        <x:f>IF(A469&lt;=Dashboard!$F$17,MIN(Dashboard!$F$10,MAX(0,I469-J469)+K469),0)</x:f>
      </x:c>
      <x:c r="M469" s="32" t="e">
        <x:f>IF(A469&lt;=Dashboard!$F$17,MAX(0,I469-J469-MAX(0,L469-K469)),0)</x:f>
      </x:c>
      <x:c r="N469" s="32" t="e">
        <x:f>IF(A469=1,K469,N468+K469)</x:f>
      </x:c>
      <x:c r="O469" s="32"/>
      <x:c r="P469" s="32" t="e">
        <x:f>IF(A469=1,Dashboard!$F$14,T468)</x:f>
      </x:c>
      <x:c r="Q469" s="32" t="e">
        <x:f>IF(A469&lt;=Dashboard!$F$17,MIN(P469,$B$6*52/12),0)</x:f>
      </x:c>
      <x:c r="R469" s="32" t="e">
        <x:f>IF(A469&lt;=Dashboard!$F$17,MAX(0,P469-Q469)*Dashboard!$F$6,0)</x:f>
      </x:c>
      <x:c r="S469" s="32" t="e">
        <x:f>IF(A469&lt;=Dashboard!$F$17,MIN(Dashboard!$F$10,MAX(0,P469-Q469)+R469),0)</x:f>
      </x:c>
      <x:c r="T469" s="32" t="e">
        <x:f>IF(A469&lt;=Dashboard!$F$17,MAX(0,P469-Q469-MAX(0,S469-R469)),0)</x:f>
      </x:c>
      <x:c r="U469" s="32" t="e">
        <x:f>IF(A469=1,R469,U468+R469)</x:f>
      </x:c>
      <x:c r="V469" s="32"/>
      <x:c r="W469" s="32" t="e">
        <x:f>IF(A469=1,Dashboard!$F$14,AA468)</x:f>
      </x:c>
      <x:c r="X469" s="32" t="e">
        <x:f>IF(AND(A469&lt;=Dashboard!$F$17,MOD(A469-1,12)=0),MIN(W469,$B$7),0)</x:f>
      </x:c>
      <x:c r="Y469" s="32" t="e">
        <x:f>IF(A469&lt;=Dashboard!$F$17,MAX(0,W469-X469)*Dashboard!$F$6,0)</x:f>
      </x:c>
      <x:c r="Z469" s="32" t="e">
        <x:f>IF(A469&lt;=Dashboard!$F$17,MIN(Dashboard!$F$10,MAX(0,W469-X469)+Y469),0)</x:f>
      </x:c>
      <x:c r="AA469" s="32" t="e">
        <x:f>IF(A469&lt;=Dashboard!$F$17,MAX(0,W469-X469-MAX(0,Z469-Y469)),0)</x:f>
      </x:c>
      <x:c r="AB469" s="32" t="e">
        <x:f>IF(A469=1,Y469,AB468+Y469)</x:f>
      </x:c>
      <x:c r="AC469" s="32"/>
      <x:c r="AD469" s="32" t="e">
        <x:f>IF(A469=1,MAX(0,Dashboard!$F$14-$B$8),AG468)</x:f>
      </x:c>
      <x:c r="AE469" s="32" t="n">
        <x:f>0</x:f>
        <x:v>0</x:v>
      </x:c>
      <x:c r="AF469" s="32" t="e">
        <x:f>IF(A469&lt;=Dashboard!$F$17,AD469*Dashboard!$F$6,0)</x:f>
      </x:c>
      <x:c r="AG469" s="32" t="e">
        <x:f>IF(A469&lt;=Dashboard!$F$17,MIN(Dashboard!$F$10,AD469+AF469),0)</x:f>
      </x:c>
      <x:c r="AH469" s="32" t="e">
        <x:f>IF(A469&lt;=Dashboard!$F$17,MAX(0,AD469-MAX(0,AG469-AF469)),0)</x:f>
      </x:c>
      <x:c r="AI469" s="32" t="e">
        <x:f>IF(A469=1,AF469,AI468+AF469)</x:f>
      </x:c>
      <x:c r="AJ469" s="33"/>
      <x:c r="AK469" s="33"/>
      <x:c r="AL469" s="33"/>
      <x:c r="AM469" s="33"/>
    </x:row>
    <x:row r="470">
      <x:c r="A470" s="33" t="n">
        <x:v>458</x:v>
      </x:c>
      <x:c r="B470" s="32" t="e">
        <x:f>IF(A470=1,Dashboard!$F$14,F469)</x:f>
      </x:c>
      <x:c r="C470" s="32" t="n">
        <x:f>0</x:f>
        <x:v>0</x:v>
      </x:c>
      <x:c r="D470" s="32" t="e">
        <x:f>IF(A470&lt;=Dashboard!$F$15,B470*Dashboard!$F$6,0)</x:f>
      </x:c>
      <x:c r="E470" s="32" t="e">
        <x:f>IF(A470&lt;=Dashboard!$F$15,MIN(Dashboard!$F$10,B470+D470),0)</x:f>
      </x:c>
      <x:c r="F470" s="32" t="e">
        <x:f>IF(A470&lt;=Dashboard!$F$15,MAX(0,B470-MAX(0,E470-D470)),0)</x:f>
      </x:c>
      <x:c r="G470" s="32" t="e">
        <x:f>IF(A470=1,D470,G469+D470)</x:f>
      </x:c>
      <x:c r="H470" s="32"/>
      <x:c r="I470" s="32" t="e">
        <x:f>IF(A470=1,Dashboard!$F$14,M469)</x:f>
      </x:c>
      <x:c r="J470" s="32" t="e">
        <x:f>IF(A470&lt;=Dashboard!$F$17,MIN(I470,$B$5),0)</x:f>
      </x:c>
      <x:c r="K470" s="32" t="e">
        <x:f>IF(A470&lt;=Dashboard!$F$17,MAX(0,I470-J470)*Dashboard!$F$6,0)</x:f>
      </x:c>
      <x:c r="L470" s="32" t="e">
        <x:f>IF(A470&lt;=Dashboard!$F$17,MIN(Dashboard!$F$10,MAX(0,I470-J470)+K470),0)</x:f>
      </x:c>
      <x:c r="M470" s="32" t="e">
        <x:f>IF(A470&lt;=Dashboard!$F$17,MAX(0,I470-J470-MAX(0,L470-K470)),0)</x:f>
      </x:c>
      <x:c r="N470" s="32" t="e">
        <x:f>IF(A470=1,K470,N469+K470)</x:f>
      </x:c>
      <x:c r="O470" s="32"/>
      <x:c r="P470" s="32" t="e">
        <x:f>IF(A470=1,Dashboard!$F$14,T469)</x:f>
      </x:c>
      <x:c r="Q470" s="32" t="e">
        <x:f>IF(A470&lt;=Dashboard!$F$17,MIN(P470,$B$6*52/12),0)</x:f>
      </x:c>
      <x:c r="R470" s="32" t="e">
        <x:f>IF(A470&lt;=Dashboard!$F$17,MAX(0,P470-Q470)*Dashboard!$F$6,0)</x:f>
      </x:c>
      <x:c r="S470" s="32" t="e">
        <x:f>IF(A470&lt;=Dashboard!$F$17,MIN(Dashboard!$F$10,MAX(0,P470-Q470)+R470),0)</x:f>
      </x:c>
      <x:c r="T470" s="32" t="e">
        <x:f>IF(A470&lt;=Dashboard!$F$17,MAX(0,P470-Q470-MAX(0,S470-R470)),0)</x:f>
      </x:c>
      <x:c r="U470" s="32" t="e">
        <x:f>IF(A470=1,R470,U469+R470)</x:f>
      </x:c>
      <x:c r="V470" s="32"/>
      <x:c r="W470" s="32" t="e">
        <x:f>IF(A470=1,Dashboard!$F$14,AA469)</x:f>
      </x:c>
      <x:c r="X470" s="32" t="e">
        <x:f>IF(AND(A470&lt;=Dashboard!$F$17,MOD(A470-1,12)=0),MIN(W470,$B$7),0)</x:f>
      </x:c>
      <x:c r="Y470" s="32" t="e">
        <x:f>IF(A470&lt;=Dashboard!$F$17,MAX(0,W470-X470)*Dashboard!$F$6,0)</x:f>
      </x:c>
      <x:c r="Z470" s="32" t="e">
        <x:f>IF(A470&lt;=Dashboard!$F$17,MIN(Dashboard!$F$10,MAX(0,W470-X470)+Y470),0)</x:f>
      </x:c>
      <x:c r="AA470" s="32" t="e">
        <x:f>IF(A470&lt;=Dashboard!$F$17,MAX(0,W470-X470-MAX(0,Z470-Y470)),0)</x:f>
      </x:c>
      <x:c r="AB470" s="32" t="e">
        <x:f>IF(A470=1,Y470,AB469+Y470)</x:f>
      </x:c>
      <x:c r="AC470" s="32"/>
      <x:c r="AD470" s="32" t="e">
        <x:f>IF(A470=1,MAX(0,Dashboard!$F$14-$B$8),AG469)</x:f>
      </x:c>
      <x:c r="AE470" s="32" t="n">
        <x:f>0</x:f>
        <x:v>0</x:v>
      </x:c>
      <x:c r="AF470" s="32" t="e">
        <x:f>IF(A470&lt;=Dashboard!$F$17,AD470*Dashboard!$F$6,0)</x:f>
      </x:c>
      <x:c r="AG470" s="32" t="e">
        <x:f>IF(A470&lt;=Dashboard!$F$17,MIN(Dashboard!$F$10,AD470+AF470),0)</x:f>
      </x:c>
      <x:c r="AH470" s="32" t="e">
        <x:f>IF(A470&lt;=Dashboard!$F$17,MAX(0,AD470-MAX(0,AG470-AF470)),0)</x:f>
      </x:c>
      <x:c r="AI470" s="32" t="e">
        <x:f>IF(A470=1,AF470,AI469+AF470)</x:f>
      </x:c>
      <x:c r="AJ470" s="33"/>
      <x:c r="AK470" s="33"/>
      <x:c r="AL470" s="33"/>
      <x:c r="AM470" s="33"/>
    </x:row>
    <x:row r="471">
      <x:c r="A471" s="33" t="n">
        <x:v>459</x:v>
      </x:c>
      <x:c r="B471" s="32" t="e">
        <x:f>IF(A471=1,Dashboard!$F$14,F470)</x:f>
      </x:c>
      <x:c r="C471" s="32" t="n">
        <x:f>0</x:f>
        <x:v>0</x:v>
      </x:c>
      <x:c r="D471" s="32" t="e">
        <x:f>IF(A471&lt;=Dashboard!$F$15,B471*Dashboard!$F$6,0)</x:f>
      </x:c>
      <x:c r="E471" s="32" t="e">
        <x:f>IF(A471&lt;=Dashboard!$F$15,MIN(Dashboard!$F$10,B471+D471),0)</x:f>
      </x:c>
      <x:c r="F471" s="32" t="e">
        <x:f>IF(A471&lt;=Dashboard!$F$15,MAX(0,B471-MAX(0,E471-D471)),0)</x:f>
      </x:c>
      <x:c r="G471" s="32" t="e">
        <x:f>IF(A471=1,D471,G470+D471)</x:f>
      </x:c>
      <x:c r="H471" s="32"/>
      <x:c r="I471" s="32" t="e">
        <x:f>IF(A471=1,Dashboard!$F$14,M470)</x:f>
      </x:c>
      <x:c r="J471" s="32" t="e">
        <x:f>IF(A471&lt;=Dashboard!$F$17,MIN(I471,$B$5),0)</x:f>
      </x:c>
      <x:c r="K471" s="32" t="e">
        <x:f>IF(A471&lt;=Dashboard!$F$17,MAX(0,I471-J471)*Dashboard!$F$6,0)</x:f>
      </x:c>
      <x:c r="L471" s="32" t="e">
        <x:f>IF(A471&lt;=Dashboard!$F$17,MIN(Dashboard!$F$10,MAX(0,I471-J471)+K471),0)</x:f>
      </x:c>
      <x:c r="M471" s="32" t="e">
        <x:f>IF(A471&lt;=Dashboard!$F$17,MAX(0,I471-J471-MAX(0,L471-K471)),0)</x:f>
      </x:c>
      <x:c r="N471" s="32" t="e">
        <x:f>IF(A471=1,K471,N470+K471)</x:f>
      </x:c>
      <x:c r="O471" s="32"/>
      <x:c r="P471" s="32" t="e">
        <x:f>IF(A471=1,Dashboard!$F$14,T470)</x:f>
      </x:c>
      <x:c r="Q471" s="32" t="e">
        <x:f>IF(A471&lt;=Dashboard!$F$17,MIN(P471,$B$6*52/12),0)</x:f>
      </x:c>
      <x:c r="R471" s="32" t="e">
        <x:f>IF(A471&lt;=Dashboard!$F$17,MAX(0,P471-Q471)*Dashboard!$F$6,0)</x:f>
      </x:c>
      <x:c r="S471" s="32" t="e">
        <x:f>IF(A471&lt;=Dashboard!$F$17,MIN(Dashboard!$F$10,MAX(0,P471-Q471)+R471),0)</x:f>
      </x:c>
      <x:c r="T471" s="32" t="e">
        <x:f>IF(A471&lt;=Dashboard!$F$17,MAX(0,P471-Q471-MAX(0,S471-R471)),0)</x:f>
      </x:c>
      <x:c r="U471" s="32" t="e">
        <x:f>IF(A471=1,R471,U470+R471)</x:f>
      </x:c>
      <x:c r="V471" s="32"/>
      <x:c r="W471" s="32" t="e">
        <x:f>IF(A471=1,Dashboard!$F$14,AA470)</x:f>
      </x:c>
      <x:c r="X471" s="32" t="e">
        <x:f>IF(AND(A471&lt;=Dashboard!$F$17,MOD(A471-1,12)=0),MIN(W471,$B$7),0)</x:f>
      </x:c>
      <x:c r="Y471" s="32" t="e">
        <x:f>IF(A471&lt;=Dashboard!$F$17,MAX(0,W471-X471)*Dashboard!$F$6,0)</x:f>
      </x:c>
      <x:c r="Z471" s="32" t="e">
        <x:f>IF(A471&lt;=Dashboard!$F$17,MIN(Dashboard!$F$10,MAX(0,W471-X471)+Y471),0)</x:f>
      </x:c>
      <x:c r="AA471" s="32" t="e">
        <x:f>IF(A471&lt;=Dashboard!$F$17,MAX(0,W471-X471-MAX(0,Z471-Y471)),0)</x:f>
      </x:c>
      <x:c r="AB471" s="32" t="e">
        <x:f>IF(A471=1,Y471,AB470+Y471)</x:f>
      </x:c>
      <x:c r="AC471" s="32"/>
      <x:c r="AD471" s="32" t="e">
        <x:f>IF(A471=1,MAX(0,Dashboard!$F$14-$B$8),AG470)</x:f>
      </x:c>
      <x:c r="AE471" s="32" t="n">
        <x:f>0</x:f>
        <x:v>0</x:v>
      </x:c>
      <x:c r="AF471" s="32" t="e">
        <x:f>IF(A471&lt;=Dashboard!$F$17,AD471*Dashboard!$F$6,0)</x:f>
      </x:c>
      <x:c r="AG471" s="32" t="e">
        <x:f>IF(A471&lt;=Dashboard!$F$17,MIN(Dashboard!$F$10,AD471+AF471),0)</x:f>
      </x:c>
      <x:c r="AH471" s="32" t="e">
        <x:f>IF(A471&lt;=Dashboard!$F$17,MAX(0,AD471-MAX(0,AG471-AF471)),0)</x:f>
      </x:c>
      <x:c r="AI471" s="32" t="e">
        <x:f>IF(A471=1,AF471,AI470+AF471)</x:f>
      </x:c>
      <x:c r="AJ471" s="33"/>
      <x:c r="AK471" s="33"/>
      <x:c r="AL471" s="33"/>
      <x:c r="AM471" s="33"/>
    </x:row>
    <x:row r="472">
      <x:c r="A472" s="33" t="n">
        <x:v>460</x:v>
      </x:c>
      <x:c r="B472" s="32" t="e">
        <x:f>IF(A472=1,Dashboard!$F$14,F471)</x:f>
      </x:c>
      <x:c r="C472" s="32" t="n">
        <x:f>0</x:f>
        <x:v>0</x:v>
      </x:c>
      <x:c r="D472" s="32" t="e">
        <x:f>IF(A472&lt;=Dashboard!$F$15,B472*Dashboard!$F$6,0)</x:f>
      </x:c>
      <x:c r="E472" s="32" t="e">
        <x:f>IF(A472&lt;=Dashboard!$F$15,MIN(Dashboard!$F$10,B472+D472),0)</x:f>
      </x:c>
      <x:c r="F472" s="32" t="e">
        <x:f>IF(A472&lt;=Dashboard!$F$15,MAX(0,B472-MAX(0,E472-D472)),0)</x:f>
      </x:c>
      <x:c r="G472" s="32" t="e">
        <x:f>IF(A472=1,D472,G471+D472)</x:f>
      </x:c>
      <x:c r="H472" s="32"/>
      <x:c r="I472" s="32" t="e">
        <x:f>IF(A472=1,Dashboard!$F$14,M471)</x:f>
      </x:c>
      <x:c r="J472" s="32" t="e">
        <x:f>IF(A472&lt;=Dashboard!$F$17,MIN(I472,$B$5),0)</x:f>
      </x:c>
      <x:c r="K472" s="32" t="e">
        <x:f>IF(A472&lt;=Dashboard!$F$17,MAX(0,I472-J472)*Dashboard!$F$6,0)</x:f>
      </x:c>
      <x:c r="L472" s="32" t="e">
        <x:f>IF(A472&lt;=Dashboard!$F$17,MIN(Dashboard!$F$10,MAX(0,I472-J472)+K472),0)</x:f>
      </x:c>
      <x:c r="M472" s="32" t="e">
        <x:f>IF(A472&lt;=Dashboard!$F$17,MAX(0,I472-J472-MAX(0,L472-K472)),0)</x:f>
      </x:c>
      <x:c r="N472" s="32" t="e">
        <x:f>IF(A472=1,K472,N471+K472)</x:f>
      </x:c>
      <x:c r="O472" s="32"/>
      <x:c r="P472" s="32" t="e">
        <x:f>IF(A472=1,Dashboard!$F$14,T471)</x:f>
      </x:c>
      <x:c r="Q472" s="32" t="e">
        <x:f>IF(A472&lt;=Dashboard!$F$17,MIN(P472,$B$6*52/12),0)</x:f>
      </x:c>
      <x:c r="R472" s="32" t="e">
        <x:f>IF(A472&lt;=Dashboard!$F$17,MAX(0,P472-Q472)*Dashboard!$F$6,0)</x:f>
      </x:c>
      <x:c r="S472" s="32" t="e">
        <x:f>IF(A472&lt;=Dashboard!$F$17,MIN(Dashboard!$F$10,MAX(0,P472-Q472)+R472),0)</x:f>
      </x:c>
      <x:c r="T472" s="32" t="e">
        <x:f>IF(A472&lt;=Dashboard!$F$17,MAX(0,P472-Q472-MAX(0,S472-R472)),0)</x:f>
      </x:c>
      <x:c r="U472" s="32" t="e">
        <x:f>IF(A472=1,R472,U471+R472)</x:f>
      </x:c>
      <x:c r="V472" s="32"/>
      <x:c r="W472" s="32" t="e">
        <x:f>IF(A472=1,Dashboard!$F$14,AA471)</x:f>
      </x:c>
      <x:c r="X472" s="32" t="e">
        <x:f>IF(AND(A472&lt;=Dashboard!$F$17,MOD(A472-1,12)=0),MIN(W472,$B$7),0)</x:f>
      </x:c>
      <x:c r="Y472" s="32" t="e">
        <x:f>IF(A472&lt;=Dashboard!$F$17,MAX(0,W472-X472)*Dashboard!$F$6,0)</x:f>
      </x:c>
      <x:c r="Z472" s="32" t="e">
        <x:f>IF(A472&lt;=Dashboard!$F$17,MIN(Dashboard!$F$10,MAX(0,W472-X472)+Y472),0)</x:f>
      </x:c>
      <x:c r="AA472" s="32" t="e">
        <x:f>IF(A472&lt;=Dashboard!$F$17,MAX(0,W472-X472-MAX(0,Z472-Y472)),0)</x:f>
      </x:c>
      <x:c r="AB472" s="32" t="e">
        <x:f>IF(A472=1,Y472,AB471+Y472)</x:f>
      </x:c>
      <x:c r="AC472" s="32"/>
      <x:c r="AD472" s="32" t="e">
        <x:f>IF(A472=1,MAX(0,Dashboard!$F$14-$B$8),AG471)</x:f>
      </x:c>
      <x:c r="AE472" s="32" t="n">
        <x:f>0</x:f>
        <x:v>0</x:v>
      </x:c>
      <x:c r="AF472" s="32" t="e">
        <x:f>IF(A472&lt;=Dashboard!$F$17,AD472*Dashboard!$F$6,0)</x:f>
      </x:c>
      <x:c r="AG472" s="32" t="e">
        <x:f>IF(A472&lt;=Dashboard!$F$17,MIN(Dashboard!$F$10,AD472+AF472),0)</x:f>
      </x:c>
      <x:c r="AH472" s="32" t="e">
        <x:f>IF(A472&lt;=Dashboard!$F$17,MAX(0,AD472-MAX(0,AG472-AF472)),0)</x:f>
      </x:c>
      <x:c r="AI472" s="32" t="e">
        <x:f>IF(A472=1,AF472,AI471+AF472)</x:f>
      </x:c>
      <x:c r="AJ472" s="33"/>
      <x:c r="AK472" s="33"/>
      <x:c r="AL472" s="33"/>
      <x:c r="AM472" s="33"/>
    </x:row>
    <x:row r="473">
      <x:c r="A473" s="33" t="n">
        <x:v>461</x:v>
      </x:c>
      <x:c r="B473" s="32" t="e">
        <x:f>IF(A473=1,Dashboard!$F$14,F472)</x:f>
      </x:c>
      <x:c r="C473" s="32" t="n">
        <x:f>0</x:f>
        <x:v>0</x:v>
      </x:c>
      <x:c r="D473" s="32" t="e">
        <x:f>IF(A473&lt;=Dashboard!$F$15,B473*Dashboard!$F$6,0)</x:f>
      </x:c>
      <x:c r="E473" s="32" t="e">
        <x:f>IF(A473&lt;=Dashboard!$F$15,MIN(Dashboard!$F$10,B473+D473),0)</x:f>
      </x:c>
      <x:c r="F473" s="32" t="e">
        <x:f>IF(A473&lt;=Dashboard!$F$15,MAX(0,B473-MAX(0,E473-D473)),0)</x:f>
      </x:c>
      <x:c r="G473" s="32" t="e">
        <x:f>IF(A473=1,D473,G472+D473)</x:f>
      </x:c>
      <x:c r="H473" s="32"/>
      <x:c r="I473" s="32" t="e">
        <x:f>IF(A473=1,Dashboard!$F$14,M472)</x:f>
      </x:c>
      <x:c r="J473" s="32" t="e">
        <x:f>IF(A473&lt;=Dashboard!$F$17,MIN(I473,$B$5),0)</x:f>
      </x:c>
      <x:c r="K473" s="32" t="e">
        <x:f>IF(A473&lt;=Dashboard!$F$17,MAX(0,I473-J473)*Dashboard!$F$6,0)</x:f>
      </x:c>
      <x:c r="L473" s="32" t="e">
        <x:f>IF(A473&lt;=Dashboard!$F$17,MIN(Dashboard!$F$10,MAX(0,I473-J473)+K473),0)</x:f>
      </x:c>
      <x:c r="M473" s="32" t="e">
        <x:f>IF(A473&lt;=Dashboard!$F$17,MAX(0,I473-J473-MAX(0,L473-K473)),0)</x:f>
      </x:c>
      <x:c r="N473" s="32" t="e">
        <x:f>IF(A473=1,K473,N472+K473)</x:f>
      </x:c>
      <x:c r="O473" s="32"/>
      <x:c r="P473" s="32" t="e">
        <x:f>IF(A473=1,Dashboard!$F$14,T472)</x:f>
      </x:c>
      <x:c r="Q473" s="32" t="e">
        <x:f>IF(A473&lt;=Dashboard!$F$17,MIN(P473,$B$6*52/12),0)</x:f>
      </x:c>
      <x:c r="R473" s="32" t="e">
        <x:f>IF(A473&lt;=Dashboard!$F$17,MAX(0,P473-Q473)*Dashboard!$F$6,0)</x:f>
      </x:c>
      <x:c r="S473" s="32" t="e">
        <x:f>IF(A473&lt;=Dashboard!$F$17,MIN(Dashboard!$F$10,MAX(0,P473-Q473)+R473),0)</x:f>
      </x:c>
      <x:c r="T473" s="32" t="e">
        <x:f>IF(A473&lt;=Dashboard!$F$17,MAX(0,P473-Q473-MAX(0,S473-R473)),0)</x:f>
      </x:c>
      <x:c r="U473" s="32" t="e">
        <x:f>IF(A473=1,R473,U472+R473)</x:f>
      </x:c>
      <x:c r="V473" s="32"/>
      <x:c r="W473" s="32" t="e">
        <x:f>IF(A473=1,Dashboard!$F$14,AA472)</x:f>
      </x:c>
      <x:c r="X473" s="32" t="e">
        <x:f>IF(AND(A473&lt;=Dashboard!$F$17,MOD(A473-1,12)=0),MIN(W473,$B$7),0)</x:f>
      </x:c>
      <x:c r="Y473" s="32" t="e">
        <x:f>IF(A473&lt;=Dashboard!$F$17,MAX(0,W473-X473)*Dashboard!$F$6,0)</x:f>
      </x:c>
      <x:c r="Z473" s="32" t="e">
        <x:f>IF(A473&lt;=Dashboard!$F$17,MIN(Dashboard!$F$10,MAX(0,W473-X473)+Y473),0)</x:f>
      </x:c>
      <x:c r="AA473" s="32" t="e">
        <x:f>IF(A473&lt;=Dashboard!$F$17,MAX(0,W473-X473-MAX(0,Z473-Y473)),0)</x:f>
      </x:c>
      <x:c r="AB473" s="32" t="e">
        <x:f>IF(A473=1,Y473,AB472+Y473)</x:f>
      </x:c>
      <x:c r="AC473" s="32"/>
      <x:c r="AD473" s="32" t="e">
        <x:f>IF(A473=1,MAX(0,Dashboard!$F$14-$B$8),AG472)</x:f>
      </x:c>
      <x:c r="AE473" s="32" t="n">
        <x:f>0</x:f>
        <x:v>0</x:v>
      </x:c>
      <x:c r="AF473" s="32" t="e">
        <x:f>IF(A473&lt;=Dashboard!$F$17,AD473*Dashboard!$F$6,0)</x:f>
      </x:c>
      <x:c r="AG473" s="32" t="e">
        <x:f>IF(A473&lt;=Dashboard!$F$17,MIN(Dashboard!$F$10,AD473+AF473),0)</x:f>
      </x:c>
      <x:c r="AH473" s="32" t="e">
        <x:f>IF(A473&lt;=Dashboard!$F$17,MAX(0,AD473-MAX(0,AG473-AF473)),0)</x:f>
      </x:c>
      <x:c r="AI473" s="32" t="e">
        <x:f>IF(A473=1,AF473,AI472+AF473)</x:f>
      </x:c>
      <x:c r="AJ473" s="33"/>
      <x:c r="AK473" s="33"/>
      <x:c r="AL473" s="33"/>
      <x:c r="AM473" s="33"/>
    </x:row>
    <x:row r="474">
      <x:c r="A474" s="33" t="n">
        <x:v>462</x:v>
      </x:c>
      <x:c r="B474" s="32" t="e">
        <x:f>IF(A474=1,Dashboard!$F$14,F473)</x:f>
      </x:c>
      <x:c r="C474" s="32" t="n">
        <x:f>0</x:f>
        <x:v>0</x:v>
      </x:c>
      <x:c r="D474" s="32" t="e">
        <x:f>IF(A474&lt;=Dashboard!$F$15,B474*Dashboard!$F$6,0)</x:f>
      </x:c>
      <x:c r="E474" s="32" t="e">
        <x:f>IF(A474&lt;=Dashboard!$F$15,MIN(Dashboard!$F$10,B474+D474),0)</x:f>
      </x:c>
      <x:c r="F474" s="32" t="e">
        <x:f>IF(A474&lt;=Dashboard!$F$15,MAX(0,B474-MAX(0,E474-D474)),0)</x:f>
      </x:c>
      <x:c r="G474" s="32" t="e">
        <x:f>IF(A474=1,D474,G473+D474)</x:f>
      </x:c>
      <x:c r="H474" s="32"/>
      <x:c r="I474" s="32" t="e">
        <x:f>IF(A474=1,Dashboard!$F$14,M473)</x:f>
      </x:c>
      <x:c r="J474" s="32" t="e">
        <x:f>IF(A474&lt;=Dashboard!$F$17,MIN(I474,$B$5),0)</x:f>
      </x:c>
      <x:c r="K474" s="32" t="e">
        <x:f>IF(A474&lt;=Dashboard!$F$17,MAX(0,I474-J474)*Dashboard!$F$6,0)</x:f>
      </x:c>
      <x:c r="L474" s="32" t="e">
        <x:f>IF(A474&lt;=Dashboard!$F$17,MIN(Dashboard!$F$10,MAX(0,I474-J474)+K474),0)</x:f>
      </x:c>
      <x:c r="M474" s="32" t="e">
        <x:f>IF(A474&lt;=Dashboard!$F$17,MAX(0,I474-J474-MAX(0,L474-K474)),0)</x:f>
      </x:c>
      <x:c r="N474" s="32" t="e">
        <x:f>IF(A474=1,K474,N473+K474)</x:f>
      </x:c>
      <x:c r="O474" s="32"/>
      <x:c r="P474" s="32" t="e">
        <x:f>IF(A474=1,Dashboard!$F$14,T473)</x:f>
      </x:c>
      <x:c r="Q474" s="32" t="e">
        <x:f>IF(A474&lt;=Dashboard!$F$17,MIN(P474,$B$6*52/12),0)</x:f>
      </x:c>
      <x:c r="R474" s="32" t="e">
        <x:f>IF(A474&lt;=Dashboard!$F$17,MAX(0,P474-Q474)*Dashboard!$F$6,0)</x:f>
      </x:c>
      <x:c r="S474" s="32" t="e">
        <x:f>IF(A474&lt;=Dashboard!$F$17,MIN(Dashboard!$F$10,MAX(0,P474-Q474)+R474),0)</x:f>
      </x:c>
      <x:c r="T474" s="32" t="e">
        <x:f>IF(A474&lt;=Dashboard!$F$17,MAX(0,P474-Q474-MAX(0,S474-R474)),0)</x:f>
      </x:c>
      <x:c r="U474" s="32" t="e">
        <x:f>IF(A474=1,R474,U473+R474)</x:f>
      </x:c>
      <x:c r="V474" s="32"/>
      <x:c r="W474" s="32" t="e">
        <x:f>IF(A474=1,Dashboard!$F$14,AA473)</x:f>
      </x:c>
      <x:c r="X474" s="32" t="e">
        <x:f>IF(AND(A474&lt;=Dashboard!$F$17,MOD(A474-1,12)=0),MIN(W474,$B$7),0)</x:f>
      </x:c>
      <x:c r="Y474" s="32" t="e">
        <x:f>IF(A474&lt;=Dashboard!$F$17,MAX(0,W474-X474)*Dashboard!$F$6,0)</x:f>
      </x:c>
      <x:c r="Z474" s="32" t="e">
        <x:f>IF(A474&lt;=Dashboard!$F$17,MIN(Dashboard!$F$10,MAX(0,W474-X474)+Y474),0)</x:f>
      </x:c>
      <x:c r="AA474" s="32" t="e">
        <x:f>IF(A474&lt;=Dashboard!$F$17,MAX(0,W474-X474-MAX(0,Z474-Y474)),0)</x:f>
      </x:c>
      <x:c r="AB474" s="32" t="e">
        <x:f>IF(A474=1,Y474,AB473+Y474)</x:f>
      </x:c>
      <x:c r="AC474" s="32"/>
      <x:c r="AD474" s="32" t="e">
        <x:f>IF(A474=1,MAX(0,Dashboard!$F$14-$B$8),AG473)</x:f>
      </x:c>
      <x:c r="AE474" s="32" t="n">
        <x:f>0</x:f>
        <x:v>0</x:v>
      </x:c>
      <x:c r="AF474" s="32" t="e">
        <x:f>IF(A474&lt;=Dashboard!$F$17,AD474*Dashboard!$F$6,0)</x:f>
      </x:c>
      <x:c r="AG474" s="32" t="e">
        <x:f>IF(A474&lt;=Dashboard!$F$17,MIN(Dashboard!$F$10,AD474+AF474),0)</x:f>
      </x:c>
      <x:c r="AH474" s="32" t="e">
        <x:f>IF(A474&lt;=Dashboard!$F$17,MAX(0,AD474-MAX(0,AG474-AF474)),0)</x:f>
      </x:c>
      <x:c r="AI474" s="32" t="e">
        <x:f>IF(A474=1,AF474,AI473+AF474)</x:f>
      </x:c>
      <x:c r="AJ474" s="33"/>
      <x:c r="AK474" s="33"/>
      <x:c r="AL474" s="33"/>
      <x:c r="AM474" s="33"/>
    </x:row>
    <x:row r="475">
      <x:c r="A475" s="33" t="n">
        <x:v>463</x:v>
      </x:c>
      <x:c r="B475" s="32" t="e">
        <x:f>IF(A475=1,Dashboard!$F$14,F474)</x:f>
      </x:c>
      <x:c r="C475" s="32" t="n">
        <x:f>0</x:f>
        <x:v>0</x:v>
      </x:c>
      <x:c r="D475" s="32" t="e">
        <x:f>IF(A475&lt;=Dashboard!$F$15,B475*Dashboard!$F$6,0)</x:f>
      </x:c>
      <x:c r="E475" s="32" t="e">
        <x:f>IF(A475&lt;=Dashboard!$F$15,MIN(Dashboard!$F$10,B475+D475),0)</x:f>
      </x:c>
      <x:c r="F475" s="32" t="e">
        <x:f>IF(A475&lt;=Dashboard!$F$15,MAX(0,B475-MAX(0,E475-D475)),0)</x:f>
      </x:c>
      <x:c r="G475" s="32" t="e">
        <x:f>IF(A475=1,D475,G474+D475)</x:f>
      </x:c>
      <x:c r="H475" s="32"/>
      <x:c r="I475" s="32" t="e">
        <x:f>IF(A475=1,Dashboard!$F$14,M474)</x:f>
      </x:c>
      <x:c r="J475" s="32" t="e">
        <x:f>IF(A475&lt;=Dashboard!$F$17,MIN(I475,$B$5),0)</x:f>
      </x:c>
      <x:c r="K475" s="32" t="e">
        <x:f>IF(A475&lt;=Dashboard!$F$17,MAX(0,I475-J475)*Dashboard!$F$6,0)</x:f>
      </x:c>
      <x:c r="L475" s="32" t="e">
        <x:f>IF(A475&lt;=Dashboard!$F$17,MIN(Dashboard!$F$10,MAX(0,I475-J475)+K475),0)</x:f>
      </x:c>
      <x:c r="M475" s="32" t="e">
        <x:f>IF(A475&lt;=Dashboard!$F$17,MAX(0,I475-J475-MAX(0,L475-K475)),0)</x:f>
      </x:c>
      <x:c r="N475" s="32" t="e">
        <x:f>IF(A475=1,K475,N474+K475)</x:f>
      </x:c>
      <x:c r="O475" s="32"/>
      <x:c r="P475" s="32" t="e">
        <x:f>IF(A475=1,Dashboard!$F$14,T474)</x:f>
      </x:c>
      <x:c r="Q475" s="32" t="e">
        <x:f>IF(A475&lt;=Dashboard!$F$17,MIN(P475,$B$6*52/12),0)</x:f>
      </x:c>
      <x:c r="R475" s="32" t="e">
        <x:f>IF(A475&lt;=Dashboard!$F$17,MAX(0,P475-Q475)*Dashboard!$F$6,0)</x:f>
      </x:c>
      <x:c r="S475" s="32" t="e">
        <x:f>IF(A475&lt;=Dashboard!$F$17,MIN(Dashboard!$F$10,MAX(0,P475-Q475)+R475),0)</x:f>
      </x:c>
      <x:c r="T475" s="32" t="e">
        <x:f>IF(A475&lt;=Dashboard!$F$17,MAX(0,P475-Q475-MAX(0,S475-R475)),0)</x:f>
      </x:c>
      <x:c r="U475" s="32" t="e">
        <x:f>IF(A475=1,R475,U474+R475)</x:f>
      </x:c>
      <x:c r="V475" s="32"/>
      <x:c r="W475" s="32" t="e">
        <x:f>IF(A475=1,Dashboard!$F$14,AA474)</x:f>
      </x:c>
      <x:c r="X475" s="32" t="e">
        <x:f>IF(AND(A475&lt;=Dashboard!$F$17,MOD(A475-1,12)=0),MIN(W475,$B$7),0)</x:f>
      </x:c>
      <x:c r="Y475" s="32" t="e">
        <x:f>IF(A475&lt;=Dashboard!$F$17,MAX(0,W475-X475)*Dashboard!$F$6,0)</x:f>
      </x:c>
      <x:c r="Z475" s="32" t="e">
        <x:f>IF(A475&lt;=Dashboard!$F$17,MIN(Dashboard!$F$10,MAX(0,W475-X475)+Y475),0)</x:f>
      </x:c>
      <x:c r="AA475" s="32" t="e">
        <x:f>IF(A475&lt;=Dashboard!$F$17,MAX(0,W475-X475-MAX(0,Z475-Y475)),0)</x:f>
      </x:c>
      <x:c r="AB475" s="32" t="e">
        <x:f>IF(A475=1,Y475,AB474+Y475)</x:f>
      </x:c>
      <x:c r="AC475" s="32"/>
      <x:c r="AD475" s="32" t="e">
        <x:f>IF(A475=1,MAX(0,Dashboard!$F$14-$B$8),AG474)</x:f>
      </x:c>
      <x:c r="AE475" s="32" t="n">
        <x:f>0</x:f>
        <x:v>0</x:v>
      </x:c>
      <x:c r="AF475" s="32" t="e">
        <x:f>IF(A475&lt;=Dashboard!$F$17,AD475*Dashboard!$F$6,0)</x:f>
      </x:c>
      <x:c r="AG475" s="32" t="e">
        <x:f>IF(A475&lt;=Dashboard!$F$17,MIN(Dashboard!$F$10,AD475+AF475),0)</x:f>
      </x:c>
      <x:c r="AH475" s="32" t="e">
        <x:f>IF(A475&lt;=Dashboard!$F$17,MAX(0,AD475-MAX(0,AG475-AF475)),0)</x:f>
      </x:c>
      <x:c r="AI475" s="32" t="e">
        <x:f>IF(A475=1,AF475,AI474+AF475)</x:f>
      </x:c>
      <x:c r="AJ475" s="33"/>
      <x:c r="AK475" s="33"/>
      <x:c r="AL475" s="33"/>
      <x:c r="AM475" s="33"/>
    </x:row>
    <x:row r="476">
      <x:c r="A476" s="33" t="n">
        <x:v>464</x:v>
      </x:c>
      <x:c r="B476" s="32" t="e">
        <x:f>IF(A476=1,Dashboard!$F$14,F475)</x:f>
      </x:c>
      <x:c r="C476" s="32" t="n">
        <x:f>0</x:f>
        <x:v>0</x:v>
      </x:c>
      <x:c r="D476" s="32" t="e">
        <x:f>IF(A476&lt;=Dashboard!$F$15,B476*Dashboard!$F$6,0)</x:f>
      </x:c>
      <x:c r="E476" s="32" t="e">
        <x:f>IF(A476&lt;=Dashboard!$F$15,MIN(Dashboard!$F$10,B476+D476),0)</x:f>
      </x:c>
      <x:c r="F476" s="32" t="e">
        <x:f>IF(A476&lt;=Dashboard!$F$15,MAX(0,B476-MAX(0,E476-D476)),0)</x:f>
      </x:c>
      <x:c r="G476" s="32" t="e">
        <x:f>IF(A476=1,D476,G475+D476)</x:f>
      </x:c>
      <x:c r="H476" s="32"/>
      <x:c r="I476" s="32" t="e">
        <x:f>IF(A476=1,Dashboard!$F$14,M475)</x:f>
      </x:c>
      <x:c r="J476" s="32" t="e">
        <x:f>IF(A476&lt;=Dashboard!$F$17,MIN(I476,$B$5),0)</x:f>
      </x:c>
      <x:c r="K476" s="32" t="e">
        <x:f>IF(A476&lt;=Dashboard!$F$17,MAX(0,I476-J476)*Dashboard!$F$6,0)</x:f>
      </x:c>
      <x:c r="L476" s="32" t="e">
        <x:f>IF(A476&lt;=Dashboard!$F$17,MIN(Dashboard!$F$10,MAX(0,I476-J476)+K476),0)</x:f>
      </x:c>
      <x:c r="M476" s="32" t="e">
        <x:f>IF(A476&lt;=Dashboard!$F$17,MAX(0,I476-J476-MAX(0,L476-K476)),0)</x:f>
      </x:c>
      <x:c r="N476" s="32" t="e">
        <x:f>IF(A476=1,K476,N475+K476)</x:f>
      </x:c>
      <x:c r="O476" s="32"/>
      <x:c r="P476" s="32" t="e">
        <x:f>IF(A476=1,Dashboard!$F$14,T475)</x:f>
      </x:c>
      <x:c r="Q476" s="32" t="e">
        <x:f>IF(A476&lt;=Dashboard!$F$17,MIN(P476,$B$6*52/12),0)</x:f>
      </x:c>
      <x:c r="R476" s="32" t="e">
        <x:f>IF(A476&lt;=Dashboard!$F$17,MAX(0,P476-Q476)*Dashboard!$F$6,0)</x:f>
      </x:c>
      <x:c r="S476" s="32" t="e">
        <x:f>IF(A476&lt;=Dashboard!$F$17,MIN(Dashboard!$F$10,MAX(0,P476-Q476)+R476),0)</x:f>
      </x:c>
      <x:c r="T476" s="32" t="e">
        <x:f>IF(A476&lt;=Dashboard!$F$17,MAX(0,P476-Q476-MAX(0,S476-R476)),0)</x:f>
      </x:c>
      <x:c r="U476" s="32" t="e">
        <x:f>IF(A476=1,R476,U475+R476)</x:f>
      </x:c>
      <x:c r="V476" s="32"/>
      <x:c r="W476" s="32" t="e">
        <x:f>IF(A476=1,Dashboard!$F$14,AA475)</x:f>
      </x:c>
      <x:c r="X476" s="32" t="e">
        <x:f>IF(AND(A476&lt;=Dashboard!$F$17,MOD(A476-1,12)=0),MIN(W476,$B$7),0)</x:f>
      </x:c>
      <x:c r="Y476" s="32" t="e">
        <x:f>IF(A476&lt;=Dashboard!$F$17,MAX(0,W476-X476)*Dashboard!$F$6,0)</x:f>
      </x:c>
      <x:c r="Z476" s="32" t="e">
        <x:f>IF(A476&lt;=Dashboard!$F$17,MIN(Dashboard!$F$10,MAX(0,W476-X476)+Y476),0)</x:f>
      </x:c>
      <x:c r="AA476" s="32" t="e">
        <x:f>IF(A476&lt;=Dashboard!$F$17,MAX(0,W476-X476-MAX(0,Z476-Y476)),0)</x:f>
      </x:c>
      <x:c r="AB476" s="32" t="e">
        <x:f>IF(A476=1,Y476,AB475+Y476)</x:f>
      </x:c>
      <x:c r="AC476" s="32"/>
      <x:c r="AD476" s="32" t="e">
        <x:f>IF(A476=1,MAX(0,Dashboard!$F$14-$B$8),AG475)</x:f>
      </x:c>
      <x:c r="AE476" s="32" t="n">
        <x:f>0</x:f>
        <x:v>0</x:v>
      </x:c>
      <x:c r="AF476" s="32" t="e">
        <x:f>IF(A476&lt;=Dashboard!$F$17,AD476*Dashboard!$F$6,0)</x:f>
      </x:c>
      <x:c r="AG476" s="32" t="e">
        <x:f>IF(A476&lt;=Dashboard!$F$17,MIN(Dashboard!$F$10,AD476+AF476),0)</x:f>
      </x:c>
      <x:c r="AH476" s="32" t="e">
        <x:f>IF(A476&lt;=Dashboard!$F$17,MAX(0,AD476-MAX(0,AG476-AF476)),0)</x:f>
      </x:c>
      <x:c r="AI476" s="32" t="e">
        <x:f>IF(A476=1,AF476,AI475+AF476)</x:f>
      </x:c>
      <x:c r="AJ476" s="33"/>
      <x:c r="AK476" s="33"/>
      <x:c r="AL476" s="33"/>
      <x:c r="AM476" s="33"/>
    </x:row>
    <x:row r="477">
      <x:c r="A477" s="33" t="n">
        <x:v>465</x:v>
      </x:c>
      <x:c r="B477" s="32" t="e">
        <x:f>IF(A477=1,Dashboard!$F$14,F476)</x:f>
      </x:c>
      <x:c r="C477" s="32" t="n">
        <x:f>0</x:f>
        <x:v>0</x:v>
      </x:c>
      <x:c r="D477" s="32" t="e">
        <x:f>IF(A477&lt;=Dashboard!$F$15,B477*Dashboard!$F$6,0)</x:f>
      </x:c>
      <x:c r="E477" s="32" t="e">
        <x:f>IF(A477&lt;=Dashboard!$F$15,MIN(Dashboard!$F$10,B477+D477),0)</x:f>
      </x:c>
      <x:c r="F477" s="32" t="e">
        <x:f>IF(A477&lt;=Dashboard!$F$15,MAX(0,B477-MAX(0,E477-D477)),0)</x:f>
      </x:c>
      <x:c r="G477" s="32" t="e">
        <x:f>IF(A477=1,D477,G476+D477)</x:f>
      </x:c>
      <x:c r="H477" s="32"/>
      <x:c r="I477" s="32" t="e">
        <x:f>IF(A477=1,Dashboard!$F$14,M476)</x:f>
      </x:c>
      <x:c r="J477" s="32" t="e">
        <x:f>IF(A477&lt;=Dashboard!$F$17,MIN(I477,$B$5),0)</x:f>
      </x:c>
      <x:c r="K477" s="32" t="e">
        <x:f>IF(A477&lt;=Dashboard!$F$17,MAX(0,I477-J477)*Dashboard!$F$6,0)</x:f>
      </x:c>
      <x:c r="L477" s="32" t="e">
        <x:f>IF(A477&lt;=Dashboard!$F$17,MIN(Dashboard!$F$10,MAX(0,I477-J477)+K477),0)</x:f>
      </x:c>
      <x:c r="M477" s="32" t="e">
        <x:f>IF(A477&lt;=Dashboard!$F$17,MAX(0,I477-J477-MAX(0,L477-K477)),0)</x:f>
      </x:c>
      <x:c r="N477" s="32" t="e">
        <x:f>IF(A477=1,K477,N476+K477)</x:f>
      </x:c>
      <x:c r="O477" s="32"/>
      <x:c r="P477" s="32" t="e">
        <x:f>IF(A477=1,Dashboard!$F$14,T476)</x:f>
      </x:c>
      <x:c r="Q477" s="32" t="e">
        <x:f>IF(A477&lt;=Dashboard!$F$17,MIN(P477,$B$6*52/12),0)</x:f>
      </x:c>
      <x:c r="R477" s="32" t="e">
        <x:f>IF(A477&lt;=Dashboard!$F$17,MAX(0,P477-Q477)*Dashboard!$F$6,0)</x:f>
      </x:c>
      <x:c r="S477" s="32" t="e">
        <x:f>IF(A477&lt;=Dashboard!$F$17,MIN(Dashboard!$F$10,MAX(0,P477-Q477)+R477),0)</x:f>
      </x:c>
      <x:c r="T477" s="32" t="e">
        <x:f>IF(A477&lt;=Dashboard!$F$17,MAX(0,P477-Q477-MAX(0,S477-R477)),0)</x:f>
      </x:c>
      <x:c r="U477" s="32" t="e">
        <x:f>IF(A477=1,R477,U476+R477)</x:f>
      </x:c>
      <x:c r="V477" s="32"/>
      <x:c r="W477" s="32" t="e">
        <x:f>IF(A477=1,Dashboard!$F$14,AA476)</x:f>
      </x:c>
      <x:c r="X477" s="32" t="e">
        <x:f>IF(AND(A477&lt;=Dashboard!$F$17,MOD(A477-1,12)=0),MIN(W477,$B$7),0)</x:f>
      </x:c>
      <x:c r="Y477" s="32" t="e">
        <x:f>IF(A477&lt;=Dashboard!$F$17,MAX(0,W477-X477)*Dashboard!$F$6,0)</x:f>
      </x:c>
      <x:c r="Z477" s="32" t="e">
        <x:f>IF(A477&lt;=Dashboard!$F$17,MIN(Dashboard!$F$10,MAX(0,W477-X477)+Y477),0)</x:f>
      </x:c>
      <x:c r="AA477" s="32" t="e">
        <x:f>IF(A477&lt;=Dashboard!$F$17,MAX(0,W477-X477-MAX(0,Z477-Y477)),0)</x:f>
      </x:c>
      <x:c r="AB477" s="32" t="e">
        <x:f>IF(A477=1,Y477,AB476+Y477)</x:f>
      </x:c>
      <x:c r="AC477" s="32"/>
      <x:c r="AD477" s="32" t="e">
        <x:f>IF(A477=1,MAX(0,Dashboard!$F$14-$B$8),AG476)</x:f>
      </x:c>
      <x:c r="AE477" s="32" t="n">
        <x:f>0</x:f>
        <x:v>0</x:v>
      </x:c>
      <x:c r="AF477" s="32" t="e">
        <x:f>IF(A477&lt;=Dashboard!$F$17,AD477*Dashboard!$F$6,0)</x:f>
      </x:c>
      <x:c r="AG477" s="32" t="e">
        <x:f>IF(A477&lt;=Dashboard!$F$17,MIN(Dashboard!$F$10,AD477+AF477),0)</x:f>
      </x:c>
      <x:c r="AH477" s="32" t="e">
        <x:f>IF(A477&lt;=Dashboard!$F$17,MAX(0,AD477-MAX(0,AG477-AF477)),0)</x:f>
      </x:c>
      <x:c r="AI477" s="32" t="e">
        <x:f>IF(A477=1,AF477,AI476+AF477)</x:f>
      </x:c>
      <x:c r="AJ477" s="33"/>
      <x:c r="AK477" s="33"/>
      <x:c r="AL477" s="33"/>
      <x:c r="AM477" s="33"/>
    </x:row>
    <x:row r="478">
      <x:c r="A478" s="33" t="n">
        <x:v>466</x:v>
      </x:c>
      <x:c r="B478" s="32" t="e">
        <x:f>IF(A478=1,Dashboard!$F$14,F477)</x:f>
      </x:c>
      <x:c r="C478" s="32" t="n">
        <x:f>0</x:f>
        <x:v>0</x:v>
      </x:c>
      <x:c r="D478" s="32" t="e">
        <x:f>IF(A478&lt;=Dashboard!$F$15,B478*Dashboard!$F$6,0)</x:f>
      </x:c>
      <x:c r="E478" s="32" t="e">
        <x:f>IF(A478&lt;=Dashboard!$F$15,MIN(Dashboard!$F$10,B478+D478),0)</x:f>
      </x:c>
      <x:c r="F478" s="32" t="e">
        <x:f>IF(A478&lt;=Dashboard!$F$15,MAX(0,B478-MAX(0,E478-D478)),0)</x:f>
      </x:c>
      <x:c r="G478" s="32" t="e">
        <x:f>IF(A478=1,D478,G477+D478)</x:f>
      </x:c>
      <x:c r="H478" s="32"/>
      <x:c r="I478" s="32" t="e">
        <x:f>IF(A478=1,Dashboard!$F$14,M477)</x:f>
      </x:c>
      <x:c r="J478" s="32" t="e">
        <x:f>IF(A478&lt;=Dashboard!$F$17,MIN(I478,$B$5),0)</x:f>
      </x:c>
      <x:c r="K478" s="32" t="e">
        <x:f>IF(A478&lt;=Dashboard!$F$17,MAX(0,I478-J478)*Dashboard!$F$6,0)</x:f>
      </x:c>
      <x:c r="L478" s="32" t="e">
        <x:f>IF(A478&lt;=Dashboard!$F$17,MIN(Dashboard!$F$10,MAX(0,I478-J478)+K478),0)</x:f>
      </x:c>
      <x:c r="M478" s="32" t="e">
        <x:f>IF(A478&lt;=Dashboard!$F$17,MAX(0,I478-J478-MAX(0,L478-K478)),0)</x:f>
      </x:c>
      <x:c r="N478" s="32" t="e">
        <x:f>IF(A478=1,K478,N477+K478)</x:f>
      </x:c>
      <x:c r="O478" s="32"/>
      <x:c r="P478" s="32" t="e">
        <x:f>IF(A478=1,Dashboard!$F$14,T477)</x:f>
      </x:c>
      <x:c r="Q478" s="32" t="e">
        <x:f>IF(A478&lt;=Dashboard!$F$17,MIN(P478,$B$6*52/12),0)</x:f>
      </x:c>
      <x:c r="R478" s="32" t="e">
        <x:f>IF(A478&lt;=Dashboard!$F$17,MAX(0,P478-Q478)*Dashboard!$F$6,0)</x:f>
      </x:c>
      <x:c r="S478" s="32" t="e">
        <x:f>IF(A478&lt;=Dashboard!$F$17,MIN(Dashboard!$F$10,MAX(0,P478-Q478)+R478),0)</x:f>
      </x:c>
      <x:c r="T478" s="32" t="e">
        <x:f>IF(A478&lt;=Dashboard!$F$17,MAX(0,P478-Q478-MAX(0,S478-R478)),0)</x:f>
      </x:c>
      <x:c r="U478" s="32" t="e">
        <x:f>IF(A478=1,R478,U477+R478)</x:f>
      </x:c>
      <x:c r="V478" s="32"/>
      <x:c r="W478" s="32" t="e">
        <x:f>IF(A478=1,Dashboard!$F$14,AA477)</x:f>
      </x:c>
      <x:c r="X478" s="32" t="e">
        <x:f>IF(AND(A478&lt;=Dashboard!$F$17,MOD(A478-1,12)=0),MIN(W478,$B$7),0)</x:f>
      </x:c>
      <x:c r="Y478" s="32" t="e">
        <x:f>IF(A478&lt;=Dashboard!$F$17,MAX(0,W478-X478)*Dashboard!$F$6,0)</x:f>
      </x:c>
      <x:c r="Z478" s="32" t="e">
        <x:f>IF(A478&lt;=Dashboard!$F$17,MIN(Dashboard!$F$10,MAX(0,W478-X478)+Y478),0)</x:f>
      </x:c>
      <x:c r="AA478" s="32" t="e">
        <x:f>IF(A478&lt;=Dashboard!$F$17,MAX(0,W478-X478-MAX(0,Z478-Y478)),0)</x:f>
      </x:c>
      <x:c r="AB478" s="32" t="e">
        <x:f>IF(A478=1,Y478,AB477+Y478)</x:f>
      </x:c>
      <x:c r="AC478" s="32"/>
      <x:c r="AD478" s="32" t="e">
        <x:f>IF(A478=1,MAX(0,Dashboard!$F$14-$B$8),AG477)</x:f>
      </x:c>
      <x:c r="AE478" s="32" t="n">
        <x:f>0</x:f>
        <x:v>0</x:v>
      </x:c>
      <x:c r="AF478" s="32" t="e">
        <x:f>IF(A478&lt;=Dashboard!$F$17,AD478*Dashboard!$F$6,0)</x:f>
      </x:c>
      <x:c r="AG478" s="32" t="e">
        <x:f>IF(A478&lt;=Dashboard!$F$17,MIN(Dashboard!$F$10,AD478+AF478),0)</x:f>
      </x:c>
      <x:c r="AH478" s="32" t="e">
        <x:f>IF(A478&lt;=Dashboard!$F$17,MAX(0,AD478-MAX(0,AG478-AF478)),0)</x:f>
      </x:c>
      <x:c r="AI478" s="32" t="e">
        <x:f>IF(A478=1,AF478,AI477+AF478)</x:f>
      </x:c>
      <x:c r="AJ478" s="33"/>
      <x:c r="AK478" s="33"/>
      <x:c r="AL478" s="33"/>
      <x:c r="AM478" s="33"/>
    </x:row>
    <x:row r="479">
      <x:c r="A479" s="33" t="n">
        <x:v>467</x:v>
      </x:c>
      <x:c r="B479" s="32" t="e">
        <x:f>IF(A479=1,Dashboard!$F$14,F478)</x:f>
      </x:c>
      <x:c r="C479" s="32" t="n">
        <x:f>0</x:f>
        <x:v>0</x:v>
      </x:c>
      <x:c r="D479" s="32" t="e">
        <x:f>IF(A479&lt;=Dashboard!$F$15,B479*Dashboard!$F$6,0)</x:f>
      </x:c>
      <x:c r="E479" s="32" t="e">
        <x:f>IF(A479&lt;=Dashboard!$F$15,MIN(Dashboard!$F$10,B479+D479),0)</x:f>
      </x:c>
      <x:c r="F479" s="32" t="e">
        <x:f>IF(A479&lt;=Dashboard!$F$15,MAX(0,B479-MAX(0,E479-D479)),0)</x:f>
      </x:c>
      <x:c r="G479" s="32" t="e">
        <x:f>IF(A479=1,D479,G478+D479)</x:f>
      </x:c>
      <x:c r="H479" s="32"/>
      <x:c r="I479" s="32" t="e">
        <x:f>IF(A479=1,Dashboard!$F$14,M478)</x:f>
      </x:c>
      <x:c r="J479" s="32" t="e">
        <x:f>IF(A479&lt;=Dashboard!$F$17,MIN(I479,$B$5),0)</x:f>
      </x:c>
      <x:c r="K479" s="32" t="e">
        <x:f>IF(A479&lt;=Dashboard!$F$17,MAX(0,I479-J479)*Dashboard!$F$6,0)</x:f>
      </x:c>
      <x:c r="L479" s="32" t="e">
        <x:f>IF(A479&lt;=Dashboard!$F$17,MIN(Dashboard!$F$10,MAX(0,I479-J479)+K479),0)</x:f>
      </x:c>
      <x:c r="M479" s="32" t="e">
        <x:f>IF(A479&lt;=Dashboard!$F$17,MAX(0,I479-J479-MAX(0,L479-K479)),0)</x:f>
      </x:c>
      <x:c r="N479" s="32" t="e">
        <x:f>IF(A479=1,K479,N478+K479)</x:f>
      </x:c>
      <x:c r="O479" s="32"/>
      <x:c r="P479" s="32" t="e">
        <x:f>IF(A479=1,Dashboard!$F$14,T478)</x:f>
      </x:c>
      <x:c r="Q479" s="32" t="e">
        <x:f>IF(A479&lt;=Dashboard!$F$17,MIN(P479,$B$6*52/12),0)</x:f>
      </x:c>
      <x:c r="R479" s="32" t="e">
        <x:f>IF(A479&lt;=Dashboard!$F$17,MAX(0,P479-Q479)*Dashboard!$F$6,0)</x:f>
      </x:c>
      <x:c r="S479" s="32" t="e">
        <x:f>IF(A479&lt;=Dashboard!$F$17,MIN(Dashboard!$F$10,MAX(0,P479-Q479)+R479),0)</x:f>
      </x:c>
      <x:c r="T479" s="32" t="e">
        <x:f>IF(A479&lt;=Dashboard!$F$17,MAX(0,P479-Q479-MAX(0,S479-R479)),0)</x:f>
      </x:c>
      <x:c r="U479" s="32" t="e">
        <x:f>IF(A479=1,R479,U478+R479)</x:f>
      </x:c>
      <x:c r="V479" s="32"/>
      <x:c r="W479" s="32" t="e">
        <x:f>IF(A479=1,Dashboard!$F$14,AA478)</x:f>
      </x:c>
      <x:c r="X479" s="32" t="e">
        <x:f>IF(AND(A479&lt;=Dashboard!$F$17,MOD(A479-1,12)=0),MIN(W479,$B$7),0)</x:f>
      </x:c>
      <x:c r="Y479" s="32" t="e">
        <x:f>IF(A479&lt;=Dashboard!$F$17,MAX(0,W479-X479)*Dashboard!$F$6,0)</x:f>
      </x:c>
      <x:c r="Z479" s="32" t="e">
        <x:f>IF(A479&lt;=Dashboard!$F$17,MIN(Dashboard!$F$10,MAX(0,W479-X479)+Y479),0)</x:f>
      </x:c>
      <x:c r="AA479" s="32" t="e">
        <x:f>IF(A479&lt;=Dashboard!$F$17,MAX(0,W479-X479-MAX(0,Z479-Y479)),0)</x:f>
      </x:c>
      <x:c r="AB479" s="32" t="e">
        <x:f>IF(A479=1,Y479,AB478+Y479)</x:f>
      </x:c>
      <x:c r="AC479" s="32"/>
      <x:c r="AD479" s="32" t="e">
        <x:f>IF(A479=1,MAX(0,Dashboard!$F$14-$B$8),AG478)</x:f>
      </x:c>
      <x:c r="AE479" s="32" t="n">
        <x:f>0</x:f>
        <x:v>0</x:v>
      </x:c>
      <x:c r="AF479" s="32" t="e">
        <x:f>IF(A479&lt;=Dashboard!$F$17,AD479*Dashboard!$F$6,0)</x:f>
      </x:c>
      <x:c r="AG479" s="32" t="e">
        <x:f>IF(A479&lt;=Dashboard!$F$17,MIN(Dashboard!$F$10,AD479+AF479),0)</x:f>
      </x:c>
      <x:c r="AH479" s="32" t="e">
        <x:f>IF(A479&lt;=Dashboard!$F$17,MAX(0,AD479-MAX(0,AG479-AF479)),0)</x:f>
      </x:c>
      <x:c r="AI479" s="32" t="e">
        <x:f>IF(A479=1,AF479,AI478+AF479)</x:f>
      </x:c>
      <x:c r="AJ479" s="33"/>
      <x:c r="AK479" s="33"/>
      <x:c r="AL479" s="33"/>
      <x:c r="AM479" s="33"/>
    </x:row>
    <x:row r="480">
      <x:c r="A480" s="33" t="n">
        <x:v>468</x:v>
      </x:c>
      <x:c r="B480" s="32" t="e">
        <x:f>IF(A480=1,Dashboard!$F$14,F479)</x:f>
      </x:c>
      <x:c r="C480" s="32" t="n">
        <x:f>0</x:f>
        <x:v>0</x:v>
      </x:c>
      <x:c r="D480" s="32" t="e">
        <x:f>IF(A480&lt;=Dashboard!$F$15,B480*Dashboard!$F$6,0)</x:f>
      </x:c>
      <x:c r="E480" s="32" t="e">
        <x:f>IF(A480&lt;=Dashboard!$F$15,MIN(Dashboard!$F$10,B480+D480),0)</x:f>
      </x:c>
      <x:c r="F480" s="32" t="e">
        <x:f>IF(A480&lt;=Dashboard!$F$15,MAX(0,B480-MAX(0,E480-D480)),0)</x:f>
      </x:c>
      <x:c r="G480" s="32" t="e">
        <x:f>IF(A480=1,D480,G479+D480)</x:f>
      </x:c>
      <x:c r="H480" s="32"/>
      <x:c r="I480" s="32" t="e">
        <x:f>IF(A480=1,Dashboard!$F$14,M479)</x:f>
      </x:c>
      <x:c r="J480" s="32" t="e">
        <x:f>IF(A480&lt;=Dashboard!$F$17,MIN(I480,$B$5),0)</x:f>
      </x:c>
      <x:c r="K480" s="32" t="e">
        <x:f>IF(A480&lt;=Dashboard!$F$17,MAX(0,I480-J480)*Dashboard!$F$6,0)</x:f>
      </x:c>
      <x:c r="L480" s="32" t="e">
        <x:f>IF(A480&lt;=Dashboard!$F$17,MIN(Dashboard!$F$10,MAX(0,I480-J480)+K480),0)</x:f>
      </x:c>
      <x:c r="M480" s="32" t="e">
        <x:f>IF(A480&lt;=Dashboard!$F$17,MAX(0,I480-J480-MAX(0,L480-K480)),0)</x:f>
      </x:c>
      <x:c r="N480" s="32" t="e">
        <x:f>IF(A480=1,K480,N479+K480)</x:f>
      </x:c>
      <x:c r="O480" s="32"/>
      <x:c r="P480" s="32" t="e">
        <x:f>IF(A480=1,Dashboard!$F$14,T479)</x:f>
      </x:c>
      <x:c r="Q480" s="32" t="e">
        <x:f>IF(A480&lt;=Dashboard!$F$17,MIN(P480,$B$6*52/12),0)</x:f>
      </x:c>
      <x:c r="R480" s="32" t="e">
        <x:f>IF(A480&lt;=Dashboard!$F$17,MAX(0,P480-Q480)*Dashboard!$F$6,0)</x:f>
      </x:c>
      <x:c r="S480" s="32" t="e">
        <x:f>IF(A480&lt;=Dashboard!$F$17,MIN(Dashboard!$F$10,MAX(0,P480-Q480)+R480),0)</x:f>
      </x:c>
      <x:c r="T480" s="32" t="e">
        <x:f>IF(A480&lt;=Dashboard!$F$17,MAX(0,P480-Q480-MAX(0,S480-R480)),0)</x:f>
      </x:c>
      <x:c r="U480" s="32" t="e">
        <x:f>IF(A480=1,R480,U479+R480)</x:f>
      </x:c>
      <x:c r="V480" s="32"/>
      <x:c r="W480" s="32" t="e">
        <x:f>IF(A480=1,Dashboard!$F$14,AA479)</x:f>
      </x:c>
      <x:c r="X480" s="32" t="e">
        <x:f>IF(AND(A480&lt;=Dashboard!$F$17,MOD(A480-1,12)=0),MIN(W480,$B$7),0)</x:f>
      </x:c>
      <x:c r="Y480" s="32" t="e">
        <x:f>IF(A480&lt;=Dashboard!$F$17,MAX(0,W480-X480)*Dashboard!$F$6,0)</x:f>
      </x:c>
      <x:c r="Z480" s="32" t="e">
        <x:f>IF(A480&lt;=Dashboard!$F$17,MIN(Dashboard!$F$10,MAX(0,W480-X480)+Y480),0)</x:f>
      </x:c>
      <x:c r="AA480" s="32" t="e">
        <x:f>IF(A480&lt;=Dashboard!$F$17,MAX(0,W480-X480-MAX(0,Z480-Y480)),0)</x:f>
      </x:c>
      <x:c r="AB480" s="32" t="e">
        <x:f>IF(A480=1,Y480,AB479+Y480)</x:f>
      </x:c>
      <x:c r="AC480" s="32"/>
      <x:c r="AD480" s="32" t="e">
        <x:f>IF(A480=1,MAX(0,Dashboard!$F$14-$B$8),AG479)</x:f>
      </x:c>
      <x:c r="AE480" s="32" t="n">
        <x:f>0</x:f>
        <x:v>0</x:v>
      </x:c>
      <x:c r="AF480" s="32" t="e">
        <x:f>IF(A480&lt;=Dashboard!$F$17,AD480*Dashboard!$F$6,0)</x:f>
      </x:c>
      <x:c r="AG480" s="32" t="e">
        <x:f>IF(A480&lt;=Dashboard!$F$17,MIN(Dashboard!$F$10,AD480+AF480),0)</x:f>
      </x:c>
      <x:c r="AH480" s="32" t="e">
        <x:f>IF(A480&lt;=Dashboard!$F$17,MAX(0,AD480-MAX(0,AG480-AF480)),0)</x:f>
      </x:c>
      <x:c r="AI480" s="32" t="e">
        <x:f>IF(A480=1,AF480,AI479+AF480)</x:f>
      </x:c>
      <x:c r="AJ480" s="33"/>
      <x:c r="AK480" s="33"/>
      <x:c r="AL480" s="33"/>
      <x:c r="AM480" s="33"/>
    </x:row>
    <x:row r="481">
      <x:c r="A481" s="33" t="n">
        <x:v>469</x:v>
      </x:c>
      <x:c r="B481" s="32" t="e">
        <x:f>IF(A481=1,Dashboard!$F$14,F480)</x:f>
      </x:c>
      <x:c r="C481" s="32" t="n">
        <x:f>0</x:f>
        <x:v>0</x:v>
      </x:c>
      <x:c r="D481" s="32" t="e">
        <x:f>IF(A481&lt;=Dashboard!$F$15,B481*Dashboard!$F$6,0)</x:f>
      </x:c>
      <x:c r="E481" s="32" t="e">
        <x:f>IF(A481&lt;=Dashboard!$F$15,MIN(Dashboard!$F$10,B481+D481),0)</x:f>
      </x:c>
      <x:c r="F481" s="32" t="e">
        <x:f>IF(A481&lt;=Dashboard!$F$15,MAX(0,B481-MAX(0,E481-D481)),0)</x:f>
      </x:c>
      <x:c r="G481" s="32" t="e">
        <x:f>IF(A481=1,D481,G480+D481)</x:f>
      </x:c>
      <x:c r="H481" s="32"/>
      <x:c r="I481" s="32" t="e">
        <x:f>IF(A481=1,Dashboard!$F$14,M480)</x:f>
      </x:c>
      <x:c r="J481" s="32" t="e">
        <x:f>IF(A481&lt;=Dashboard!$F$17,MIN(I481,$B$5),0)</x:f>
      </x:c>
      <x:c r="K481" s="32" t="e">
        <x:f>IF(A481&lt;=Dashboard!$F$17,MAX(0,I481-J481)*Dashboard!$F$6,0)</x:f>
      </x:c>
      <x:c r="L481" s="32" t="e">
        <x:f>IF(A481&lt;=Dashboard!$F$17,MIN(Dashboard!$F$10,MAX(0,I481-J481)+K481),0)</x:f>
      </x:c>
      <x:c r="M481" s="32" t="e">
        <x:f>IF(A481&lt;=Dashboard!$F$17,MAX(0,I481-J481-MAX(0,L481-K481)),0)</x:f>
      </x:c>
      <x:c r="N481" s="32" t="e">
        <x:f>IF(A481=1,K481,N480+K481)</x:f>
      </x:c>
      <x:c r="O481" s="32"/>
      <x:c r="P481" s="32" t="e">
        <x:f>IF(A481=1,Dashboard!$F$14,T480)</x:f>
      </x:c>
      <x:c r="Q481" s="32" t="e">
        <x:f>IF(A481&lt;=Dashboard!$F$17,MIN(P481,$B$6*52/12),0)</x:f>
      </x:c>
      <x:c r="R481" s="32" t="e">
        <x:f>IF(A481&lt;=Dashboard!$F$17,MAX(0,P481-Q481)*Dashboard!$F$6,0)</x:f>
      </x:c>
      <x:c r="S481" s="32" t="e">
        <x:f>IF(A481&lt;=Dashboard!$F$17,MIN(Dashboard!$F$10,MAX(0,P481-Q481)+R481),0)</x:f>
      </x:c>
      <x:c r="T481" s="32" t="e">
        <x:f>IF(A481&lt;=Dashboard!$F$17,MAX(0,P481-Q481-MAX(0,S481-R481)),0)</x:f>
      </x:c>
      <x:c r="U481" s="32" t="e">
        <x:f>IF(A481=1,R481,U480+R481)</x:f>
      </x:c>
      <x:c r="V481" s="32"/>
      <x:c r="W481" s="32" t="e">
        <x:f>IF(A481=1,Dashboard!$F$14,AA480)</x:f>
      </x:c>
      <x:c r="X481" s="32" t="e">
        <x:f>IF(AND(A481&lt;=Dashboard!$F$17,MOD(A481-1,12)=0),MIN(W481,$B$7),0)</x:f>
      </x:c>
      <x:c r="Y481" s="32" t="e">
        <x:f>IF(A481&lt;=Dashboard!$F$17,MAX(0,W481-X481)*Dashboard!$F$6,0)</x:f>
      </x:c>
      <x:c r="Z481" s="32" t="e">
        <x:f>IF(A481&lt;=Dashboard!$F$17,MIN(Dashboard!$F$10,MAX(0,W481-X481)+Y481),0)</x:f>
      </x:c>
      <x:c r="AA481" s="32" t="e">
        <x:f>IF(A481&lt;=Dashboard!$F$17,MAX(0,W481-X481-MAX(0,Z481-Y481)),0)</x:f>
      </x:c>
      <x:c r="AB481" s="32" t="e">
        <x:f>IF(A481=1,Y481,AB480+Y481)</x:f>
      </x:c>
      <x:c r="AC481" s="32"/>
      <x:c r="AD481" s="32" t="e">
        <x:f>IF(A481=1,MAX(0,Dashboard!$F$14-$B$8),AG480)</x:f>
      </x:c>
      <x:c r="AE481" s="32" t="n">
        <x:f>0</x:f>
        <x:v>0</x:v>
      </x:c>
      <x:c r="AF481" s="32" t="e">
        <x:f>IF(A481&lt;=Dashboard!$F$17,AD481*Dashboard!$F$6,0)</x:f>
      </x:c>
      <x:c r="AG481" s="32" t="e">
        <x:f>IF(A481&lt;=Dashboard!$F$17,MIN(Dashboard!$F$10,AD481+AF481),0)</x:f>
      </x:c>
      <x:c r="AH481" s="32" t="e">
        <x:f>IF(A481&lt;=Dashboard!$F$17,MAX(0,AD481-MAX(0,AG481-AF481)),0)</x:f>
      </x:c>
      <x:c r="AI481" s="32" t="e">
        <x:f>IF(A481=1,AF481,AI480+AF481)</x:f>
      </x:c>
      <x:c r="AJ481" s="33"/>
      <x:c r="AK481" s="33"/>
      <x:c r="AL481" s="33"/>
      <x:c r="AM481" s="33"/>
    </x:row>
    <x:row r="482">
      <x:c r="A482" s="33" t="n">
        <x:v>470</x:v>
      </x:c>
      <x:c r="B482" s="32" t="e">
        <x:f>IF(A482=1,Dashboard!$F$14,F481)</x:f>
      </x:c>
      <x:c r="C482" s="32" t="n">
        <x:f>0</x:f>
        <x:v>0</x:v>
      </x:c>
      <x:c r="D482" s="32" t="e">
        <x:f>IF(A482&lt;=Dashboard!$F$15,B482*Dashboard!$F$6,0)</x:f>
      </x:c>
      <x:c r="E482" s="32" t="e">
        <x:f>IF(A482&lt;=Dashboard!$F$15,MIN(Dashboard!$F$10,B482+D482),0)</x:f>
      </x:c>
      <x:c r="F482" s="32" t="e">
        <x:f>IF(A482&lt;=Dashboard!$F$15,MAX(0,B482-MAX(0,E482-D482)),0)</x:f>
      </x:c>
      <x:c r="G482" s="32" t="e">
        <x:f>IF(A482=1,D482,G481+D482)</x:f>
      </x:c>
      <x:c r="H482" s="32"/>
      <x:c r="I482" s="32" t="e">
        <x:f>IF(A482=1,Dashboard!$F$14,M481)</x:f>
      </x:c>
      <x:c r="J482" s="32" t="e">
        <x:f>IF(A482&lt;=Dashboard!$F$17,MIN(I482,$B$5),0)</x:f>
      </x:c>
      <x:c r="K482" s="32" t="e">
        <x:f>IF(A482&lt;=Dashboard!$F$17,MAX(0,I482-J482)*Dashboard!$F$6,0)</x:f>
      </x:c>
      <x:c r="L482" s="32" t="e">
        <x:f>IF(A482&lt;=Dashboard!$F$17,MIN(Dashboard!$F$10,MAX(0,I482-J482)+K482),0)</x:f>
      </x:c>
      <x:c r="M482" s="32" t="e">
        <x:f>IF(A482&lt;=Dashboard!$F$17,MAX(0,I482-J482-MAX(0,L482-K482)),0)</x:f>
      </x:c>
      <x:c r="N482" s="32" t="e">
        <x:f>IF(A482=1,K482,N481+K482)</x:f>
      </x:c>
      <x:c r="O482" s="32"/>
      <x:c r="P482" s="32" t="e">
        <x:f>IF(A482=1,Dashboard!$F$14,T481)</x:f>
      </x:c>
      <x:c r="Q482" s="32" t="e">
        <x:f>IF(A482&lt;=Dashboard!$F$17,MIN(P482,$B$6*52/12),0)</x:f>
      </x:c>
      <x:c r="R482" s="32" t="e">
        <x:f>IF(A482&lt;=Dashboard!$F$17,MAX(0,P482-Q482)*Dashboard!$F$6,0)</x:f>
      </x:c>
      <x:c r="S482" s="32" t="e">
        <x:f>IF(A482&lt;=Dashboard!$F$17,MIN(Dashboard!$F$10,MAX(0,P482-Q482)+R482),0)</x:f>
      </x:c>
      <x:c r="T482" s="32" t="e">
        <x:f>IF(A482&lt;=Dashboard!$F$17,MAX(0,P482-Q482-MAX(0,S482-R482)),0)</x:f>
      </x:c>
      <x:c r="U482" s="32" t="e">
        <x:f>IF(A482=1,R482,U481+R482)</x:f>
      </x:c>
      <x:c r="V482" s="32"/>
      <x:c r="W482" s="32" t="e">
        <x:f>IF(A482=1,Dashboard!$F$14,AA481)</x:f>
      </x:c>
      <x:c r="X482" s="32" t="e">
        <x:f>IF(AND(A482&lt;=Dashboard!$F$17,MOD(A482-1,12)=0),MIN(W482,$B$7),0)</x:f>
      </x:c>
      <x:c r="Y482" s="32" t="e">
        <x:f>IF(A482&lt;=Dashboard!$F$17,MAX(0,W482-X482)*Dashboard!$F$6,0)</x:f>
      </x:c>
      <x:c r="Z482" s="32" t="e">
        <x:f>IF(A482&lt;=Dashboard!$F$17,MIN(Dashboard!$F$10,MAX(0,W482-X482)+Y482),0)</x:f>
      </x:c>
      <x:c r="AA482" s="32" t="e">
        <x:f>IF(A482&lt;=Dashboard!$F$17,MAX(0,W482-X482-MAX(0,Z482-Y482)),0)</x:f>
      </x:c>
      <x:c r="AB482" s="32" t="e">
        <x:f>IF(A482=1,Y482,AB481+Y482)</x:f>
      </x:c>
      <x:c r="AC482" s="32"/>
      <x:c r="AD482" s="32" t="e">
        <x:f>IF(A482=1,MAX(0,Dashboard!$F$14-$B$8),AG481)</x:f>
      </x:c>
      <x:c r="AE482" s="32" t="n">
        <x:f>0</x:f>
        <x:v>0</x:v>
      </x:c>
      <x:c r="AF482" s="32" t="e">
        <x:f>IF(A482&lt;=Dashboard!$F$17,AD482*Dashboard!$F$6,0)</x:f>
      </x:c>
      <x:c r="AG482" s="32" t="e">
        <x:f>IF(A482&lt;=Dashboard!$F$17,MIN(Dashboard!$F$10,AD482+AF482),0)</x:f>
      </x:c>
      <x:c r="AH482" s="32" t="e">
        <x:f>IF(A482&lt;=Dashboard!$F$17,MAX(0,AD482-MAX(0,AG482-AF482)),0)</x:f>
      </x:c>
      <x:c r="AI482" s="32" t="e">
        <x:f>IF(A482=1,AF482,AI481+AF482)</x:f>
      </x:c>
      <x:c r="AJ482" s="33"/>
      <x:c r="AK482" s="33"/>
      <x:c r="AL482" s="33"/>
      <x:c r="AM482" s="33"/>
    </x:row>
    <x:row r="483">
      <x:c r="A483" s="33" t="n">
        <x:v>471</x:v>
      </x:c>
      <x:c r="B483" s="32" t="e">
        <x:f>IF(A483=1,Dashboard!$F$14,F482)</x:f>
      </x:c>
      <x:c r="C483" s="32" t="n">
        <x:f>0</x:f>
        <x:v>0</x:v>
      </x:c>
      <x:c r="D483" s="32" t="e">
        <x:f>IF(A483&lt;=Dashboard!$F$15,B483*Dashboard!$F$6,0)</x:f>
      </x:c>
      <x:c r="E483" s="32" t="e">
        <x:f>IF(A483&lt;=Dashboard!$F$15,MIN(Dashboard!$F$10,B483+D483),0)</x:f>
      </x:c>
      <x:c r="F483" s="32" t="e">
        <x:f>IF(A483&lt;=Dashboard!$F$15,MAX(0,B483-MAX(0,E483-D483)),0)</x:f>
      </x:c>
      <x:c r="G483" s="32" t="e">
        <x:f>IF(A483=1,D483,G482+D483)</x:f>
      </x:c>
      <x:c r="H483" s="32"/>
      <x:c r="I483" s="32" t="e">
        <x:f>IF(A483=1,Dashboard!$F$14,M482)</x:f>
      </x:c>
      <x:c r="J483" s="32" t="e">
        <x:f>IF(A483&lt;=Dashboard!$F$17,MIN(I483,$B$5),0)</x:f>
      </x:c>
      <x:c r="K483" s="32" t="e">
        <x:f>IF(A483&lt;=Dashboard!$F$17,MAX(0,I483-J483)*Dashboard!$F$6,0)</x:f>
      </x:c>
      <x:c r="L483" s="32" t="e">
        <x:f>IF(A483&lt;=Dashboard!$F$17,MIN(Dashboard!$F$10,MAX(0,I483-J483)+K483),0)</x:f>
      </x:c>
      <x:c r="M483" s="32" t="e">
        <x:f>IF(A483&lt;=Dashboard!$F$17,MAX(0,I483-J483-MAX(0,L483-K483)),0)</x:f>
      </x:c>
      <x:c r="N483" s="32" t="e">
        <x:f>IF(A483=1,K483,N482+K483)</x:f>
      </x:c>
      <x:c r="O483" s="32"/>
      <x:c r="P483" s="32" t="e">
        <x:f>IF(A483=1,Dashboard!$F$14,T482)</x:f>
      </x:c>
      <x:c r="Q483" s="32" t="e">
        <x:f>IF(A483&lt;=Dashboard!$F$17,MIN(P483,$B$6*52/12),0)</x:f>
      </x:c>
      <x:c r="R483" s="32" t="e">
        <x:f>IF(A483&lt;=Dashboard!$F$17,MAX(0,P483-Q483)*Dashboard!$F$6,0)</x:f>
      </x:c>
      <x:c r="S483" s="32" t="e">
        <x:f>IF(A483&lt;=Dashboard!$F$17,MIN(Dashboard!$F$10,MAX(0,P483-Q483)+R483),0)</x:f>
      </x:c>
      <x:c r="T483" s="32" t="e">
        <x:f>IF(A483&lt;=Dashboard!$F$17,MAX(0,P483-Q483-MAX(0,S483-R483)),0)</x:f>
      </x:c>
      <x:c r="U483" s="32" t="e">
        <x:f>IF(A483=1,R483,U482+R483)</x:f>
      </x:c>
      <x:c r="V483" s="32"/>
      <x:c r="W483" s="32" t="e">
        <x:f>IF(A483=1,Dashboard!$F$14,AA482)</x:f>
      </x:c>
      <x:c r="X483" s="32" t="e">
        <x:f>IF(AND(A483&lt;=Dashboard!$F$17,MOD(A483-1,12)=0),MIN(W483,$B$7),0)</x:f>
      </x:c>
      <x:c r="Y483" s="32" t="e">
        <x:f>IF(A483&lt;=Dashboard!$F$17,MAX(0,W483-X483)*Dashboard!$F$6,0)</x:f>
      </x:c>
      <x:c r="Z483" s="32" t="e">
        <x:f>IF(A483&lt;=Dashboard!$F$17,MIN(Dashboard!$F$10,MAX(0,W483-X483)+Y483),0)</x:f>
      </x:c>
      <x:c r="AA483" s="32" t="e">
        <x:f>IF(A483&lt;=Dashboard!$F$17,MAX(0,W483-X483-MAX(0,Z483-Y483)),0)</x:f>
      </x:c>
      <x:c r="AB483" s="32" t="e">
        <x:f>IF(A483=1,Y483,AB482+Y483)</x:f>
      </x:c>
      <x:c r="AC483" s="32"/>
      <x:c r="AD483" s="32" t="e">
        <x:f>IF(A483=1,MAX(0,Dashboard!$F$14-$B$8),AG482)</x:f>
      </x:c>
      <x:c r="AE483" s="32" t="n">
        <x:f>0</x:f>
        <x:v>0</x:v>
      </x:c>
      <x:c r="AF483" s="32" t="e">
        <x:f>IF(A483&lt;=Dashboard!$F$17,AD483*Dashboard!$F$6,0)</x:f>
      </x:c>
      <x:c r="AG483" s="32" t="e">
        <x:f>IF(A483&lt;=Dashboard!$F$17,MIN(Dashboard!$F$10,AD483+AF483),0)</x:f>
      </x:c>
      <x:c r="AH483" s="32" t="e">
        <x:f>IF(A483&lt;=Dashboard!$F$17,MAX(0,AD483-MAX(0,AG483-AF483)),0)</x:f>
      </x:c>
      <x:c r="AI483" s="32" t="e">
        <x:f>IF(A483=1,AF483,AI482+AF483)</x:f>
      </x:c>
      <x:c r="AJ483" s="33"/>
      <x:c r="AK483" s="33"/>
      <x:c r="AL483" s="33"/>
      <x:c r="AM483" s="33"/>
    </x:row>
    <x:row r="484">
      <x:c r="A484" s="33" t="n">
        <x:v>472</x:v>
      </x:c>
      <x:c r="B484" s="32" t="e">
        <x:f>IF(A484=1,Dashboard!$F$14,F483)</x:f>
      </x:c>
      <x:c r="C484" s="32" t="n">
        <x:f>0</x:f>
        <x:v>0</x:v>
      </x:c>
      <x:c r="D484" s="32" t="e">
        <x:f>IF(A484&lt;=Dashboard!$F$15,B484*Dashboard!$F$6,0)</x:f>
      </x:c>
      <x:c r="E484" s="32" t="e">
        <x:f>IF(A484&lt;=Dashboard!$F$15,MIN(Dashboard!$F$10,B484+D484),0)</x:f>
      </x:c>
      <x:c r="F484" s="32" t="e">
        <x:f>IF(A484&lt;=Dashboard!$F$15,MAX(0,B484-MAX(0,E484-D484)),0)</x:f>
      </x:c>
      <x:c r="G484" s="32" t="e">
        <x:f>IF(A484=1,D484,G483+D484)</x:f>
      </x:c>
      <x:c r="H484" s="32"/>
      <x:c r="I484" s="32" t="e">
        <x:f>IF(A484=1,Dashboard!$F$14,M483)</x:f>
      </x:c>
      <x:c r="J484" s="32" t="e">
        <x:f>IF(A484&lt;=Dashboard!$F$17,MIN(I484,$B$5),0)</x:f>
      </x:c>
      <x:c r="K484" s="32" t="e">
        <x:f>IF(A484&lt;=Dashboard!$F$17,MAX(0,I484-J484)*Dashboard!$F$6,0)</x:f>
      </x:c>
      <x:c r="L484" s="32" t="e">
        <x:f>IF(A484&lt;=Dashboard!$F$17,MIN(Dashboard!$F$10,MAX(0,I484-J484)+K484),0)</x:f>
      </x:c>
      <x:c r="M484" s="32" t="e">
        <x:f>IF(A484&lt;=Dashboard!$F$17,MAX(0,I484-J484-MAX(0,L484-K484)),0)</x:f>
      </x:c>
      <x:c r="N484" s="32" t="e">
        <x:f>IF(A484=1,K484,N483+K484)</x:f>
      </x:c>
      <x:c r="O484" s="32"/>
      <x:c r="P484" s="32" t="e">
        <x:f>IF(A484=1,Dashboard!$F$14,T483)</x:f>
      </x:c>
      <x:c r="Q484" s="32" t="e">
        <x:f>IF(A484&lt;=Dashboard!$F$17,MIN(P484,$B$6*52/12),0)</x:f>
      </x:c>
      <x:c r="R484" s="32" t="e">
        <x:f>IF(A484&lt;=Dashboard!$F$17,MAX(0,P484-Q484)*Dashboard!$F$6,0)</x:f>
      </x:c>
      <x:c r="S484" s="32" t="e">
        <x:f>IF(A484&lt;=Dashboard!$F$17,MIN(Dashboard!$F$10,MAX(0,P484-Q484)+R484),0)</x:f>
      </x:c>
      <x:c r="T484" s="32" t="e">
        <x:f>IF(A484&lt;=Dashboard!$F$17,MAX(0,P484-Q484-MAX(0,S484-R484)),0)</x:f>
      </x:c>
      <x:c r="U484" s="32" t="e">
        <x:f>IF(A484=1,R484,U483+R484)</x:f>
      </x:c>
      <x:c r="V484" s="32"/>
      <x:c r="W484" s="32" t="e">
        <x:f>IF(A484=1,Dashboard!$F$14,AA483)</x:f>
      </x:c>
      <x:c r="X484" s="32" t="e">
        <x:f>IF(AND(A484&lt;=Dashboard!$F$17,MOD(A484-1,12)=0),MIN(W484,$B$7),0)</x:f>
      </x:c>
      <x:c r="Y484" s="32" t="e">
        <x:f>IF(A484&lt;=Dashboard!$F$17,MAX(0,W484-X484)*Dashboard!$F$6,0)</x:f>
      </x:c>
      <x:c r="Z484" s="32" t="e">
        <x:f>IF(A484&lt;=Dashboard!$F$17,MIN(Dashboard!$F$10,MAX(0,W484-X484)+Y484),0)</x:f>
      </x:c>
      <x:c r="AA484" s="32" t="e">
        <x:f>IF(A484&lt;=Dashboard!$F$17,MAX(0,W484-X484-MAX(0,Z484-Y484)),0)</x:f>
      </x:c>
      <x:c r="AB484" s="32" t="e">
        <x:f>IF(A484=1,Y484,AB483+Y484)</x:f>
      </x:c>
      <x:c r="AC484" s="32"/>
      <x:c r="AD484" s="32" t="e">
        <x:f>IF(A484=1,MAX(0,Dashboard!$F$14-$B$8),AG483)</x:f>
      </x:c>
      <x:c r="AE484" s="32" t="n">
        <x:f>0</x:f>
        <x:v>0</x:v>
      </x:c>
      <x:c r="AF484" s="32" t="e">
        <x:f>IF(A484&lt;=Dashboard!$F$17,AD484*Dashboard!$F$6,0)</x:f>
      </x:c>
      <x:c r="AG484" s="32" t="e">
        <x:f>IF(A484&lt;=Dashboard!$F$17,MIN(Dashboard!$F$10,AD484+AF484),0)</x:f>
      </x:c>
      <x:c r="AH484" s="32" t="e">
        <x:f>IF(A484&lt;=Dashboard!$F$17,MAX(0,AD484-MAX(0,AG484-AF484)),0)</x:f>
      </x:c>
      <x:c r="AI484" s="32" t="e">
        <x:f>IF(A484=1,AF484,AI483+AF484)</x:f>
      </x:c>
      <x:c r="AJ484" s="33"/>
      <x:c r="AK484" s="33"/>
      <x:c r="AL484" s="33"/>
      <x:c r="AM484" s="33"/>
    </x:row>
    <x:row r="485">
      <x:c r="A485" s="33" t="n">
        <x:v>473</x:v>
      </x:c>
      <x:c r="B485" s="32" t="e">
        <x:f>IF(A485=1,Dashboard!$F$14,F484)</x:f>
      </x:c>
      <x:c r="C485" s="32" t="n">
        <x:f>0</x:f>
        <x:v>0</x:v>
      </x:c>
      <x:c r="D485" s="32" t="e">
        <x:f>IF(A485&lt;=Dashboard!$F$15,B485*Dashboard!$F$6,0)</x:f>
      </x:c>
      <x:c r="E485" s="32" t="e">
        <x:f>IF(A485&lt;=Dashboard!$F$15,MIN(Dashboard!$F$10,B485+D485),0)</x:f>
      </x:c>
      <x:c r="F485" s="32" t="e">
        <x:f>IF(A485&lt;=Dashboard!$F$15,MAX(0,B485-MAX(0,E485-D485)),0)</x:f>
      </x:c>
      <x:c r="G485" s="32" t="e">
        <x:f>IF(A485=1,D485,G484+D485)</x:f>
      </x:c>
      <x:c r="H485" s="32"/>
      <x:c r="I485" s="32" t="e">
        <x:f>IF(A485=1,Dashboard!$F$14,M484)</x:f>
      </x:c>
      <x:c r="J485" s="32" t="e">
        <x:f>IF(A485&lt;=Dashboard!$F$17,MIN(I485,$B$5),0)</x:f>
      </x:c>
      <x:c r="K485" s="32" t="e">
        <x:f>IF(A485&lt;=Dashboard!$F$17,MAX(0,I485-J485)*Dashboard!$F$6,0)</x:f>
      </x:c>
      <x:c r="L485" s="32" t="e">
        <x:f>IF(A485&lt;=Dashboard!$F$17,MIN(Dashboard!$F$10,MAX(0,I485-J485)+K485),0)</x:f>
      </x:c>
      <x:c r="M485" s="32" t="e">
        <x:f>IF(A485&lt;=Dashboard!$F$17,MAX(0,I485-J485-MAX(0,L485-K485)),0)</x:f>
      </x:c>
      <x:c r="N485" s="32" t="e">
        <x:f>IF(A485=1,K485,N484+K485)</x:f>
      </x:c>
      <x:c r="O485" s="32"/>
      <x:c r="P485" s="32" t="e">
        <x:f>IF(A485=1,Dashboard!$F$14,T484)</x:f>
      </x:c>
      <x:c r="Q485" s="32" t="e">
        <x:f>IF(A485&lt;=Dashboard!$F$17,MIN(P485,$B$6*52/12),0)</x:f>
      </x:c>
      <x:c r="R485" s="32" t="e">
        <x:f>IF(A485&lt;=Dashboard!$F$17,MAX(0,P485-Q485)*Dashboard!$F$6,0)</x:f>
      </x:c>
      <x:c r="S485" s="32" t="e">
        <x:f>IF(A485&lt;=Dashboard!$F$17,MIN(Dashboard!$F$10,MAX(0,P485-Q485)+R485),0)</x:f>
      </x:c>
      <x:c r="T485" s="32" t="e">
        <x:f>IF(A485&lt;=Dashboard!$F$17,MAX(0,P485-Q485-MAX(0,S485-R485)),0)</x:f>
      </x:c>
      <x:c r="U485" s="32" t="e">
        <x:f>IF(A485=1,R485,U484+R485)</x:f>
      </x:c>
      <x:c r="V485" s="32"/>
      <x:c r="W485" s="32" t="e">
        <x:f>IF(A485=1,Dashboard!$F$14,AA484)</x:f>
      </x:c>
      <x:c r="X485" s="32" t="e">
        <x:f>IF(AND(A485&lt;=Dashboard!$F$17,MOD(A485-1,12)=0),MIN(W485,$B$7),0)</x:f>
      </x:c>
      <x:c r="Y485" s="32" t="e">
        <x:f>IF(A485&lt;=Dashboard!$F$17,MAX(0,W485-X485)*Dashboard!$F$6,0)</x:f>
      </x:c>
      <x:c r="Z485" s="32" t="e">
        <x:f>IF(A485&lt;=Dashboard!$F$17,MIN(Dashboard!$F$10,MAX(0,W485-X485)+Y485),0)</x:f>
      </x:c>
      <x:c r="AA485" s="32" t="e">
        <x:f>IF(A485&lt;=Dashboard!$F$17,MAX(0,W485-X485-MAX(0,Z485-Y485)),0)</x:f>
      </x:c>
      <x:c r="AB485" s="32" t="e">
        <x:f>IF(A485=1,Y485,AB484+Y485)</x:f>
      </x:c>
      <x:c r="AC485" s="32"/>
      <x:c r="AD485" s="32" t="e">
        <x:f>IF(A485=1,MAX(0,Dashboard!$F$14-$B$8),AG484)</x:f>
      </x:c>
      <x:c r="AE485" s="32" t="n">
        <x:f>0</x:f>
        <x:v>0</x:v>
      </x:c>
      <x:c r="AF485" s="32" t="e">
        <x:f>IF(A485&lt;=Dashboard!$F$17,AD485*Dashboard!$F$6,0)</x:f>
      </x:c>
      <x:c r="AG485" s="32" t="e">
        <x:f>IF(A485&lt;=Dashboard!$F$17,MIN(Dashboard!$F$10,AD485+AF485),0)</x:f>
      </x:c>
      <x:c r="AH485" s="32" t="e">
        <x:f>IF(A485&lt;=Dashboard!$F$17,MAX(0,AD485-MAX(0,AG485-AF485)),0)</x:f>
      </x:c>
      <x:c r="AI485" s="32" t="e">
        <x:f>IF(A485=1,AF485,AI484+AF485)</x:f>
      </x:c>
      <x:c r="AJ485" s="33"/>
      <x:c r="AK485" s="33"/>
      <x:c r="AL485" s="33"/>
      <x:c r="AM485" s="33"/>
    </x:row>
    <x:row r="486">
      <x:c r="A486" s="33" t="n">
        <x:v>474</x:v>
      </x:c>
      <x:c r="B486" s="32" t="e">
        <x:f>IF(A486=1,Dashboard!$F$14,F485)</x:f>
      </x:c>
      <x:c r="C486" s="32" t="n">
        <x:f>0</x:f>
        <x:v>0</x:v>
      </x:c>
      <x:c r="D486" s="32" t="e">
        <x:f>IF(A486&lt;=Dashboard!$F$15,B486*Dashboard!$F$6,0)</x:f>
      </x:c>
      <x:c r="E486" s="32" t="e">
        <x:f>IF(A486&lt;=Dashboard!$F$15,MIN(Dashboard!$F$10,B486+D486),0)</x:f>
      </x:c>
      <x:c r="F486" s="32" t="e">
        <x:f>IF(A486&lt;=Dashboard!$F$15,MAX(0,B486-MAX(0,E486-D486)),0)</x:f>
      </x:c>
      <x:c r="G486" s="32" t="e">
        <x:f>IF(A486=1,D486,G485+D486)</x:f>
      </x:c>
      <x:c r="H486" s="32"/>
      <x:c r="I486" s="32" t="e">
        <x:f>IF(A486=1,Dashboard!$F$14,M485)</x:f>
      </x:c>
      <x:c r="J486" s="32" t="e">
        <x:f>IF(A486&lt;=Dashboard!$F$17,MIN(I486,$B$5),0)</x:f>
      </x:c>
      <x:c r="K486" s="32" t="e">
        <x:f>IF(A486&lt;=Dashboard!$F$17,MAX(0,I486-J486)*Dashboard!$F$6,0)</x:f>
      </x:c>
      <x:c r="L486" s="32" t="e">
        <x:f>IF(A486&lt;=Dashboard!$F$17,MIN(Dashboard!$F$10,MAX(0,I486-J486)+K486),0)</x:f>
      </x:c>
      <x:c r="M486" s="32" t="e">
        <x:f>IF(A486&lt;=Dashboard!$F$17,MAX(0,I486-J486-MAX(0,L486-K486)),0)</x:f>
      </x:c>
      <x:c r="N486" s="32" t="e">
        <x:f>IF(A486=1,K486,N485+K486)</x:f>
      </x:c>
      <x:c r="O486" s="32"/>
      <x:c r="P486" s="32" t="e">
        <x:f>IF(A486=1,Dashboard!$F$14,T485)</x:f>
      </x:c>
      <x:c r="Q486" s="32" t="e">
        <x:f>IF(A486&lt;=Dashboard!$F$17,MIN(P486,$B$6*52/12),0)</x:f>
      </x:c>
      <x:c r="R486" s="32" t="e">
        <x:f>IF(A486&lt;=Dashboard!$F$17,MAX(0,P486-Q486)*Dashboard!$F$6,0)</x:f>
      </x:c>
      <x:c r="S486" s="32" t="e">
        <x:f>IF(A486&lt;=Dashboard!$F$17,MIN(Dashboard!$F$10,MAX(0,P486-Q486)+R486),0)</x:f>
      </x:c>
      <x:c r="T486" s="32" t="e">
        <x:f>IF(A486&lt;=Dashboard!$F$17,MAX(0,P486-Q486-MAX(0,S486-R486)),0)</x:f>
      </x:c>
      <x:c r="U486" s="32" t="e">
        <x:f>IF(A486=1,R486,U485+R486)</x:f>
      </x:c>
      <x:c r="V486" s="32"/>
      <x:c r="W486" s="32" t="e">
        <x:f>IF(A486=1,Dashboard!$F$14,AA485)</x:f>
      </x:c>
      <x:c r="X486" s="32" t="e">
        <x:f>IF(AND(A486&lt;=Dashboard!$F$17,MOD(A486-1,12)=0),MIN(W486,$B$7),0)</x:f>
      </x:c>
      <x:c r="Y486" s="32" t="e">
        <x:f>IF(A486&lt;=Dashboard!$F$17,MAX(0,W486-X486)*Dashboard!$F$6,0)</x:f>
      </x:c>
      <x:c r="Z486" s="32" t="e">
        <x:f>IF(A486&lt;=Dashboard!$F$17,MIN(Dashboard!$F$10,MAX(0,W486-X486)+Y486),0)</x:f>
      </x:c>
      <x:c r="AA486" s="32" t="e">
        <x:f>IF(A486&lt;=Dashboard!$F$17,MAX(0,W486-X486-MAX(0,Z486-Y486)),0)</x:f>
      </x:c>
      <x:c r="AB486" s="32" t="e">
        <x:f>IF(A486=1,Y486,AB485+Y486)</x:f>
      </x:c>
      <x:c r="AC486" s="32"/>
      <x:c r="AD486" s="32" t="e">
        <x:f>IF(A486=1,MAX(0,Dashboard!$F$14-$B$8),AG485)</x:f>
      </x:c>
      <x:c r="AE486" s="32" t="n">
        <x:f>0</x:f>
        <x:v>0</x:v>
      </x:c>
      <x:c r="AF486" s="32" t="e">
        <x:f>IF(A486&lt;=Dashboard!$F$17,AD486*Dashboard!$F$6,0)</x:f>
      </x:c>
      <x:c r="AG486" s="32" t="e">
        <x:f>IF(A486&lt;=Dashboard!$F$17,MIN(Dashboard!$F$10,AD486+AF486),0)</x:f>
      </x:c>
      <x:c r="AH486" s="32" t="e">
        <x:f>IF(A486&lt;=Dashboard!$F$17,MAX(0,AD486-MAX(0,AG486-AF486)),0)</x:f>
      </x:c>
      <x:c r="AI486" s="32" t="e">
        <x:f>IF(A486=1,AF486,AI485+AF486)</x:f>
      </x:c>
      <x:c r="AJ486" s="33"/>
      <x:c r="AK486" s="33"/>
      <x:c r="AL486" s="33"/>
      <x:c r="AM486" s="33"/>
    </x:row>
    <x:row r="487">
      <x:c r="A487" s="33" t="n">
        <x:v>475</x:v>
      </x:c>
      <x:c r="B487" s="32" t="e">
        <x:f>IF(A487=1,Dashboard!$F$14,F486)</x:f>
      </x:c>
      <x:c r="C487" s="32" t="n">
        <x:f>0</x:f>
        <x:v>0</x:v>
      </x:c>
      <x:c r="D487" s="32" t="e">
        <x:f>IF(A487&lt;=Dashboard!$F$15,B487*Dashboard!$F$6,0)</x:f>
      </x:c>
      <x:c r="E487" s="32" t="e">
        <x:f>IF(A487&lt;=Dashboard!$F$15,MIN(Dashboard!$F$10,B487+D487),0)</x:f>
      </x:c>
      <x:c r="F487" s="32" t="e">
        <x:f>IF(A487&lt;=Dashboard!$F$15,MAX(0,B487-MAX(0,E487-D487)),0)</x:f>
      </x:c>
      <x:c r="G487" s="32" t="e">
        <x:f>IF(A487=1,D487,G486+D487)</x:f>
      </x:c>
      <x:c r="H487" s="32"/>
      <x:c r="I487" s="32" t="e">
        <x:f>IF(A487=1,Dashboard!$F$14,M486)</x:f>
      </x:c>
      <x:c r="J487" s="32" t="e">
        <x:f>IF(A487&lt;=Dashboard!$F$17,MIN(I487,$B$5),0)</x:f>
      </x:c>
      <x:c r="K487" s="32" t="e">
        <x:f>IF(A487&lt;=Dashboard!$F$17,MAX(0,I487-J487)*Dashboard!$F$6,0)</x:f>
      </x:c>
      <x:c r="L487" s="32" t="e">
        <x:f>IF(A487&lt;=Dashboard!$F$17,MIN(Dashboard!$F$10,MAX(0,I487-J487)+K487),0)</x:f>
      </x:c>
      <x:c r="M487" s="32" t="e">
        <x:f>IF(A487&lt;=Dashboard!$F$17,MAX(0,I487-J487-MAX(0,L487-K487)),0)</x:f>
      </x:c>
      <x:c r="N487" s="32" t="e">
        <x:f>IF(A487=1,K487,N486+K487)</x:f>
      </x:c>
      <x:c r="O487" s="32"/>
      <x:c r="P487" s="32" t="e">
        <x:f>IF(A487=1,Dashboard!$F$14,T486)</x:f>
      </x:c>
      <x:c r="Q487" s="32" t="e">
        <x:f>IF(A487&lt;=Dashboard!$F$17,MIN(P487,$B$6*52/12),0)</x:f>
      </x:c>
      <x:c r="R487" s="32" t="e">
        <x:f>IF(A487&lt;=Dashboard!$F$17,MAX(0,P487-Q487)*Dashboard!$F$6,0)</x:f>
      </x:c>
      <x:c r="S487" s="32" t="e">
        <x:f>IF(A487&lt;=Dashboard!$F$17,MIN(Dashboard!$F$10,MAX(0,P487-Q487)+R487),0)</x:f>
      </x:c>
      <x:c r="T487" s="32" t="e">
        <x:f>IF(A487&lt;=Dashboard!$F$17,MAX(0,P487-Q487-MAX(0,S487-R487)),0)</x:f>
      </x:c>
      <x:c r="U487" s="32" t="e">
        <x:f>IF(A487=1,R487,U486+R487)</x:f>
      </x:c>
      <x:c r="V487" s="32"/>
      <x:c r="W487" s="32" t="e">
        <x:f>IF(A487=1,Dashboard!$F$14,AA486)</x:f>
      </x:c>
      <x:c r="X487" s="32" t="e">
        <x:f>IF(AND(A487&lt;=Dashboard!$F$17,MOD(A487-1,12)=0),MIN(W487,$B$7),0)</x:f>
      </x:c>
      <x:c r="Y487" s="32" t="e">
        <x:f>IF(A487&lt;=Dashboard!$F$17,MAX(0,W487-X487)*Dashboard!$F$6,0)</x:f>
      </x:c>
      <x:c r="Z487" s="32" t="e">
        <x:f>IF(A487&lt;=Dashboard!$F$17,MIN(Dashboard!$F$10,MAX(0,W487-X487)+Y487),0)</x:f>
      </x:c>
      <x:c r="AA487" s="32" t="e">
        <x:f>IF(A487&lt;=Dashboard!$F$17,MAX(0,W487-X487-MAX(0,Z487-Y487)),0)</x:f>
      </x:c>
      <x:c r="AB487" s="32" t="e">
        <x:f>IF(A487=1,Y487,AB486+Y487)</x:f>
      </x:c>
      <x:c r="AC487" s="32"/>
      <x:c r="AD487" s="32" t="e">
        <x:f>IF(A487=1,MAX(0,Dashboard!$F$14-$B$8),AG486)</x:f>
      </x:c>
      <x:c r="AE487" s="32" t="n">
        <x:f>0</x:f>
        <x:v>0</x:v>
      </x:c>
      <x:c r="AF487" s="32" t="e">
        <x:f>IF(A487&lt;=Dashboard!$F$17,AD487*Dashboard!$F$6,0)</x:f>
      </x:c>
      <x:c r="AG487" s="32" t="e">
        <x:f>IF(A487&lt;=Dashboard!$F$17,MIN(Dashboard!$F$10,AD487+AF487),0)</x:f>
      </x:c>
      <x:c r="AH487" s="32" t="e">
        <x:f>IF(A487&lt;=Dashboard!$F$17,MAX(0,AD487-MAX(0,AG487-AF487)),0)</x:f>
      </x:c>
      <x:c r="AI487" s="32" t="e">
        <x:f>IF(A487=1,AF487,AI486+AF487)</x:f>
      </x:c>
      <x:c r="AJ487" s="33"/>
      <x:c r="AK487" s="33"/>
      <x:c r="AL487" s="33"/>
      <x:c r="AM487" s="33"/>
    </x:row>
    <x:row r="488">
      <x:c r="A488" s="33" t="n">
        <x:v>476</x:v>
      </x:c>
      <x:c r="B488" s="32" t="e">
        <x:f>IF(A488=1,Dashboard!$F$14,F487)</x:f>
      </x:c>
      <x:c r="C488" s="32" t="n">
        <x:f>0</x:f>
        <x:v>0</x:v>
      </x:c>
      <x:c r="D488" s="32" t="e">
        <x:f>IF(A488&lt;=Dashboard!$F$15,B488*Dashboard!$F$6,0)</x:f>
      </x:c>
      <x:c r="E488" s="32" t="e">
        <x:f>IF(A488&lt;=Dashboard!$F$15,MIN(Dashboard!$F$10,B488+D488),0)</x:f>
      </x:c>
      <x:c r="F488" s="32" t="e">
        <x:f>IF(A488&lt;=Dashboard!$F$15,MAX(0,B488-MAX(0,E488-D488)),0)</x:f>
      </x:c>
      <x:c r="G488" s="32" t="e">
        <x:f>IF(A488=1,D488,G487+D488)</x:f>
      </x:c>
      <x:c r="H488" s="32"/>
      <x:c r="I488" s="32" t="e">
        <x:f>IF(A488=1,Dashboard!$F$14,M487)</x:f>
      </x:c>
      <x:c r="J488" s="32" t="e">
        <x:f>IF(A488&lt;=Dashboard!$F$17,MIN(I488,$B$5),0)</x:f>
      </x:c>
      <x:c r="K488" s="32" t="e">
        <x:f>IF(A488&lt;=Dashboard!$F$17,MAX(0,I488-J488)*Dashboard!$F$6,0)</x:f>
      </x:c>
      <x:c r="L488" s="32" t="e">
        <x:f>IF(A488&lt;=Dashboard!$F$17,MIN(Dashboard!$F$10,MAX(0,I488-J488)+K488),0)</x:f>
      </x:c>
      <x:c r="M488" s="32" t="e">
        <x:f>IF(A488&lt;=Dashboard!$F$17,MAX(0,I488-J488-MAX(0,L488-K488)),0)</x:f>
      </x:c>
      <x:c r="N488" s="32" t="e">
        <x:f>IF(A488=1,K488,N487+K488)</x:f>
      </x:c>
      <x:c r="O488" s="32"/>
      <x:c r="P488" s="32" t="e">
        <x:f>IF(A488=1,Dashboard!$F$14,T487)</x:f>
      </x:c>
      <x:c r="Q488" s="32" t="e">
        <x:f>IF(A488&lt;=Dashboard!$F$17,MIN(P488,$B$6*52/12),0)</x:f>
      </x:c>
      <x:c r="R488" s="32" t="e">
        <x:f>IF(A488&lt;=Dashboard!$F$17,MAX(0,P488-Q488)*Dashboard!$F$6,0)</x:f>
      </x:c>
      <x:c r="S488" s="32" t="e">
        <x:f>IF(A488&lt;=Dashboard!$F$17,MIN(Dashboard!$F$10,MAX(0,P488-Q488)+R488),0)</x:f>
      </x:c>
      <x:c r="T488" s="32" t="e">
        <x:f>IF(A488&lt;=Dashboard!$F$17,MAX(0,P488-Q488-MAX(0,S488-R488)),0)</x:f>
      </x:c>
      <x:c r="U488" s="32" t="e">
        <x:f>IF(A488=1,R488,U487+R488)</x:f>
      </x:c>
      <x:c r="V488" s="32"/>
      <x:c r="W488" s="32" t="e">
        <x:f>IF(A488=1,Dashboard!$F$14,AA487)</x:f>
      </x:c>
      <x:c r="X488" s="32" t="e">
        <x:f>IF(AND(A488&lt;=Dashboard!$F$17,MOD(A488-1,12)=0),MIN(W488,$B$7),0)</x:f>
      </x:c>
      <x:c r="Y488" s="32" t="e">
        <x:f>IF(A488&lt;=Dashboard!$F$17,MAX(0,W488-X488)*Dashboard!$F$6,0)</x:f>
      </x:c>
      <x:c r="Z488" s="32" t="e">
        <x:f>IF(A488&lt;=Dashboard!$F$17,MIN(Dashboard!$F$10,MAX(0,W488-X488)+Y488),0)</x:f>
      </x:c>
      <x:c r="AA488" s="32" t="e">
        <x:f>IF(A488&lt;=Dashboard!$F$17,MAX(0,W488-X488-MAX(0,Z488-Y488)),0)</x:f>
      </x:c>
      <x:c r="AB488" s="32" t="e">
        <x:f>IF(A488=1,Y488,AB487+Y488)</x:f>
      </x:c>
      <x:c r="AC488" s="32"/>
      <x:c r="AD488" s="32" t="e">
        <x:f>IF(A488=1,MAX(0,Dashboard!$F$14-$B$8),AG487)</x:f>
      </x:c>
      <x:c r="AE488" s="32" t="n">
        <x:f>0</x:f>
        <x:v>0</x:v>
      </x:c>
      <x:c r="AF488" s="32" t="e">
        <x:f>IF(A488&lt;=Dashboard!$F$17,AD488*Dashboard!$F$6,0)</x:f>
      </x:c>
      <x:c r="AG488" s="32" t="e">
        <x:f>IF(A488&lt;=Dashboard!$F$17,MIN(Dashboard!$F$10,AD488+AF488),0)</x:f>
      </x:c>
      <x:c r="AH488" s="32" t="e">
        <x:f>IF(A488&lt;=Dashboard!$F$17,MAX(0,AD488-MAX(0,AG488-AF488)),0)</x:f>
      </x:c>
      <x:c r="AI488" s="32" t="e">
        <x:f>IF(A488=1,AF488,AI487+AF488)</x:f>
      </x:c>
      <x:c r="AJ488" s="33"/>
      <x:c r="AK488" s="33"/>
      <x:c r="AL488" s="33"/>
      <x:c r="AM488" s="33"/>
    </x:row>
    <x:row r="489">
      <x:c r="A489" s="33" t="n">
        <x:v>477</x:v>
      </x:c>
      <x:c r="B489" s="32" t="e">
        <x:f>IF(A489=1,Dashboard!$F$14,F488)</x:f>
      </x:c>
      <x:c r="C489" s="32" t="n">
        <x:f>0</x:f>
        <x:v>0</x:v>
      </x:c>
      <x:c r="D489" s="32" t="e">
        <x:f>IF(A489&lt;=Dashboard!$F$15,B489*Dashboard!$F$6,0)</x:f>
      </x:c>
      <x:c r="E489" s="32" t="e">
        <x:f>IF(A489&lt;=Dashboard!$F$15,MIN(Dashboard!$F$10,B489+D489),0)</x:f>
      </x:c>
      <x:c r="F489" s="32" t="e">
        <x:f>IF(A489&lt;=Dashboard!$F$15,MAX(0,B489-MAX(0,E489-D489)),0)</x:f>
      </x:c>
      <x:c r="G489" s="32" t="e">
        <x:f>IF(A489=1,D489,G488+D489)</x:f>
      </x:c>
      <x:c r="H489" s="32"/>
      <x:c r="I489" s="32" t="e">
        <x:f>IF(A489=1,Dashboard!$F$14,M488)</x:f>
      </x:c>
      <x:c r="J489" s="32" t="e">
        <x:f>IF(A489&lt;=Dashboard!$F$17,MIN(I489,$B$5),0)</x:f>
      </x:c>
      <x:c r="K489" s="32" t="e">
        <x:f>IF(A489&lt;=Dashboard!$F$17,MAX(0,I489-J489)*Dashboard!$F$6,0)</x:f>
      </x:c>
      <x:c r="L489" s="32" t="e">
        <x:f>IF(A489&lt;=Dashboard!$F$17,MIN(Dashboard!$F$10,MAX(0,I489-J489)+K489),0)</x:f>
      </x:c>
      <x:c r="M489" s="32" t="e">
        <x:f>IF(A489&lt;=Dashboard!$F$17,MAX(0,I489-J489-MAX(0,L489-K489)),0)</x:f>
      </x:c>
      <x:c r="N489" s="32" t="e">
        <x:f>IF(A489=1,K489,N488+K489)</x:f>
      </x:c>
      <x:c r="O489" s="32"/>
      <x:c r="P489" s="32" t="e">
        <x:f>IF(A489=1,Dashboard!$F$14,T488)</x:f>
      </x:c>
      <x:c r="Q489" s="32" t="e">
        <x:f>IF(A489&lt;=Dashboard!$F$17,MIN(P489,$B$6*52/12),0)</x:f>
      </x:c>
      <x:c r="R489" s="32" t="e">
        <x:f>IF(A489&lt;=Dashboard!$F$17,MAX(0,P489-Q489)*Dashboard!$F$6,0)</x:f>
      </x:c>
      <x:c r="S489" s="32" t="e">
        <x:f>IF(A489&lt;=Dashboard!$F$17,MIN(Dashboard!$F$10,MAX(0,P489-Q489)+R489),0)</x:f>
      </x:c>
      <x:c r="T489" s="32" t="e">
        <x:f>IF(A489&lt;=Dashboard!$F$17,MAX(0,P489-Q489-MAX(0,S489-R489)),0)</x:f>
      </x:c>
      <x:c r="U489" s="32" t="e">
        <x:f>IF(A489=1,R489,U488+R489)</x:f>
      </x:c>
      <x:c r="V489" s="32"/>
      <x:c r="W489" s="32" t="e">
        <x:f>IF(A489=1,Dashboard!$F$14,AA488)</x:f>
      </x:c>
      <x:c r="X489" s="32" t="e">
        <x:f>IF(AND(A489&lt;=Dashboard!$F$17,MOD(A489-1,12)=0),MIN(W489,$B$7),0)</x:f>
      </x:c>
      <x:c r="Y489" s="32" t="e">
        <x:f>IF(A489&lt;=Dashboard!$F$17,MAX(0,W489-X489)*Dashboard!$F$6,0)</x:f>
      </x:c>
      <x:c r="Z489" s="32" t="e">
        <x:f>IF(A489&lt;=Dashboard!$F$17,MIN(Dashboard!$F$10,MAX(0,W489-X489)+Y489),0)</x:f>
      </x:c>
      <x:c r="AA489" s="32" t="e">
        <x:f>IF(A489&lt;=Dashboard!$F$17,MAX(0,W489-X489-MAX(0,Z489-Y489)),0)</x:f>
      </x:c>
      <x:c r="AB489" s="32" t="e">
        <x:f>IF(A489=1,Y489,AB488+Y489)</x:f>
      </x:c>
      <x:c r="AC489" s="32"/>
      <x:c r="AD489" s="32" t="e">
        <x:f>IF(A489=1,MAX(0,Dashboard!$F$14-$B$8),AG488)</x:f>
      </x:c>
      <x:c r="AE489" s="32" t="n">
        <x:f>0</x:f>
        <x:v>0</x:v>
      </x:c>
      <x:c r="AF489" s="32" t="e">
        <x:f>IF(A489&lt;=Dashboard!$F$17,AD489*Dashboard!$F$6,0)</x:f>
      </x:c>
      <x:c r="AG489" s="32" t="e">
        <x:f>IF(A489&lt;=Dashboard!$F$17,MIN(Dashboard!$F$10,AD489+AF489),0)</x:f>
      </x:c>
      <x:c r="AH489" s="32" t="e">
        <x:f>IF(A489&lt;=Dashboard!$F$17,MAX(0,AD489-MAX(0,AG489-AF489)),0)</x:f>
      </x:c>
      <x:c r="AI489" s="32" t="e">
        <x:f>IF(A489=1,AF489,AI488+AF489)</x:f>
      </x:c>
      <x:c r="AJ489" s="33"/>
      <x:c r="AK489" s="33"/>
      <x:c r="AL489" s="33"/>
      <x:c r="AM489" s="33"/>
    </x:row>
    <x:row r="490">
      <x:c r="A490" s="33" t="n">
        <x:v>478</x:v>
      </x:c>
      <x:c r="B490" s="32" t="e">
        <x:f>IF(A490=1,Dashboard!$F$14,F489)</x:f>
      </x:c>
      <x:c r="C490" s="32" t="n">
        <x:f>0</x:f>
        <x:v>0</x:v>
      </x:c>
      <x:c r="D490" s="32" t="e">
        <x:f>IF(A490&lt;=Dashboard!$F$15,B490*Dashboard!$F$6,0)</x:f>
      </x:c>
      <x:c r="E490" s="32" t="e">
        <x:f>IF(A490&lt;=Dashboard!$F$15,MIN(Dashboard!$F$10,B490+D490),0)</x:f>
      </x:c>
      <x:c r="F490" s="32" t="e">
        <x:f>IF(A490&lt;=Dashboard!$F$15,MAX(0,B490-MAX(0,E490-D490)),0)</x:f>
      </x:c>
      <x:c r="G490" s="32" t="e">
        <x:f>IF(A490=1,D490,G489+D490)</x:f>
      </x:c>
      <x:c r="H490" s="32"/>
      <x:c r="I490" s="32" t="e">
        <x:f>IF(A490=1,Dashboard!$F$14,M489)</x:f>
      </x:c>
      <x:c r="J490" s="32" t="e">
        <x:f>IF(A490&lt;=Dashboard!$F$17,MIN(I490,$B$5),0)</x:f>
      </x:c>
      <x:c r="K490" s="32" t="e">
        <x:f>IF(A490&lt;=Dashboard!$F$17,MAX(0,I490-J490)*Dashboard!$F$6,0)</x:f>
      </x:c>
      <x:c r="L490" s="32" t="e">
        <x:f>IF(A490&lt;=Dashboard!$F$17,MIN(Dashboard!$F$10,MAX(0,I490-J490)+K490),0)</x:f>
      </x:c>
      <x:c r="M490" s="32" t="e">
        <x:f>IF(A490&lt;=Dashboard!$F$17,MAX(0,I490-J490-MAX(0,L490-K490)),0)</x:f>
      </x:c>
      <x:c r="N490" s="32" t="e">
        <x:f>IF(A490=1,K490,N489+K490)</x:f>
      </x:c>
      <x:c r="O490" s="32"/>
      <x:c r="P490" s="32" t="e">
        <x:f>IF(A490=1,Dashboard!$F$14,T489)</x:f>
      </x:c>
      <x:c r="Q490" s="32" t="e">
        <x:f>IF(A490&lt;=Dashboard!$F$17,MIN(P490,$B$6*52/12),0)</x:f>
      </x:c>
      <x:c r="R490" s="32" t="e">
        <x:f>IF(A490&lt;=Dashboard!$F$17,MAX(0,P490-Q490)*Dashboard!$F$6,0)</x:f>
      </x:c>
      <x:c r="S490" s="32" t="e">
        <x:f>IF(A490&lt;=Dashboard!$F$17,MIN(Dashboard!$F$10,MAX(0,P490-Q490)+R490),0)</x:f>
      </x:c>
      <x:c r="T490" s="32" t="e">
        <x:f>IF(A490&lt;=Dashboard!$F$17,MAX(0,P490-Q490-MAX(0,S490-R490)),0)</x:f>
      </x:c>
      <x:c r="U490" s="32" t="e">
        <x:f>IF(A490=1,R490,U489+R490)</x:f>
      </x:c>
      <x:c r="V490" s="32"/>
      <x:c r="W490" s="32" t="e">
        <x:f>IF(A490=1,Dashboard!$F$14,AA489)</x:f>
      </x:c>
      <x:c r="X490" s="32" t="e">
        <x:f>IF(AND(A490&lt;=Dashboard!$F$17,MOD(A490-1,12)=0),MIN(W490,$B$7),0)</x:f>
      </x:c>
      <x:c r="Y490" s="32" t="e">
        <x:f>IF(A490&lt;=Dashboard!$F$17,MAX(0,W490-X490)*Dashboard!$F$6,0)</x:f>
      </x:c>
      <x:c r="Z490" s="32" t="e">
        <x:f>IF(A490&lt;=Dashboard!$F$17,MIN(Dashboard!$F$10,MAX(0,W490-X490)+Y490),0)</x:f>
      </x:c>
      <x:c r="AA490" s="32" t="e">
        <x:f>IF(A490&lt;=Dashboard!$F$17,MAX(0,W490-X490-MAX(0,Z490-Y490)),0)</x:f>
      </x:c>
      <x:c r="AB490" s="32" t="e">
        <x:f>IF(A490=1,Y490,AB489+Y490)</x:f>
      </x:c>
      <x:c r="AC490" s="32"/>
      <x:c r="AD490" s="32" t="e">
        <x:f>IF(A490=1,MAX(0,Dashboard!$F$14-$B$8),AG489)</x:f>
      </x:c>
      <x:c r="AE490" s="32" t="n">
        <x:f>0</x:f>
        <x:v>0</x:v>
      </x:c>
      <x:c r="AF490" s="32" t="e">
        <x:f>IF(A490&lt;=Dashboard!$F$17,AD490*Dashboard!$F$6,0)</x:f>
      </x:c>
      <x:c r="AG490" s="32" t="e">
        <x:f>IF(A490&lt;=Dashboard!$F$17,MIN(Dashboard!$F$10,AD490+AF490),0)</x:f>
      </x:c>
      <x:c r="AH490" s="32" t="e">
        <x:f>IF(A490&lt;=Dashboard!$F$17,MAX(0,AD490-MAX(0,AG490-AF490)),0)</x:f>
      </x:c>
      <x:c r="AI490" s="32" t="e">
        <x:f>IF(A490=1,AF490,AI489+AF490)</x:f>
      </x:c>
      <x:c r="AJ490" s="33"/>
      <x:c r="AK490" s="33"/>
      <x:c r="AL490" s="33"/>
      <x:c r="AM490" s="33"/>
    </x:row>
    <x:row r="491">
      <x:c r="A491" s="33" t="n">
        <x:v>479</x:v>
      </x:c>
      <x:c r="B491" s="32" t="e">
        <x:f>IF(A491=1,Dashboard!$F$14,F490)</x:f>
      </x:c>
      <x:c r="C491" s="32" t="n">
        <x:f>0</x:f>
        <x:v>0</x:v>
      </x:c>
      <x:c r="D491" s="32" t="e">
        <x:f>IF(A491&lt;=Dashboard!$F$15,B491*Dashboard!$F$6,0)</x:f>
      </x:c>
      <x:c r="E491" s="32" t="e">
        <x:f>IF(A491&lt;=Dashboard!$F$15,MIN(Dashboard!$F$10,B491+D491),0)</x:f>
      </x:c>
      <x:c r="F491" s="32" t="e">
        <x:f>IF(A491&lt;=Dashboard!$F$15,MAX(0,B491-MAX(0,E491-D491)),0)</x:f>
      </x:c>
      <x:c r="G491" s="32" t="e">
        <x:f>IF(A491=1,D491,G490+D491)</x:f>
      </x:c>
      <x:c r="H491" s="32"/>
      <x:c r="I491" s="32" t="e">
        <x:f>IF(A491=1,Dashboard!$F$14,M490)</x:f>
      </x:c>
      <x:c r="J491" s="32" t="e">
        <x:f>IF(A491&lt;=Dashboard!$F$17,MIN(I491,$B$5),0)</x:f>
      </x:c>
      <x:c r="K491" s="32" t="e">
        <x:f>IF(A491&lt;=Dashboard!$F$17,MAX(0,I491-J491)*Dashboard!$F$6,0)</x:f>
      </x:c>
      <x:c r="L491" s="32" t="e">
        <x:f>IF(A491&lt;=Dashboard!$F$17,MIN(Dashboard!$F$10,MAX(0,I491-J491)+K491),0)</x:f>
      </x:c>
      <x:c r="M491" s="32" t="e">
        <x:f>IF(A491&lt;=Dashboard!$F$17,MAX(0,I491-J491-MAX(0,L491-K491)),0)</x:f>
      </x:c>
      <x:c r="N491" s="32" t="e">
        <x:f>IF(A491=1,K491,N490+K491)</x:f>
      </x:c>
      <x:c r="O491" s="32"/>
      <x:c r="P491" s="32" t="e">
        <x:f>IF(A491=1,Dashboard!$F$14,T490)</x:f>
      </x:c>
      <x:c r="Q491" s="32" t="e">
        <x:f>IF(A491&lt;=Dashboard!$F$17,MIN(P491,$B$6*52/12),0)</x:f>
      </x:c>
      <x:c r="R491" s="32" t="e">
        <x:f>IF(A491&lt;=Dashboard!$F$17,MAX(0,P491-Q491)*Dashboard!$F$6,0)</x:f>
      </x:c>
      <x:c r="S491" s="32" t="e">
        <x:f>IF(A491&lt;=Dashboard!$F$17,MIN(Dashboard!$F$10,MAX(0,P491-Q491)+R491),0)</x:f>
      </x:c>
      <x:c r="T491" s="32" t="e">
        <x:f>IF(A491&lt;=Dashboard!$F$17,MAX(0,P491-Q491-MAX(0,S491-R491)),0)</x:f>
      </x:c>
      <x:c r="U491" s="32" t="e">
        <x:f>IF(A491=1,R491,U490+R491)</x:f>
      </x:c>
      <x:c r="V491" s="32"/>
      <x:c r="W491" s="32" t="e">
        <x:f>IF(A491=1,Dashboard!$F$14,AA490)</x:f>
      </x:c>
      <x:c r="X491" s="32" t="e">
        <x:f>IF(AND(A491&lt;=Dashboard!$F$17,MOD(A491-1,12)=0),MIN(W491,$B$7),0)</x:f>
      </x:c>
      <x:c r="Y491" s="32" t="e">
        <x:f>IF(A491&lt;=Dashboard!$F$17,MAX(0,W491-X491)*Dashboard!$F$6,0)</x:f>
      </x:c>
      <x:c r="Z491" s="32" t="e">
        <x:f>IF(A491&lt;=Dashboard!$F$17,MIN(Dashboard!$F$10,MAX(0,W491-X491)+Y491),0)</x:f>
      </x:c>
      <x:c r="AA491" s="32" t="e">
        <x:f>IF(A491&lt;=Dashboard!$F$17,MAX(0,W491-X491-MAX(0,Z491-Y491)),0)</x:f>
      </x:c>
      <x:c r="AB491" s="32" t="e">
        <x:f>IF(A491=1,Y491,AB490+Y491)</x:f>
      </x:c>
      <x:c r="AC491" s="32"/>
      <x:c r="AD491" s="32" t="e">
        <x:f>IF(A491=1,MAX(0,Dashboard!$F$14-$B$8),AG490)</x:f>
      </x:c>
      <x:c r="AE491" s="32" t="n">
        <x:f>0</x:f>
        <x:v>0</x:v>
      </x:c>
      <x:c r="AF491" s="32" t="e">
        <x:f>IF(A491&lt;=Dashboard!$F$17,AD491*Dashboard!$F$6,0)</x:f>
      </x:c>
      <x:c r="AG491" s="32" t="e">
        <x:f>IF(A491&lt;=Dashboard!$F$17,MIN(Dashboard!$F$10,AD491+AF491),0)</x:f>
      </x:c>
      <x:c r="AH491" s="32" t="e">
        <x:f>IF(A491&lt;=Dashboard!$F$17,MAX(0,AD491-MAX(0,AG491-AF491)),0)</x:f>
      </x:c>
      <x:c r="AI491" s="32" t="e">
        <x:f>IF(A491=1,AF491,AI490+AF491)</x:f>
      </x:c>
      <x:c r="AJ491" s="33"/>
      <x:c r="AK491" s="33"/>
      <x:c r="AL491" s="33"/>
      <x:c r="AM491" s="33"/>
    </x:row>
    <x:row r="492">
      <x:c r="A492" s="33" t="n">
        <x:v>480</x:v>
      </x:c>
      <x:c r="B492" s="32" t="e">
        <x:f>IF(A492=1,Dashboard!$F$14,F491)</x:f>
      </x:c>
      <x:c r="C492" s="32" t="n">
        <x:f>0</x:f>
        <x:v>0</x:v>
      </x:c>
      <x:c r="D492" s="32" t="e">
        <x:f>IF(A492&lt;=Dashboard!$F$15,B492*Dashboard!$F$6,0)</x:f>
      </x:c>
      <x:c r="E492" s="32" t="e">
        <x:f>IF(A492&lt;=Dashboard!$F$15,MIN(Dashboard!$F$10,B492+D492),0)</x:f>
      </x:c>
      <x:c r="F492" s="32" t="e">
        <x:f>IF(A492&lt;=Dashboard!$F$15,MAX(0,B492-MAX(0,E492-D492)),0)</x:f>
      </x:c>
      <x:c r="G492" s="32" t="e">
        <x:f>IF(A492=1,D492,G491+D492)</x:f>
      </x:c>
      <x:c r="H492" s="32"/>
      <x:c r="I492" s="32" t="e">
        <x:f>IF(A492=1,Dashboard!$F$14,M491)</x:f>
      </x:c>
      <x:c r="J492" s="32" t="e">
        <x:f>IF(A492&lt;=Dashboard!$F$17,MIN(I492,$B$5),0)</x:f>
      </x:c>
      <x:c r="K492" s="32" t="e">
        <x:f>IF(A492&lt;=Dashboard!$F$17,MAX(0,I492-J492)*Dashboard!$F$6,0)</x:f>
      </x:c>
      <x:c r="L492" s="32" t="e">
        <x:f>IF(A492&lt;=Dashboard!$F$17,MIN(Dashboard!$F$10,MAX(0,I492-J492)+K492),0)</x:f>
      </x:c>
      <x:c r="M492" s="32" t="e">
        <x:f>IF(A492&lt;=Dashboard!$F$17,MAX(0,I492-J492-MAX(0,L492-K492)),0)</x:f>
      </x:c>
      <x:c r="N492" s="32" t="e">
        <x:f>IF(A492=1,K492,N491+K492)</x:f>
      </x:c>
      <x:c r="O492" s="32"/>
      <x:c r="P492" s="32" t="e">
        <x:f>IF(A492=1,Dashboard!$F$14,T491)</x:f>
      </x:c>
      <x:c r="Q492" s="32" t="e">
        <x:f>IF(A492&lt;=Dashboard!$F$17,MIN(P492,$B$6*52/12),0)</x:f>
      </x:c>
      <x:c r="R492" s="32" t="e">
        <x:f>IF(A492&lt;=Dashboard!$F$17,MAX(0,P492-Q492)*Dashboard!$F$6,0)</x:f>
      </x:c>
      <x:c r="S492" s="32" t="e">
        <x:f>IF(A492&lt;=Dashboard!$F$17,MIN(Dashboard!$F$10,MAX(0,P492-Q492)+R492),0)</x:f>
      </x:c>
      <x:c r="T492" s="32" t="e">
        <x:f>IF(A492&lt;=Dashboard!$F$17,MAX(0,P492-Q492-MAX(0,S492-R492)),0)</x:f>
      </x:c>
      <x:c r="U492" s="32" t="e">
        <x:f>IF(A492=1,R492,U491+R492)</x:f>
      </x:c>
      <x:c r="V492" s="32"/>
      <x:c r="W492" s="32" t="e">
        <x:f>IF(A492=1,Dashboard!$F$14,AA491)</x:f>
      </x:c>
      <x:c r="X492" s="32" t="e">
        <x:f>IF(AND(A492&lt;=Dashboard!$F$17,MOD(A492-1,12)=0),MIN(W492,$B$7),0)</x:f>
      </x:c>
      <x:c r="Y492" s="32" t="e">
        <x:f>IF(A492&lt;=Dashboard!$F$17,MAX(0,W492-X492)*Dashboard!$F$6,0)</x:f>
      </x:c>
      <x:c r="Z492" s="32" t="e">
        <x:f>IF(A492&lt;=Dashboard!$F$17,MIN(Dashboard!$F$10,MAX(0,W492-X492)+Y492),0)</x:f>
      </x:c>
      <x:c r="AA492" s="32" t="e">
        <x:f>IF(A492&lt;=Dashboard!$F$17,MAX(0,W492-X492-MAX(0,Z492-Y492)),0)</x:f>
      </x:c>
      <x:c r="AB492" s="32" t="e">
        <x:f>IF(A492=1,Y492,AB491+Y492)</x:f>
      </x:c>
      <x:c r="AC492" s="32"/>
      <x:c r="AD492" s="32" t="e">
        <x:f>IF(A492=1,MAX(0,Dashboard!$F$14-$B$8),AG491)</x:f>
      </x:c>
      <x:c r="AE492" s="32" t="n">
        <x:f>0</x:f>
        <x:v>0</x:v>
      </x:c>
      <x:c r="AF492" s="32" t="e">
        <x:f>IF(A492&lt;=Dashboard!$F$17,AD492*Dashboard!$F$6,0)</x:f>
      </x:c>
      <x:c r="AG492" s="32" t="e">
        <x:f>IF(A492&lt;=Dashboard!$F$17,MIN(Dashboard!$F$10,AD492+AF492),0)</x:f>
      </x:c>
      <x:c r="AH492" s="32" t="e">
        <x:f>IF(A492&lt;=Dashboard!$F$17,MAX(0,AD492-MAX(0,AG492-AF492)),0)</x:f>
      </x:c>
      <x:c r="AI492" s="32" t="e">
        <x:f>IF(A492=1,AF492,AI491+AF492)</x:f>
      </x:c>
      <x:c r="AJ492" s="33"/>
      <x:c r="AK492" s="33"/>
      <x:c r="AL492" s="33"/>
      <x:c r="AM492" s="33"/>
    </x:row>
    <x:row r="493">
      <x:c r="A493" s="33" t="n">
        <x:v>481</x:v>
      </x:c>
      <x:c r="B493" s="32" t="e">
        <x:f>IF(A493=1,Dashboard!$F$14,F492)</x:f>
      </x:c>
      <x:c r="C493" s="32" t="n">
        <x:f>0</x:f>
        <x:v>0</x:v>
      </x:c>
      <x:c r="D493" s="32" t="e">
        <x:f>IF(A493&lt;=Dashboard!$F$15,B493*Dashboard!$F$6,0)</x:f>
      </x:c>
      <x:c r="E493" s="32" t="e">
        <x:f>IF(A493&lt;=Dashboard!$F$15,MIN(Dashboard!$F$10,B493+D493),0)</x:f>
      </x:c>
      <x:c r="F493" s="32" t="e">
        <x:f>IF(A493&lt;=Dashboard!$F$15,MAX(0,B493-MAX(0,E493-D493)),0)</x:f>
      </x:c>
      <x:c r="G493" s="32" t="e">
        <x:f>IF(A493=1,D493,G492+D493)</x:f>
      </x:c>
      <x:c r="H493" s="32"/>
      <x:c r="I493" s="32" t="e">
        <x:f>IF(A493=1,Dashboard!$F$14,M492)</x:f>
      </x:c>
      <x:c r="J493" s="32" t="e">
        <x:f>IF(A493&lt;=Dashboard!$F$17,MIN(I493,$B$5),0)</x:f>
      </x:c>
      <x:c r="K493" s="32" t="e">
        <x:f>IF(A493&lt;=Dashboard!$F$17,MAX(0,I493-J493)*Dashboard!$F$6,0)</x:f>
      </x:c>
      <x:c r="L493" s="32" t="e">
        <x:f>IF(A493&lt;=Dashboard!$F$17,MIN(Dashboard!$F$10,MAX(0,I493-J493)+K493),0)</x:f>
      </x:c>
      <x:c r="M493" s="32" t="e">
        <x:f>IF(A493&lt;=Dashboard!$F$17,MAX(0,I493-J493-MAX(0,L493-K493)),0)</x:f>
      </x:c>
      <x:c r="N493" s="32" t="e">
        <x:f>IF(A493=1,K493,N492+K493)</x:f>
      </x:c>
      <x:c r="O493" s="32"/>
      <x:c r="P493" s="32" t="e">
        <x:f>IF(A493=1,Dashboard!$F$14,T492)</x:f>
      </x:c>
      <x:c r="Q493" s="32" t="e">
        <x:f>IF(A493&lt;=Dashboard!$F$17,MIN(P493,$B$6*52/12),0)</x:f>
      </x:c>
      <x:c r="R493" s="32" t="e">
        <x:f>IF(A493&lt;=Dashboard!$F$17,MAX(0,P493-Q493)*Dashboard!$F$6,0)</x:f>
      </x:c>
      <x:c r="S493" s="32" t="e">
        <x:f>IF(A493&lt;=Dashboard!$F$17,MIN(Dashboard!$F$10,MAX(0,P493-Q493)+R493),0)</x:f>
      </x:c>
      <x:c r="T493" s="32" t="e">
        <x:f>IF(A493&lt;=Dashboard!$F$17,MAX(0,P493-Q493-MAX(0,S493-R493)),0)</x:f>
      </x:c>
      <x:c r="U493" s="32" t="e">
        <x:f>IF(A493=1,R493,U492+R493)</x:f>
      </x:c>
      <x:c r="V493" s="32"/>
      <x:c r="W493" s="32" t="e">
        <x:f>IF(A493=1,Dashboard!$F$14,AA492)</x:f>
      </x:c>
      <x:c r="X493" s="32" t="e">
        <x:f>IF(AND(A493&lt;=Dashboard!$F$17,MOD(A493-1,12)=0),MIN(W493,$B$7),0)</x:f>
      </x:c>
      <x:c r="Y493" s="32" t="e">
        <x:f>IF(A493&lt;=Dashboard!$F$17,MAX(0,W493-X493)*Dashboard!$F$6,0)</x:f>
      </x:c>
      <x:c r="Z493" s="32" t="e">
        <x:f>IF(A493&lt;=Dashboard!$F$17,MIN(Dashboard!$F$10,MAX(0,W493-X493)+Y493),0)</x:f>
      </x:c>
      <x:c r="AA493" s="32" t="e">
        <x:f>IF(A493&lt;=Dashboard!$F$17,MAX(0,W493-X493-MAX(0,Z493-Y493)),0)</x:f>
      </x:c>
      <x:c r="AB493" s="32" t="e">
        <x:f>IF(A493=1,Y493,AB492+Y493)</x:f>
      </x:c>
      <x:c r="AC493" s="32"/>
      <x:c r="AD493" s="32" t="e">
        <x:f>IF(A493=1,MAX(0,Dashboard!$F$14-$B$8),AG492)</x:f>
      </x:c>
      <x:c r="AE493" s="32" t="n">
        <x:f>0</x:f>
        <x:v>0</x:v>
      </x:c>
      <x:c r="AF493" s="32" t="e">
        <x:f>IF(A493&lt;=Dashboard!$F$17,AD493*Dashboard!$F$6,0)</x:f>
      </x:c>
      <x:c r="AG493" s="32" t="e">
        <x:f>IF(A493&lt;=Dashboard!$F$17,MIN(Dashboard!$F$10,AD493+AF493),0)</x:f>
      </x:c>
      <x:c r="AH493" s="32" t="e">
        <x:f>IF(A493&lt;=Dashboard!$F$17,MAX(0,AD493-MAX(0,AG493-AF493)),0)</x:f>
      </x:c>
      <x:c r="AI493" s="32" t="e">
        <x:f>IF(A493=1,AF493,AI492+AF493)</x:f>
      </x:c>
      <x:c r="AJ493" s="33"/>
      <x:c r="AK493" s="33"/>
      <x:c r="AL493" s="33"/>
      <x:c r="AM493" s="33"/>
    </x:row>
    <x:row r="494">
      <x:c r="A494" s="33" t="n">
        <x:v>482</x:v>
      </x:c>
      <x:c r="B494" s="32" t="e">
        <x:f>IF(A494=1,Dashboard!$F$14,F493)</x:f>
      </x:c>
      <x:c r="C494" s="32" t="n">
        <x:f>0</x:f>
        <x:v>0</x:v>
      </x:c>
      <x:c r="D494" s="32" t="e">
        <x:f>IF(A494&lt;=Dashboard!$F$15,B494*Dashboard!$F$6,0)</x:f>
      </x:c>
      <x:c r="E494" s="32" t="e">
        <x:f>IF(A494&lt;=Dashboard!$F$15,MIN(Dashboard!$F$10,B494+D494),0)</x:f>
      </x:c>
      <x:c r="F494" s="32" t="e">
        <x:f>IF(A494&lt;=Dashboard!$F$15,MAX(0,B494-MAX(0,E494-D494)),0)</x:f>
      </x:c>
      <x:c r="G494" s="32" t="e">
        <x:f>IF(A494=1,D494,G493+D494)</x:f>
      </x:c>
      <x:c r="H494" s="32"/>
      <x:c r="I494" s="32" t="e">
        <x:f>IF(A494=1,Dashboard!$F$14,M493)</x:f>
      </x:c>
      <x:c r="J494" s="32" t="e">
        <x:f>IF(A494&lt;=Dashboard!$F$17,MIN(I494,$B$5),0)</x:f>
      </x:c>
      <x:c r="K494" s="32" t="e">
        <x:f>IF(A494&lt;=Dashboard!$F$17,MAX(0,I494-J494)*Dashboard!$F$6,0)</x:f>
      </x:c>
      <x:c r="L494" s="32" t="e">
        <x:f>IF(A494&lt;=Dashboard!$F$17,MIN(Dashboard!$F$10,MAX(0,I494-J494)+K494),0)</x:f>
      </x:c>
      <x:c r="M494" s="32" t="e">
        <x:f>IF(A494&lt;=Dashboard!$F$17,MAX(0,I494-J494-MAX(0,L494-K494)),0)</x:f>
      </x:c>
      <x:c r="N494" s="32" t="e">
        <x:f>IF(A494=1,K494,N493+K494)</x:f>
      </x:c>
      <x:c r="O494" s="32"/>
      <x:c r="P494" s="32" t="e">
        <x:f>IF(A494=1,Dashboard!$F$14,T493)</x:f>
      </x:c>
      <x:c r="Q494" s="32" t="e">
        <x:f>IF(A494&lt;=Dashboard!$F$17,MIN(P494,$B$6*52/12),0)</x:f>
      </x:c>
      <x:c r="R494" s="32" t="e">
        <x:f>IF(A494&lt;=Dashboard!$F$17,MAX(0,P494-Q494)*Dashboard!$F$6,0)</x:f>
      </x:c>
      <x:c r="S494" s="32" t="e">
        <x:f>IF(A494&lt;=Dashboard!$F$17,MIN(Dashboard!$F$10,MAX(0,P494-Q494)+R494),0)</x:f>
      </x:c>
      <x:c r="T494" s="32" t="e">
        <x:f>IF(A494&lt;=Dashboard!$F$17,MAX(0,P494-Q494-MAX(0,S494-R494)),0)</x:f>
      </x:c>
      <x:c r="U494" s="32" t="e">
        <x:f>IF(A494=1,R494,U493+R494)</x:f>
      </x:c>
      <x:c r="V494" s="32"/>
      <x:c r="W494" s="32" t="e">
        <x:f>IF(A494=1,Dashboard!$F$14,AA493)</x:f>
      </x:c>
      <x:c r="X494" s="32" t="e">
        <x:f>IF(AND(A494&lt;=Dashboard!$F$17,MOD(A494-1,12)=0),MIN(W494,$B$7),0)</x:f>
      </x:c>
      <x:c r="Y494" s="32" t="e">
        <x:f>IF(A494&lt;=Dashboard!$F$17,MAX(0,W494-X494)*Dashboard!$F$6,0)</x:f>
      </x:c>
      <x:c r="Z494" s="32" t="e">
        <x:f>IF(A494&lt;=Dashboard!$F$17,MIN(Dashboard!$F$10,MAX(0,W494-X494)+Y494),0)</x:f>
      </x:c>
      <x:c r="AA494" s="32" t="e">
        <x:f>IF(A494&lt;=Dashboard!$F$17,MAX(0,W494-X494-MAX(0,Z494-Y494)),0)</x:f>
      </x:c>
      <x:c r="AB494" s="32" t="e">
        <x:f>IF(A494=1,Y494,AB493+Y494)</x:f>
      </x:c>
      <x:c r="AC494" s="32"/>
      <x:c r="AD494" s="32" t="e">
        <x:f>IF(A494=1,MAX(0,Dashboard!$F$14-$B$8),AG493)</x:f>
      </x:c>
      <x:c r="AE494" s="32" t="n">
        <x:f>0</x:f>
        <x:v>0</x:v>
      </x:c>
      <x:c r="AF494" s="32" t="e">
        <x:f>IF(A494&lt;=Dashboard!$F$17,AD494*Dashboard!$F$6,0)</x:f>
      </x:c>
      <x:c r="AG494" s="32" t="e">
        <x:f>IF(A494&lt;=Dashboard!$F$17,MIN(Dashboard!$F$10,AD494+AF494),0)</x:f>
      </x:c>
      <x:c r="AH494" s="32" t="e">
        <x:f>IF(A494&lt;=Dashboard!$F$17,MAX(0,AD494-MAX(0,AG494-AF494)),0)</x:f>
      </x:c>
      <x:c r="AI494" s="32" t="e">
        <x:f>IF(A494=1,AF494,AI493+AF494)</x:f>
      </x:c>
      <x:c r="AJ494" s="33"/>
      <x:c r="AK494" s="33"/>
      <x:c r="AL494" s="33"/>
      <x:c r="AM494" s="33"/>
    </x:row>
    <x:row r="495">
      <x:c r="A495" s="33" t="n">
        <x:v>483</x:v>
      </x:c>
      <x:c r="B495" s="32" t="e">
        <x:f>IF(A495=1,Dashboard!$F$14,F494)</x:f>
      </x:c>
      <x:c r="C495" s="32" t="n">
        <x:f>0</x:f>
        <x:v>0</x:v>
      </x:c>
      <x:c r="D495" s="32" t="e">
        <x:f>IF(A495&lt;=Dashboard!$F$15,B495*Dashboard!$F$6,0)</x:f>
      </x:c>
      <x:c r="E495" s="32" t="e">
        <x:f>IF(A495&lt;=Dashboard!$F$15,MIN(Dashboard!$F$10,B495+D495),0)</x:f>
      </x:c>
      <x:c r="F495" s="32" t="e">
        <x:f>IF(A495&lt;=Dashboard!$F$15,MAX(0,B495-MAX(0,E495-D495)),0)</x:f>
      </x:c>
      <x:c r="G495" s="32" t="e">
        <x:f>IF(A495=1,D495,G494+D495)</x:f>
      </x:c>
      <x:c r="H495" s="32"/>
      <x:c r="I495" s="32" t="e">
        <x:f>IF(A495=1,Dashboard!$F$14,M494)</x:f>
      </x:c>
      <x:c r="J495" s="32" t="e">
        <x:f>IF(A495&lt;=Dashboard!$F$17,MIN(I495,$B$5),0)</x:f>
      </x:c>
      <x:c r="K495" s="32" t="e">
        <x:f>IF(A495&lt;=Dashboard!$F$17,MAX(0,I495-J495)*Dashboard!$F$6,0)</x:f>
      </x:c>
      <x:c r="L495" s="32" t="e">
        <x:f>IF(A495&lt;=Dashboard!$F$17,MIN(Dashboard!$F$10,MAX(0,I495-J495)+K495),0)</x:f>
      </x:c>
      <x:c r="M495" s="32" t="e">
        <x:f>IF(A495&lt;=Dashboard!$F$17,MAX(0,I495-J495-MAX(0,L495-K495)),0)</x:f>
      </x:c>
      <x:c r="N495" s="32" t="e">
        <x:f>IF(A495=1,K495,N494+K495)</x:f>
      </x:c>
      <x:c r="O495" s="32"/>
      <x:c r="P495" s="32" t="e">
        <x:f>IF(A495=1,Dashboard!$F$14,T494)</x:f>
      </x:c>
      <x:c r="Q495" s="32" t="e">
        <x:f>IF(A495&lt;=Dashboard!$F$17,MIN(P495,$B$6*52/12),0)</x:f>
      </x:c>
      <x:c r="R495" s="32" t="e">
        <x:f>IF(A495&lt;=Dashboard!$F$17,MAX(0,P495-Q495)*Dashboard!$F$6,0)</x:f>
      </x:c>
      <x:c r="S495" s="32" t="e">
        <x:f>IF(A495&lt;=Dashboard!$F$17,MIN(Dashboard!$F$10,MAX(0,P495-Q495)+R495),0)</x:f>
      </x:c>
      <x:c r="T495" s="32" t="e">
        <x:f>IF(A495&lt;=Dashboard!$F$17,MAX(0,P495-Q495-MAX(0,S495-R495)),0)</x:f>
      </x:c>
      <x:c r="U495" s="32" t="e">
        <x:f>IF(A495=1,R495,U494+R495)</x:f>
      </x:c>
      <x:c r="V495" s="32"/>
      <x:c r="W495" s="32" t="e">
        <x:f>IF(A495=1,Dashboard!$F$14,AA494)</x:f>
      </x:c>
      <x:c r="X495" s="32" t="e">
        <x:f>IF(AND(A495&lt;=Dashboard!$F$17,MOD(A495-1,12)=0),MIN(W495,$B$7),0)</x:f>
      </x:c>
      <x:c r="Y495" s="32" t="e">
        <x:f>IF(A495&lt;=Dashboard!$F$17,MAX(0,W495-X495)*Dashboard!$F$6,0)</x:f>
      </x:c>
      <x:c r="Z495" s="32" t="e">
        <x:f>IF(A495&lt;=Dashboard!$F$17,MIN(Dashboard!$F$10,MAX(0,W495-X495)+Y495),0)</x:f>
      </x:c>
      <x:c r="AA495" s="32" t="e">
        <x:f>IF(A495&lt;=Dashboard!$F$17,MAX(0,W495-X495-MAX(0,Z495-Y495)),0)</x:f>
      </x:c>
      <x:c r="AB495" s="32" t="e">
        <x:f>IF(A495=1,Y495,AB494+Y495)</x:f>
      </x:c>
      <x:c r="AC495" s="32"/>
      <x:c r="AD495" s="32" t="e">
        <x:f>IF(A495=1,MAX(0,Dashboard!$F$14-$B$8),AG494)</x:f>
      </x:c>
      <x:c r="AE495" s="32" t="n">
        <x:f>0</x:f>
        <x:v>0</x:v>
      </x:c>
      <x:c r="AF495" s="32" t="e">
        <x:f>IF(A495&lt;=Dashboard!$F$17,AD495*Dashboard!$F$6,0)</x:f>
      </x:c>
      <x:c r="AG495" s="32" t="e">
        <x:f>IF(A495&lt;=Dashboard!$F$17,MIN(Dashboard!$F$10,AD495+AF495),0)</x:f>
      </x:c>
      <x:c r="AH495" s="32" t="e">
        <x:f>IF(A495&lt;=Dashboard!$F$17,MAX(0,AD495-MAX(0,AG495-AF495)),0)</x:f>
      </x:c>
      <x:c r="AI495" s="32" t="e">
        <x:f>IF(A495=1,AF495,AI494+AF495)</x:f>
      </x:c>
      <x:c r="AJ495" s="33"/>
      <x:c r="AK495" s="33"/>
      <x:c r="AL495" s="33"/>
      <x:c r="AM495" s="33"/>
    </x:row>
    <x:row r="496">
      <x:c r="A496" s="33" t="n">
        <x:v>484</x:v>
      </x:c>
      <x:c r="B496" s="32" t="e">
        <x:f>IF(A496=1,Dashboard!$F$14,F495)</x:f>
      </x:c>
      <x:c r="C496" s="32" t="n">
        <x:f>0</x:f>
        <x:v>0</x:v>
      </x:c>
      <x:c r="D496" s="32" t="e">
        <x:f>IF(A496&lt;=Dashboard!$F$15,B496*Dashboard!$F$6,0)</x:f>
      </x:c>
      <x:c r="E496" s="32" t="e">
        <x:f>IF(A496&lt;=Dashboard!$F$15,MIN(Dashboard!$F$10,B496+D496),0)</x:f>
      </x:c>
      <x:c r="F496" s="32" t="e">
        <x:f>IF(A496&lt;=Dashboard!$F$15,MAX(0,B496-MAX(0,E496-D496)),0)</x:f>
      </x:c>
      <x:c r="G496" s="32" t="e">
        <x:f>IF(A496=1,D496,G495+D496)</x:f>
      </x:c>
      <x:c r="H496" s="32"/>
      <x:c r="I496" s="32" t="e">
        <x:f>IF(A496=1,Dashboard!$F$14,M495)</x:f>
      </x:c>
      <x:c r="J496" s="32" t="e">
        <x:f>IF(A496&lt;=Dashboard!$F$17,MIN(I496,$B$5),0)</x:f>
      </x:c>
      <x:c r="K496" s="32" t="e">
        <x:f>IF(A496&lt;=Dashboard!$F$17,MAX(0,I496-J496)*Dashboard!$F$6,0)</x:f>
      </x:c>
      <x:c r="L496" s="32" t="e">
        <x:f>IF(A496&lt;=Dashboard!$F$17,MIN(Dashboard!$F$10,MAX(0,I496-J496)+K496),0)</x:f>
      </x:c>
      <x:c r="M496" s="32" t="e">
        <x:f>IF(A496&lt;=Dashboard!$F$17,MAX(0,I496-J496-MAX(0,L496-K496)),0)</x:f>
      </x:c>
      <x:c r="N496" s="32" t="e">
        <x:f>IF(A496=1,K496,N495+K496)</x:f>
      </x:c>
      <x:c r="O496" s="32"/>
      <x:c r="P496" s="32" t="e">
        <x:f>IF(A496=1,Dashboard!$F$14,T495)</x:f>
      </x:c>
      <x:c r="Q496" s="32" t="e">
        <x:f>IF(A496&lt;=Dashboard!$F$17,MIN(P496,$B$6*52/12),0)</x:f>
      </x:c>
      <x:c r="R496" s="32" t="e">
        <x:f>IF(A496&lt;=Dashboard!$F$17,MAX(0,P496-Q496)*Dashboard!$F$6,0)</x:f>
      </x:c>
      <x:c r="S496" s="32" t="e">
        <x:f>IF(A496&lt;=Dashboard!$F$17,MIN(Dashboard!$F$10,MAX(0,P496-Q496)+R496),0)</x:f>
      </x:c>
      <x:c r="T496" s="32" t="e">
        <x:f>IF(A496&lt;=Dashboard!$F$17,MAX(0,P496-Q496-MAX(0,S496-R496)),0)</x:f>
      </x:c>
      <x:c r="U496" s="32" t="e">
        <x:f>IF(A496=1,R496,U495+R496)</x:f>
      </x:c>
      <x:c r="V496" s="32"/>
      <x:c r="W496" s="32" t="e">
        <x:f>IF(A496=1,Dashboard!$F$14,AA495)</x:f>
      </x:c>
      <x:c r="X496" s="32" t="e">
        <x:f>IF(AND(A496&lt;=Dashboard!$F$17,MOD(A496-1,12)=0),MIN(W496,$B$7),0)</x:f>
      </x:c>
      <x:c r="Y496" s="32" t="e">
        <x:f>IF(A496&lt;=Dashboard!$F$17,MAX(0,W496-X496)*Dashboard!$F$6,0)</x:f>
      </x:c>
      <x:c r="Z496" s="32" t="e">
        <x:f>IF(A496&lt;=Dashboard!$F$17,MIN(Dashboard!$F$10,MAX(0,W496-X496)+Y496),0)</x:f>
      </x:c>
      <x:c r="AA496" s="32" t="e">
        <x:f>IF(A496&lt;=Dashboard!$F$17,MAX(0,W496-X496-MAX(0,Z496-Y496)),0)</x:f>
      </x:c>
      <x:c r="AB496" s="32" t="e">
        <x:f>IF(A496=1,Y496,AB495+Y496)</x:f>
      </x:c>
      <x:c r="AC496" s="32"/>
      <x:c r="AD496" s="32" t="e">
        <x:f>IF(A496=1,MAX(0,Dashboard!$F$14-$B$8),AG495)</x:f>
      </x:c>
      <x:c r="AE496" s="32" t="n">
        <x:f>0</x:f>
        <x:v>0</x:v>
      </x:c>
      <x:c r="AF496" s="32" t="e">
        <x:f>IF(A496&lt;=Dashboard!$F$17,AD496*Dashboard!$F$6,0)</x:f>
      </x:c>
      <x:c r="AG496" s="32" t="e">
        <x:f>IF(A496&lt;=Dashboard!$F$17,MIN(Dashboard!$F$10,AD496+AF496),0)</x:f>
      </x:c>
      <x:c r="AH496" s="32" t="e">
        <x:f>IF(A496&lt;=Dashboard!$F$17,MAX(0,AD496-MAX(0,AG496-AF496)),0)</x:f>
      </x:c>
      <x:c r="AI496" s="32" t="e">
        <x:f>IF(A496=1,AF496,AI495+AF496)</x:f>
      </x:c>
      <x:c r="AJ496" s="33"/>
      <x:c r="AK496" s="33"/>
      <x:c r="AL496" s="33"/>
      <x:c r="AM496" s="33"/>
    </x:row>
    <x:row r="497">
      <x:c r="A497" s="33" t="n">
        <x:v>485</x:v>
      </x:c>
      <x:c r="B497" s="32" t="e">
        <x:f>IF(A497=1,Dashboard!$F$14,F496)</x:f>
      </x:c>
      <x:c r="C497" s="32" t="n">
        <x:f>0</x:f>
        <x:v>0</x:v>
      </x:c>
      <x:c r="D497" s="32" t="e">
        <x:f>IF(A497&lt;=Dashboard!$F$15,B497*Dashboard!$F$6,0)</x:f>
      </x:c>
      <x:c r="E497" s="32" t="e">
        <x:f>IF(A497&lt;=Dashboard!$F$15,MIN(Dashboard!$F$10,B497+D497),0)</x:f>
      </x:c>
      <x:c r="F497" s="32" t="e">
        <x:f>IF(A497&lt;=Dashboard!$F$15,MAX(0,B497-MAX(0,E497-D497)),0)</x:f>
      </x:c>
      <x:c r="G497" s="32" t="e">
        <x:f>IF(A497=1,D497,G496+D497)</x:f>
      </x:c>
      <x:c r="H497" s="32"/>
      <x:c r="I497" s="32" t="e">
        <x:f>IF(A497=1,Dashboard!$F$14,M496)</x:f>
      </x:c>
      <x:c r="J497" s="32" t="e">
        <x:f>IF(A497&lt;=Dashboard!$F$17,MIN(I497,$B$5),0)</x:f>
      </x:c>
      <x:c r="K497" s="32" t="e">
        <x:f>IF(A497&lt;=Dashboard!$F$17,MAX(0,I497-J497)*Dashboard!$F$6,0)</x:f>
      </x:c>
      <x:c r="L497" s="32" t="e">
        <x:f>IF(A497&lt;=Dashboard!$F$17,MIN(Dashboard!$F$10,MAX(0,I497-J497)+K497),0)</x:f>
      </x:c>
      <x:c r="M497" s="32" t="e">
        <x:f>IF(A497&lt;=Dashboard!$F$17,MAX(0,I497-J497-MAX(0,L497-K497)),0)</x:f>
      </x:c>
      <x:c r="N497" s="32" t="e">
        <x:f>IF(A497=1,K497,N496+K497)</x:f>
      </x:c>
      <x:c r="O497" s="32"/>
      <x:c r="P497" s="32" t="e">
        <x:f>IF(A497=1,Dashboard!$F$14,T496)</x:f>
      </x:c>
      <x:c r="Q497" s="32" t="e">
        <x:f>IF(A497&lt;=Dashboard!$F$17,MIN(P497,$B$6*52/12),0)</x:f>
      </x:c>
      <x:c r="R497" s="32" t="e">
        <x:f>IF(A497&lt;=Dashboard!$F$17,MAX(0,P497-Q497)*Dashboard!$F$6,0)</x:f>
      </x:c>
      <x:c r="S497" s="32" t="e">
        <x:f>IF(A497&lt;=Dashboard!$F$17,MIN(Dashboard!$F$10,MAX(0,P497-Q497)+R497),0)</x:f>
      </x:c>
      <x:c r="T497" s="32" t="e">
        <x:f>IF(A497&lt;=Dashboard!$F$17,MAX(0,P497-Q497-MAX(0,S497-R497)),0)</x:f>
      </x:c>
      <x:c r="U497" s="32" t="e">
        <x:f>IF(A497=1,R497,U496+R497)</x:f>
      </x:c>
      <x:c r="V497" s="32"/>
      <x:c r="W497" s="32" t="e">
        <x:f>IF(A497=1,Dashboard!$F$14,AA496)</x:f>
      </x:c>
      <x:c r="X497" s="32" t="e">
        <x:f>IF(AND(A497&lt;=Dashboard!$F$17,MOD(A497-1,12)=0),MIN(W497,$B$7),0)</x:f>
      </x:c>
      <x:c r="Y497" s="32" t="e">
        <x:f>IF(A497&lt;=Dashboard!$F$17,MAX(0,W497-X497)*Dashboard!$F$6,0)</x:f>
      </x:c>
      <x:c r="Z497" s="32" t="e">
        <x:f>IF(A497&lt;=Dashboard!$F$17,MIN(Dashboard!$F$10,MAX(0,W497-X497)+Y497),0)</x:f>
      </x:c>
      <x:c r="AA497" s="32" t="e">
        <x:f>IF(A497&lt;=Dashboard!$F$17,MAX(0,W497-X497-MAX(0,Z497-Y497)),0)</x:f>
      </x:c>
      <x:c r="AB497" s="32" t="e">
        <x:f>IF(A497=1,Y497,AB496+Y497)</x:f>
      </x:c>
      <x:c r="AC497" s="32"/>
      <x:c r="AD497" s="32" t="e">
        <x:f>IF(A497=1,MAX(0,Dashboard!$F$14-$B$8),AG496)</x:f>
      </x:c>
      <x:c r="AE497" s="32" t="n">
        <x:f>0</x:f>
        <x:v>0</x:v>
      </x:c>
      <x:c r="AF497" s="32" t="e">
        <x:f>IF(A497&lt;=Dashboard!$F$17,AD497*Dashboard!$F$6,0)</x:f>
      </x:c>
      <x:c r="AG497" s="32" t="e">
        <x:f>IF(A497&lt;=Dashboard!$F$17,MIN(Dashboard!$F$10,AD497+AF497),0)</x:f>
      </x:c>
      <x:c r="AH497" s="32" t="e">
        <x:f>IF(A497&lt;=Dashboard!$F$17,MAX(0,AD497-MAX(0,AG497-AF497)),0)</x:f>
      </x:c>
      <x:c r="AI497" s="32" t="e">
        <x:f>IF(A497=1,AF497,AI496+AF497)</x:f>
      </x:c>
      <x:c r="AJ497" s="33"/>
      <x:c r="AK497" s="33"/>
      <x:c r="AL497" s="33"/>
      <x:c r="AM497" s="33"/>
    </x:row>
    <x:row r="498">
      <x:c r="A498" s="33" t="n">
        <x:v>486</x:v>
      </x:c>
      <x:c r="B498" s="32" t="e">
        <x:f>IF(A498=1,Dashboard!$F$14,F497)</x:f>
      </x:c>
      <x:c r="C498" s="32" t="n">
        <x:f>0</x:f>
        <x:v>0</x:v>
      </x:c>
      <x:c r="D498" s="32" t="e">
        <x:f>IF(A498&lt;=Dashboard!$F$15,B498*Dashboard!$F$6,0)</x:f>
      </x:c>
      <x:c r="E498" s="32" t="e">
        <x:f>IF(A498&lt;=Dashboard!$F$15,MIN(Dashboard!$F$10,B498+D498),0)</x:f>
      </x:c>
      <x:c r="F498" s="32" t="e">
        <x:f>IF(A498&lt;=Dashboard!$F$15,MAX(0,B498-MAX(0,E498-D498)),0)</x:f>
      </x:c>
      <x:c r="G498" s="32" t="e">
        <x:f>IF(A498=1,D498,G497+D498)</x:f>
      </x:c>
      <x:c r="H498" s="32"/>
      <x:c r="I498" s="32" t="e">
        <x:f>IF(A498=1,Dashboard!$F$14,M497)</x:f>
      </x:c>
      <x:c r="J498" s="32" t="e">
        <x:f>IF(A498&lt;=Dashboard!$F$17,MIN(I498,$B$5),0)</x:f>
      </x:c>
      <x:c r="K498" s="32" t="e">
        <x:f>IF(A498&lt;=Dashboard!$F$17,MAX(0,I498-J498)*Dashboard!$F$6,0)</x:f>
      </x:c>
      <x:c r="L498" s="32" t="e">
        <x:f>IF(A498&lt;=Dashboard!$F$17,MIN(Dashboard!$F$10,MAX(0,I498-J498)+K498),0)</x:f>
      </x:c>
      <x:c r="M498" s="32" t="e">
        <x:f>IF(A498&lt;=Dashboard!$F$17,MAX(0,I498-J498-MAX(0,L498-K498)),0)</x:f>
      </x:c>
      <x:c r="N498" s="32" t="e">
        <x:f>IF(A498=1,K498,N497+K498)</x:f>
      </x:c>
      <x:c r="O498" s="32"/>
      <x:c r="P498" s="32" t="e">
        <x:f>IF(A498=1,Dashboard!$F$14,T497)</x:f>
      </x:c>
      <x:c r="Q498" s="32" t="e">
        <x:f>IF(A498&lt;=Dashboard!$F$17,MIN(P498,$B$6*52/12),0)</x:f>
      </x:c>
      <x:c r="R498" s="32" t="e">
        <x:f>IF(A498&lt;=Dashboard!$F$17,MAX(0,P498-Q498)*Dashboard!$F$6,0)</x:f>
      </x:c>
      <x:c r="S498" s="32" t="e">
        <x:f>IF(A498&lt;=Dashboard!$F$17,MIN(Dashboard!$F$10,MAX(0,P498-Q498)+R498),0)</x:f>
      </x:c>
      <x:c r="T498" s="32" t="e">
        <x:f>IF(A498&lt;=Dashboard!$F$17,MAX(0,P498-Q498-MAX(0,S498-R498)),0)</x:f>
      </x:c>
      <x:c r="U498" s="32" t="e">
        <x:f>IF(A498=1,R498,U497+R498)</x:f>
      </x:c>
      <x:c r="V498" s="32"/>
      <x:c r="W498" s="32" t="e">
        <x:f>IF(A498=1,Dashboard!$F$14,AA497)</x:f>
      </x:c>
      <x:c r="X498" s="32" t="e">
        <x:f>IF(AND(A498&lt;=Dashboard!$F$17,MOD(A498-1,12)=0),MIN(W498,$B$7),0)</x:f>
      </x:c>
      <x:c r="Y498" s="32" t="e">
        <x:f>IF(A498&lt;=Dashboard!$F$17,MAX(0,W498-X498)*Dashboard!$F$6,0)</x:f>
      </x:c>
      <x:c r="Z498" s="32" t="e">
        <x:f>IF(A498&lt;=Dashboard!$F$17,MIN(Dashboard!$F$10,MAX(0,W498-X498)+Y498),0)</x:f>
      </x:c>
      <x:c r="AA498" s="32" t="e">
        <x:f>IF(A498&lt;=Dashboard!$F$17,MAX(0,W498-X498-MAX(0,Z498-Y498)),0)</x:f>
      </x:c>
      <x:c r="AB498" s="32" t="e">
        <x:f>IF(A498=1,Y498,AB497+Y498)</x:f>
      </x:c>
      <x:c r="AC498" s="32"/>
      <x:c r="AD498" s="32" t="e">
        <x:f>IF(A498=1,MAX(0,Dashboard!$F$14-$B$8),AG497)</x:f>
      </x:c>
      <x:c r="AE498" s="32" t="n">
        <x:f>0</x:f>
        <x:v>0</x:v>
      </x:c>
      <x:c r="AF498" s="32" t="e">
        <x:f>IF(A498&lt;=Dashboard!$F$17,AD498*Dashboard!$F$6,0)</x:f>
      </x:c>
      <x:c r="AG498" s="32" t="e">
        <x:f>IF(A498&lt;=Dashboard!$F$17,MIN(Dashboard!$F$10,AD498+AF498),0)</x:f>
      </x:c>
      <x:c r="AH498" s="32" t="e">
        <x:f>IF(A498&lt;=Dashboard!$F$17,MAX(0,AD498-MAX(0,AG498-AF498)),0)</x:f>
      </x:c>
      <x:c r="AI498" s="32" t="e">
        <x:f>IF(A498=1,AF498,AI497+AF498)</x:f>
      </x:c>
      <x:c r="AJ498" s="33"/>
      <x:c r="AK498" s="33"/>
      <x:c r="AL498" s="33"/>
      <x:c r="AM498" s="33"/>
    </x:row>
    <x:row r="499">
      <x:c r="A499" s="33" t="n">
        <x:v>487</x:v>
      </x:c>
      <x:c r="B499" s="32" t="e">
        <x:f>IF(A499=1,Dashboard!$F$14,F498)</x:f>
      </x:c>
      <x:c r="C499" s="32" t="n">
        <x:f>0</x:f>
        <x:v>0</x:v>
      </x:c>
      <x:c r="D499" s="32" t="e">
        <x:f>IF(A499&lt;=Dashboard!$F$15,B499*Dashboard!$F$6,0)</x:f>
      </x:c>
      <x:c r="E499" s="32" t="e">
        <x:f>IF(A499&lt;=Dashboard!$F$15,MIN(Dashboard!$F$10,B499+D499),0)</x:f>
      </x:c>
      <x:c r="F499" s="32" t="e">
        <x:f>IF(A499&lt;=Dashboard!$F$15,MAX(0,B499-MAX(0,E499-D499)),0)</x:f>
      </x:c>
      <x:c r="G499" s="32" t="e">
        <x:f>IF(A499=1,D499,G498+D499)</x:f>
      </x:c>
      <x:c r="H499" s="32"/>
      <x:c r="I499" s="32" t="e">
        <x:f>IF(A499=1,Dashboard!$F$14,M498)</x:f>
      </x:c>
      <x:c r="J499" s="32" t="e">
        <x:f>IF(A499&lt;=Dashboard!$F$17,MIN(I499,$B$5),0)</x:f>
      </x:c>
      <x:c r="K499" s="32" t="e">
        <x:f>IF(A499&lt;=Dashboard!$F$17,MAX(0,I499-J499)*Dashboard!$F$6,0)</x:f>
      </x:c>
      <x:c r="L499" s="32" t="e">
        <x:f>IF(A499&lt;=Dashboard!$F$17,MIN(Dashboard!$F$10,MAX(0,I499-J499)+K499),0)</x:f>
      </x:c>
      <x:c r="M499" s="32" t="e">
        <x:f>IF(A499&lt;=Dashboard!$F$17,MAX(0,I499-J499-MAX(0,L499-K499)),0)</x:f>
      </x:c>
      <x:c r="N499" s="32" t="e">
        <x:f>IF(A499=1,K499,N498+K499)</x:f>
      </x:c>
      <x:c r="O499" s="32"/>
      <x:c r="P499" s="32" t="e">
        <x:f>IF(A499=1,Dashboard!$F$14,T498)</x:f>
      </x:c>
      <x:c r="Q499" s="32" t="e">
        <x:f>IF(A499&lt;=Dashboard!$F$17,MIN(P499,$B$6*52/12),0)</x:f>
      </x:c>
      <x:c r="R499" s="32" t="e">
        <x:f>IF(A499&lt;=Dashboard!$F$17,MAX(0,P499-Q499)*Dashboard!$F$6,0)</x:f>
      </x:c>
      <x:c r="S499" s="32" t="e">
        <x:f>IF(A499&lt;=Dashboard!$F$17,MIN(Dashboard!$F$10,MAX(0,P499-Q499)+R499),0)</x:f>
      </x:c>
      <x:c r="T499" s="32" t="e">
        <x:f>IF(A499&lt;=Dashboard!$F$17,MAX(0,P499-Q499-MAX(0,S499-R499)),0)</x:f>
      </x:c>
      <x:c r="U499" s="32" t="e">
        <x:f>IF(A499=1,R499,U498+R499)</x:f>
      </x:c>
      <x:c r="V499" s="32"/>
      <x:c r="W499" s="32" t="e">
        <x:f>IF(A499=1,Dashboard!$F$14,AA498)</x:f>
      </x:c>
      <x:c r="X499" s="32" t="e">
        <x:f>IF(AND(A499&lt;=Dashboard!$F$17,MOD(A499-1,12)=0),MIN(W499,$B$7),0)</x:f>
      </x:c>
      <x:c r="Y499" s="32" t="e">
        <x:f>IF(A499&lt;=Dashboard!$F$17,MAX(0,W499-X499)*Dashboard!$F$6,0)</x:f>
      </x:c>
      <x:c r="Z499" s="32" t="e">
        <x:f>IF(A499&lt;=Dashboard!$F$17,MIN(Dashboard!$F$10,MAX(0,W499-X499)+Y499),0)</x:f>
      </x:c>
      <x:c r="AA499" s="32" t="e">
        <x:f>IF(A499&lt;=Dashboard!$F$17,MAX(0,W499-X499-MAX(0,Z499-Y499)),0)</x:f>
      </x:c>
      <x:c r="AB499" s="32" t="e">
        <x:f>IF(A499=1,Y499,AB498+Y499)</x:f>
      </x:c>
      <x:c r="AC499" s="32"/>
      <x:c r="AD499" s="32" t="e">
        <x:f>IF(A499=1,MAX(0,Dashboard!$F$14-$B$8),AG498)</x:f>
      </x:c>
      <x:c r="AE499" s="32" t="n">
        <x:f>0</x:f>
        <x:v>0</x:v>
      </x:c>
      <x:c r="AF499" s="32" t="e">
        <x:f>IF(A499&lt;=Dashboard!$F$17,AD499*Dashboard!$F$6,0)</x:f>
      </x:c>
      <x:c r="AG499" s="32" t="e">
        <x:f>IF(A499&lt;=Dashboard!$F$17,MIN(Dashboard!$F$10,AD499+AF499),0)</x:f>
      </x:c>
      <x:c r="AH499" s="32" t="e">
        <x:f>IF(A499&lt;=Dashboard!$F$17,MAX(0,AD499-MAX(0,AG499-AF499)),0)</x:f>
      </x:c>
      <x:c r="AI499" s="32" t="e">
        <x:f>IF(A499=1,AF499,AI498+AF499)</x:f>
      </x:c>
      <x:c r="AJ499" s="33"/>
      <x:c r="AK499" s="33"/>
      <x:c r="AL499" s="33"/>
      <x:c r="AM499" s="33"/>
    </x:row>
    <x:row r="500">
      <x:c r="A500" s="33" t="n">
        <x:v>488</x:v>
      </x:c>
      <x:c r="B500" s="32" t="e">
        <x:f>IF(A500=1,Dashboard!$F$14,F499)</x:f>
      </x:c>
      <x:c r="C500" s="32" t="n">
        <x:f>0</x:f>
        <x:v>0</x:v>
      </x:c>
      <x:c r="D500" s="32" t="e">
        <x:f>IF(A500&lt;=Dashboard!$F$15,B500*Dashboard!$F$6,0)</x:f>
      </x:c>
      <x:c r="E500" s="32" t="e">
        <x:f>IF(A500&lt;=Dashboard!$F$15,MIN(Dashboard!$F$10,B500+D500),0)</x:f>
      </x:c>
      <x:c r="F500" s="32" t="e">
        <x:f>IF(A500&lt;=Dashboard!$F$15,MAX(0,B500-MAX(0,E500-D500)),0)</x:f>
      </x:c>
      <x:c r="G500" s="32" t="e">
        <x:f>IF(A500=1,D500,G499+D500)</x:f>
      </x:c>
      <x:c r="H500" s="32"/>
      <x:c r="I500" s="32" t="e">
        <x:f>IF(A500=1,Dashboard!$F$14,M499)</x:f>
      </x:c>
      <x:c r="J500" s="32" t="e">
        <x:f>IF(A500&lt;=Dashboard!$F$17,MIN(I500,$B$5),0)</x:f>
      </x:c>
      <x:c r="K500" s="32" t="e">
        <x:f>IF(A500&lt;=Dashboard!$F$17,MAX(0,I500-J500)*Dashboard!$F$6,0)</x:f>
      </x:c>
      <x:c r="L500" s="32" t="e">
        <x:f>IF(A500&lt;=Dashboard!$F$17,MIN(Dashboard!$F$10,MAX(0,I500-J500)+K500),0)</x:f>
      </x:c>
      <x:c r="M500" s="32" t="e">
        <x:f>IF(A500&lt;=Dashboard!$F$17,MAX(0,I500-J500-MAX(0,L500-K500)),0)</x:f>
      </x:c>
      <x:c r="N500" s="32" t="e">
        <x:f>IF(A500=1,K500,N499+K500)</x:f>
      </x:c>
      <x:c r="O500" s="32"/>
      <x:c r="P500" s="32" t="e">
        <x:f>IF(A500=1,Dashboard!$F$14,T499)</x:f>
      </x:c>
      <x:c r="Q500" s="32" t="e">
        <x:f>IF(A500&lt;=Dashboard!$F$17,MIN(P500,$B$6*52/12),0)</x:f>
      </x:c>
      <x:c r="R500" s="32" t="e">
        <x:f>IF(A500&lt;=Dashboard!$F$17,MAX(0,P500-Q500)*Dashboard!$F$6,0)</x:f>
      </x:c>
      <x:c r="S500" s="32" t="e">
        <x:f>IF(A500&lt;=Dashboard!$F$17,MIN(Dashboard!$F$10,MAX(0,P500-Q500)+R500),0)</x:f>
      </x:c>
      <x:c r="T500" s="32" t="e">
        <x:f>IF(A500&lt;=Dashboard!$F$17,MAX(0,P500-Q500-MAX(0,S500-R500)),0)</x:f>
      </x:c>
      <x:c r="U500" s="32" t="e">
        <x:f>IF(A500=1,R500,U499+R500)</x:f>
      </x:c>
      <x:c r="V500" s="32"/>
      <x:c r="W500" s="32" t="e">
        <x:f>IF(A500=1,Dashboard!$F$14,AA499)</x:f>
      </x:c>
      <x:c r="X500" s="32" t="e">
        <x:f>IF(AND(A500&lt;=Dashboard!$F$17,MOD(A500-1,12)=0),MIN(W500,$B$7),0)</x:f>
      </x:c>
      <x:c r="Y500" s="32" t="e">
        <x:f>IF(A500&lt;=Dashboard!$F$17,MAX(0,W500-X500)*Dashboard!$F$6,0)</x:f>
      </x:c>
      <x:c r="Z500" s="32" t="e">
        <x:f>IF(A500&lt;=Dashboard!$F$17,MIN(Dashboard!$F$10,MAX(0,W500-X500)+Y500),0)</x:f>
      </x:c>
      <x:c r="AA500" s="32" t="e">
        <x:f>IF(A500&lt;=Dashboard!$F$17,MAX(0,W500-X500-MAX(0,Z500-Y500)),0)</x:f>
      </x:c>
      <x:c r="AB500" s="32" t="e">
        <x:f>IF(A500=1,Y500,AB499+Y500)</x:f>
      </x:c>
      <x:c r="AC500" s="32"/>
      <x:c r="AD500" s="32" t="e">
        <x:f>IF(A500=1,MAX(0,Dashboard!$F$14-$B$8),AG499)</x:f>
      </x:c>
      <x:c r="AE500" s="32" t="n">
        <x:f>0</x:f>
        <x:v>0</x:v>
      </x:c>
      <x:c r="AF500" s="32" t="e">
        <x:f>IF(A500&lt;=Dashboard!$F$17,AD500*Dashboard!$F$6,0)</x:f>
      </x:c>
      <x:c r="AG500" s="32" t="e">
        <x:f>IF(A500&lt;=Dashboard!$F$17,MIN(Dashboard!$F$10,AD500+AF500),0)</x:f>
      </x:c>
      <x:c r="AH500" s="32" t="e">
        <x:f>IF(A500&lt;=Dashboard!$F$17,MAX(0,AD500-MAX(0,AG500-AF500)),0)</x:f>
      </x:c>
      <x:c r="AI500" s="32" t="e">
        <x:f>IF(A500=1,AF500,AI499+AF500)</x:f>
      </x:c>
      <x:c r="AJ500" s="33"/>
      <x:c r="AK500" s="33"/>
      <x:c r="AL500" s="33"/>
      <x:c r="AM500" s="33"/>
    </x:row>
    <x:row r="501">
      <x:c r="A501" s="33" t="n">
        <x:v>489</x:v>
      </x:c>
      <x:c r="B501" s="32" t="e">
        <x:f>IF(A501=1,Dashboard!$F$14,F500)</x:f>
      </x:c>
      <x:c r="C501" s="32" t="n">
        <x:f>0</x:f>
        <x:v>0</x:v>
      </x:c>
      <x:c r="D501" s="32" t="e">
        <x:f>IF(A501&lt;=Dashboard!$F$15,B501*Dashboard!$F$6,0)</x:f>
      </x:c>
      <x:c r="E501" s="32" t="e">
        <x:f>IF(A501&lt;=Dashboard!$F$15,MIN(Dashboard!$F$10,B501+D501),0)</x:f>
      </x:c>
      <x:c r="F501" s="32" t="e">
        <x:f>IF(A501&lt;=Dashboard!$F$15,MAX(0,B501-MAX(0,E501-D501)),0)</x:f>
      </x:c>
      <x:c r="G501" s="32" t="e">
        <x:f>IF(A501=1,D501,G500+D501)</x:f>
      </x:c>
      <x:c r="H501" s="32"/>
      <x:c r="I501" s="32" t="e">
        <x:f>IF(A501=1,Dashboard!$F$14,M500)</x:f>
      </x:c>
      <x:c r="J501" s="32" t="e">
        <x:f>IF(A501&lt;=Dashboard!$F$17,MIN(I501,$B$5),0)</x:f>
      </x:c>
      <x:c r="K501" s="32" t="e">
        <x:f>IF(A501&lt;=Dashboard!$F$17,MAX(0,I501-J501)*Dashboard!$F$6,0)</x:f>
      </x:c>
      <x:c r="L501" s="32" t="e">
        <x:f>IF(A501&lt;=Dashboard!$F$17,MIN(Dashboard!$F$10,MAX(0,I501-J501)+K501),0)</x:f>
      </x:c>
      <x:c r="M501" s="32" t="e">
        <x:f>IF(A501&lt;=Dashboard!$F$17,MAX(0,I501-J501-MAX(0,L501-K501)),0)</x:f>
      </x:c>
      <x:c r="N501" s="32" t="e">
        <x:f>IF(A501=1,K501,N500+K501)</x:f>
      </x:c>
      <x:c r="O501" s="32"/>
      <x:c r="P501" s="32" t="e">
        <x:f>IF(A501=1,Dashboard!$F$14,T500)</x:f>
      </x:c>
      <x:c r="Q501" s="32" t="e">
        <x:f>IF(A501&lt;=Dashboard!$F$17,MIN(P501,$B$6*52/12),0)</x:f>
      </x:c>
      <x:c r="R501" s="32" t="e">
        <x:f>IF(A501&lt;=Dashboard!$F$17,MAX(0,P501-Q501)*Dashboard!$F$6,0)</x:f>
      </x:c>
      <x:c r="S501" s="32" t="e">
        <x:f>IF(A501&lt;=Dashboard!$F$17,MIN(Dashboard!$F$10,MAX(0,P501-Q501)+R501),0)</x:f>
      </x:c>
      <x:c r="T501" s="32" t="e">
        <x:f>IF(A501&lt;=Dashboard!$F$17,MAX(0,P501-Q501-MAX(0,S501-R501)),0)</x:f>
      </x:c>
      <x:c r="U501" s="32" t="e">
        <x:f>IF(A501=1,R501,U500+R501)</x:f>
      </x:c>
      <x:c r="V501" s="32"/>
      <x:c r="W501" s="32" t="e">
        <x:f>IF(A501=1,Dashboard!$F$14,AA500)</x:f>
      </x:c>
      <x:c r="X501" s="32" t="e">
        <x:f>IF(AND(A501&lt;=Dashboard!$F$17,MOD(A501-1,12)=0),MIN(W501,$B$7),0)</x:f>
      </x:c>
      <x:c r="Y501" s="32" t="e">
        <x:f>IF(A501&lt;=Dashboard!$F$17,MAX(0,W501-X501)*Dashboard!$F$6,0)</x:f>
      </x:c>
      <x:c r="Z501" s="32" t="e">
        <x:f>IF(A501&lt;=Dashboard!$F$17,MIN(Dashboard!$F$10,MAX(0,W501-X501)+Y501),0)</x:f>
      </x:c>
      <x:c r="AA501" s="32" t="e">
        <x:f>IF(A501&lt;=Dashboard!$F$17,MAX(0,W501-X501-MAX(0,Z501-Y501)),0)</x:f>
      </x:c>
      <x:c r="AB501" s="32" t="e">
        <x:f>IF(A501=1,Y501,AB500+Y501)</x:f>
      </x:c>
      <x:c r="AC501" s="32"/>
      <x:c r="AD501" s="32" t="e">
        <x:f>IF(A501=1,MAX(0,Dashboard!$F$14-$B$8),AG500)</x:f>
      </x:c>
      <x:c r="AE501" s="32" t="n">
        <x:f>0</x:f>
        <x:v>0</x:v>
      </x:c>
      <x:c r="AF501" s="32" t="e">
        <x:f>IF(A501&lt;=Dashboard!$F$17,AD501*Dashboard!$F$6,0)</x:f>
      </x:c>
      <x:c r="AG501" s="32" t="e">
        <x:f>IF(A501&lt;=Dashboard!$F$17,MIN(Dashboard!$F$10,AD501+AF501),0)</x:f>
      </x:c>
      <x:c r="AH501" s="32" t="e">
        <x:f>IF(A501&lt;=Dashboard!$F$17,MAX(0,AD501-MAX(0,AG501-AF501)),0)</x:f>
      </x:c>
      <x:c r="AI501" s="32" t="e">
        <x:f>IF(A501=1,AF501,AI500+AF501)</x:f>
      </x:c>
      <x:c r="AJ501" s="33"/>
      <x:c r="AK501" s="33"/>
      <x:c r="AL501" s="33"/>
      <x:c r="AM501" s="33"/>
    </x:row>
    <x:row r="502">
      <x:c r="A502" s="33" t="n">
        <x:v>490</x:v>
      </x:c>
      <x:c r="B502" s="32" t="e">
        <x:f>IF(A502=1,Dashboard!$F$14,F501)</x:f>
      </x:c>
      <x:c r="C502" s="32" t="n">
        <x:f>0</x:f>
        <x:v>0</x:v>
      </x:c>
      <x:c r="D502" s="32" t="e">
        <x:f>IF(A502&lt;=Dashboard!$F$15,B502*Dashboard!$F$6,0)</x:f>
      </x:c>
      <x:c r="E502" s="32" t="e">
        <x:f>IF(A502&lt;=Dashboard!$F$15,MIN(Dashboard!$F$10,B502+D502),0)</x:f>
      </x:c>
      <x:c r="F502" s="32" t="e">
        <x:f>IF(A502&lt;=Dashboard!$F$15,MAX(0,B502-MAX(0,E502-D502)),0)</x:f>
      </x:c>
      <x:c r="G502" s="32" t="e">
        <x:f>IF(A502=1,D502,G501+D502)</x:f>
      </x:c>
      <x:c r="H502" s="32"/>
      <x:c r="I502" s="32" t="e">
        <x:f>IF(A502=1,Dashboard!$F$14,M501)</x:f>
      </x:c>
      <x:c r="J502" s="32" t="e">
        <x:f>IF(A502&lt;=Dashboard!$F$17,MIN(I502,$B$5),0)</x:f>
      </x:c>
      <x:c r="K502" s="32" t="e">
        <x:f>IF(A502&lt;=Dashboard!$F$17,MAX(0,I502-J502)*Dashboard!$F$6,0)</x:f>
      </x:c>
      <x:c r="L502" s="32" t="e">
        <x:f>IF(A502&lt;=Dashboard!$F$17,MIN(Dashboard!$F$10,MAX(0,I502-J502)+K502),0)</x:f>
      </x:c>
      <x:c r="M502" s="32" t="e">
        <x:f>IF(A502&lt;=Dashboard!$F$17,MAX(0,I502-J502-MAX(0,L502-K502)),0)</x:f>
      </x:c>
      <x:c r="N502" s="32" t="e">
        <x:f>IF(A502=1,K502,N501+K502)</x:f>
      </x:c>
      <x:c r="O502" s="32"/>
      <x:c r="P502" s="32" t="e">
        <x:f>IF(A502=1,Dashboard!$F$14,T501)</x:f>
      </x:c>
      <x:c r="Q502" s="32" t="e">
        <x:f>IF(A502&lt;=Dashboard!$F$17,MIN(P502,$B$6*52/12),0)</x:f>
      </x:c>
      <x:c r="R502" s="32" t="e">
        <x:f>IF(A502&lt;=Dashboard!$F$17,MAX(0,P502-Q502)*Dashboard!$F$6,0)</x:f>
      </x:c>
      <x:c r="S502" s="32" t="e">
        <x:f>IF(A502&lt;=Dashboard!$F$17,MIN(Dashboard!$F$10,MAX(0,P502-Q502)+R502),0)</x:f>
      </x:c>
      <x:c r="T502" s="32" t="e">
        <x:f>IF(A502&lt;=Dashboard!$F$17,MAX(0,P502-Q502-MAX(0,S502-R502)),0)</x:f>
      </x:c>
      <x:c r="U502" s="32" t="e">
        <x:f>IF(A502=1,R502,U501+R502)</x:f>
      </x:c>
      <x:c r="V502" s="32"/>
      <x:c r="W502" s="32" t="e">
        <x:f>IF(A502=1,Dashboard!$F$14,AA501)</x:f>
      </x:c>
      <x:c r="X502" s="32" t="e">
        <x:f>IF(AND(A502&lt;=Dashboard!$F$17,MOD(A502-1,12)=0),MIN(W502,$B$7),0)</x:f>
      </x:c>
      <x:c r="Y502" s="32" t="e">
        <x:f>IF(A502&lt;=Dashboard!$F$17,MAX(0,W502-X502)*Dashboard!$F$6,0)</x:f>
      </x:c>
      <x:c r="Z502" s="32" t="e">
        <x:f>IF(A502&lt;=Dashboard!$F$17,MIN(Dashboard!$F$10,MAX(0,W502-X502)+Y502),0)</x:f>
      </x:c>
      <x:c r="AA502" s="32" t="e">
        <x:f>IF(A502&lt;=Dashboard!$F$17,MAX(0,W502-X502-MAX(0,Z502-Y502)),0)</x:f>
      </x:c>
      <x:c r="AB502" s="32" t="e">
        <x:f>IF(A502=1,Y502,AB501+Y502)</x:f>
      </x:c>
      <x:c r="AC502" s="32"/>
      <x:c r="AD502" s="32" t="e">
        <x:f>IF(A502=1,MAX(0,Dashboard!$F$14-$B$8),AG501)</x:f>
      </x:c>
      <x:c r="AE502" s="32" t="n">
        <x:f>0</x:f>
        <x:v>0</x:v>
      </x:c>
      <x:c r="AF502" s="32" t="e">
        <x:f>IF(A502&lt;=Dashboard!$F$17,AD502*Dashboard!$F$6,0)</x:f>
      </x:c>
      <x:c r="AG502" s="32" t="e">
        <x:f>IF(A502&lt;=Dashboard!$F$17,MIN(Dashboard!$F$10,AD502+AF502),0)</x:f>
      </x:c>
      <x:c r="AH502" s="32" t="e">
        <x:f>IF(A502&lt;=Dashboard!$F$17,MAX(0,AD502-MAX(0,AG502-AF502)),0)</x:f>
      </x:c>
      <x:c r="AI502" s="32" t="e">
        <x:f>IF(A502=1,AF502,AI501+AF502)</x:f>
      </x:c>
      <x:c r="AJ502" s="33"/>
      <x:c r="AK502" s="33"/>
      <x:c r="AL502" s="33"/>
      <x:c r="AM502" s="33"/>
    </x:row>
    <x:row r="503">
      <x:c r="A503" s="33" t="n">
        <x:v>491</x:v>
      </x:c>
      <x:c r="B503" s="32" t="e">
        <x:f>IF(A503=1,Dashboard!$F$14,F502)</x:f>
      </x:c>
      <x:c r="C503" s="32" t="n">
        <x:f>0</x:f>
        <x:v>0</x:v>
      </x:c>
      <x:c r="D503" s="32" t="e">
        <x:f>IF(A503&lt;=Dashboard!$F$15,B503*Dashboard!$F$6,0)</x:f>
      </x:c>
      <x:c r="E503" s="32" t="e">
        <x:f>IF(A503&lt;=Dashboard!$F$15,MIN(Dashboard!$F$10,B503+D503),0)</x:f>
      </x:c>
      <x:c r="F503" s="32" t="e">
        <x:f>IF(A503&lt;=Dashboard!$F$15,MAX(0,B503-MAX(0,E503-D503)),0)</x:f>
      </x:c>
      <x:c r="G503" s="32" t="e">
        <x:f>IF(A503=1,D503,G502+D503)</x:f>
      </x:c>
      <x:c r="H503" s="32"/>
      <x:c r="I503" s="32" t="e">
        <x:f>IF(A503=1,Dashboard!$F$14,M502)</x:f>
      </x:c>
      <x:c r="J503" s="32" t="e">
        <x:f>IF(A503&lt;=Dashboard!$F$17,MIN(I503,$B$5),0)</x:f>
      </x:c>
      <x:c r="K503" s="32" t="e">
        <x:f>IF(A503&lt;=Dashboard!$F$17,MAX(0,I503-J503)*Dashboard!$F$6,0)</x:f>
      </x:c>
      <x:c r="L503" s="32" t="e">
        <x:f>IF(A503&lt;=Dashboard!$F$17,MIN(Dashboard!$F$10,MAX(0,I503-J503)+K503),0)</x:f>
      </x:c>
      <x:c r="M503" s="32" t="e">
        <x:f>IF(A503&lt;=Dashboard!$F$17,MAX(0,I503-J503-MAX(0,L503-K503)),0)</x:f>
      </x:c>
      <x:c r="N503" s="32" t="e">
        <x:f>IF(A503=1,K503,N502+K503)</x:f>
      </x:c>
      <x:c r="O503" s="32"/>
      <x:c r="P503" s="32" t="e">
        <x:f>IF(A503=1,Dashboard!$F$14,T502)</x:f>
      </x:c>
      <x:c r="Q503" s="32" t="e">
        <x:f>IF(A503&lt;=Dashboard!$F$17,MIN(P503,$B$6*52/12),0)</x:f>
      </x:c>
      <x:c r="R503" s="32" t="e">
        <x:f>IF(A503&lt;=Dashboard!$F$17,MAX(0,P503-Q503)*Dashboard!$F$6,0)</x:f>
      </x:c>
      <x:c r="S503" s="32" t="e">
        <x:f>IF(A503&lt;=Dashboard!$F$17,MIN(Dashboard!$F$10,MAX(0,P503-Q503)+R503),0)</x:f>
      </x:c>
      <x:c r="T503" s="32" t="e">
        <x:f>IF(A503&lt;=Dashboard!$F$17,MAX(0,P503-Q503-MAX(0,S503-R503)),0)</x:f>
      </x:c>
      <x:c r="U503" s="32" t="e">
        <x:f>IF(A503=1,R503,U502+R503)</x:f>
      </x:c>
      <x:c r="V503" s="32"/>
      <x:c r="W503" s="32" t="e">
        <x:f>IF(A503=1,Dashboard!$F$14,AA502)</x:f>
      </x:c>
      <x:c r="X503" s="32" t="e">
        <x:f>IF(AND(A503&lt;=Dashboard!$F$17,MOD(A503-1,12)=0),MIN(W503,$B$7),0)</x:f>
      </x:c>
      <x:c r="Y503" s="32" t="e">
        <x:f>IF(A503&lt;=Dashboard!$F$17,MAX(0,W503-X503)*Dashboard!$F$6,0)</x:f>
      </x:c>
      <x:c r="Z503" s="32" t="e">
        <x:f>IF(A503&lt;=Dashboard!$F$17,MIN(Dashboard!$F$10,MAX(0,W503-X503)+Y503),0)</x:f>
      </x:c>
      <x:c r="AA503" s="32" t="e">
        <x:f>IF(A503&lt;=Dashboard!$F$17,MAX(0,W503-X503-MAX(0,Z503-Y503)),0)</x:f>
      </x:c>
      <x:c r="AB503" s="32" t="e">
        <x:f>IF(A503=1,Y503,AB502+Y503)</x:f>
      </x:c>
      <x:c r="AC503" s="32"/>
      <x:c r="AD503" s="32" t="e">
        <x:f>IF(A503=1,MAX(0,Dashboard!$F$14-$B$8),AG502)</x:f>
      </x:c>
      <x:c r="AE503" s="32" t="n">
        <x:f>0</x:f>
        <x:v>0</x:v>
      </x:c>
      <x:c r="AF503" s="32" t="e">
        <x:f>IF(A503&lt;=Dashboard!$F$17,AD503*Dashboard!$F$6,0)</x:f>
      </x:c>
      <x:c r="AG503" s="32" t="e">
        <x:f>IF(A503&lt;=Dashboard!$F$17,MIN(Dashboard!$F$10,AD503+AF503),0)</x:f>
      </x:c>
      <x:c r="AH503" s="32" t="e">
        <x:f>IF(A503&lt;=Dashboard!$F$17,MAX(0,AD503-MAX(0,AG503-AF503)),0)</x:f>
      </x:c>
      <x:c r="AI503" s="32" t="e">
        <x:f>IF(A503=1,AF503,AI502+AF503)</x:f>
      </x:c>
      <x:c r="AJ503" s="33"/>
      <x:c r="AK503" s="33"/>
      <x:c r="AL503" s="33"/>
      <x:c r="AM503" s="33"/>
    </x:row>
    <x:row r="504">
      <x:c r="A504" s="33" t="n">
        <x:v>492</x:v>
      </x:c>
      <x:c r="B504" s="32" t="e">
        <x:f>IF(A504=1,Dashboard!$F$14,F503)</x:f>
      </x:c>
      <x:c r="C504" s="32" t="n">
        <x:f>0</x:f>
        <x:v>0</x:v>
      </x:c>
      <x:c r="D504" s="32" t="e">
        <x:f>IF(A504&lt;=Dashboard!$F$15,B504*Dashboard!$F$6,0)</x:f>
      </x:c>
      <x:c r="E504" s="32" t="e">
        <x:f>IF(A504&lt;=Dashboard!$F$15,MIN(Dashboard!$F$10,B504+D504),0)</x:f>
      </x:c>
      <x:c r="F504" s="32" t="e">
        <x:f>IF(A504&lt;=Dashboard!$F$15,MAX(0,B504-MAX(0,E504-D504)),0)</x:f>
      </x:c>
      <x:c r="G504" s="32" t="e">
        <x:f>IF(A504=1,D504,G503+D504)</x:f>
      </x:c>
      <x:c r="H504" s="32"/>
      <x:c r="I504" s="32" t="e">
        <x:f>IF(A504=1,Dashboard!$F$14,M503)</x:f>
      </x:c>
      <x:c r="J504" s="32" t="e">
        <x:f>IF(A504&lt;=Dashboard!$F$17,MIN(I504,$B$5),0)</x:f>
      </x:c>
      <x:c r="K504" s="32" t="e">
        <x:f>IF(A504&lt;=Dashboard!$F$17,MAX(0,I504-J504)*Dashboard!$F$6,0)</x:f>
      </x:c>
      <x:c r="L504" s="32" t="e">
        <x:f>IF(A504&lt;=Dashboard!$F$17,MIN(Dashboard!$F$10,MAX(0,I504-J504)+K504),0)</x:f>
      </x:c>
      <x:c r="M504" s="32" t="e">
        <x:f>IF(A504&lt;=Dashboard!$F$17,MAX(0,I504-J504-MAX(0,L504-K504)),0)</x:f>
      </x:c>
      <x:c r="N504" s="32" t="e">
        <x:f>IF(A504=1,K504,N503+K504)</x:f>
      </x:c>
      <x:c r="O504" s="32"/>
      <x:c r="P504" s="32" t="e">
        <x:f>IF(A504=1,Dashboard!$F$14,T503)</x:f>
      </x:c>
      <x:c r="Q504" s="32" t="e">
        <x:f>IF(A504&lt;=Dashboard!$F$17,MIN(P504,$B$6*52/12),0)</x:f>
      </x:c>
      <x:c r="R504" s="32" t="e">
        <x:f>IF(A504&lt;=Dashboard!$F$17,MAX(0,P504-Q504)*Dashboard!$F$6,0)</x:f>
      </x:c>
      <x:c r="S504" s="32" t="e">
        <x:f>IF(A504&lt;=Dashboard!$F$17,MIN(Dashboard!$F$10,MAX(0,P504-Q504)+R504),0)</x:f>
      </x:c>
      <x:c r="T504" s="32" t="e">
        <x:f>IF(A504&lt;=Dashboard!$F$17,MAX(0,P504-Q504-MAX(0,S504-R504)),0)</x:f>
      </x:c>
      <x:c r="U504" s="32" t="e">
        <x:f>IF(A504=1,R504,U503+R504)</x:f>
      </x:c>
      <x:c r="V504" s="32"/>
      <x:c r="W504" s="32" t="e">
        <x:f>IF(A504=1,Dashboard!$F$14,AA503)</x:f>
      </x:c>
      <x:c r="X504" s="32" t="e">
        <x:f>IF(AND(A504&lt;=Dashboard!$F$17,MOD(A504-1,12)=0),MIN(W504,$B$7),0)</x:f>
      </x:c>
      <x:c r="Y504" s="32" t="e">
        <x:f>IF(A504&lt;=Dashboard!$F$17,MAX(0,W504-X504)*Dashboard!$F$6,0)</x:f>
      </x:c>
      <x:c r="Z504" s="32" t="e">
        <x:f>IF(A504&lt;=Dashboard!$F$17,MIN(Dashboard!$F$10,MAX(0,W504-X504)+Y504),0)</x:f>
      </x:c>
      <x:c r="AA504" s="32" t="e">
        <x:f>IF(A504&lt;=Dashboard!$F$17,MAX(0,W504-X504-MAX(0,Z504-Y504)),0)</x:f>
      </x:c>
      <x:c r="AB504" s="32" t="e">
        <x:f>IF(A504=1,Y504,AB503+Y504)</x:f>
      </x:c>
      <x:c r="AC504" s="32"/>
      <x:c r="AD504" s="32" t="e">
        <x:f>IF(A504=1,MAX(0,Dashboard!$F$14-$B$8),AG503)</x:f>
      </x:c>
      <x:c r="AE504" s="32" t="n">
        <x:f>0</x:f>
        <x:v>0</x:v>
      </x:c>
      <x:c r="AF504" s="32" t="e">
        <x:f>IF(A504&lt;=Dashboard!$F$17,AD504*Dashboard!$F$6,0)</x:f>
      </x:c>
      <x:c r="AG504" s="32" t="e">
        <x:f>IF(A504&lt;=Dashboard!$F$17,MIN(Dashboard!$F$10,AD504+AF504),0)</x:f>
      </x:c>
      <x:c r="AH504" s="32" t="e">
        <x:f>IF(A504&lt;=Dashboard!$F$17,MAX(0,AD504-MAX(0,AG504-AF504)),0)</x:f>
      </x:c>
      <x:c r="AI504" s="32" t="e">
        <x:f>IF(A504=1,AF504,AI503+AF504)</x:f>
      </x:c>
      <x:c r="AJ504" s="33"/>
      <x:c r="AK504" s="33"/>
      <x:c r="AL504" s="33"/>
      <x:c r="AM504" s="33"/>
    </x:row>
    <x:row r="505">
      <x:c r="A505" s="33" t="n">
        <x:v>493</x:v>
      </x:c>
      <x:c r="B505" s="32" t="e">
        <x:f>IF(A505=1,Dashboard!$F$14,F504)</x:f>
      </x:c>
      <x:c r="C505" s="32" t="n">
        <x:f>0</x:f>
        <x:v>0</x:v>
      </x:c>
      <x:c r="D505" s="32" t="e">
        <x:f>IF(A505&lt;=Dashboard!$F$15,B505*Dashboard!$F$6,0)</x:f>
      </x:c>
      <x:c r="E505" s="32" t="e">
        <x:f>IF(A505&lt;=Dashboard!$F$15,MIN(Dashboard!$F$10,B505+D505),0)</x:f>
      </x:c>
      <x:c r="F505" s="32" t="e">
        <x:f>IF(A505&lt;=Dashboard!$F$15,MAX(0,B505-MAX(0,E505-D505)),0)</x:f>
      </x:c>
      <x:c r="G505" s="32" t="e">
        <x:f>IF(A505=1,D505,G504+D505)</x:f>
      </x:c>
      <x:c r="H505" s="32"/>
      <x:c r="I505" s="32" t="e">
        <x:f>IF(A505=1,Dashboard!$F$14,M504)</x:f>
      </x:c>
      <x:c r="J505" s="32" t="e">
        <x:f>IF(A505&lt;=Dashboard!$F$17,MIN(I505,$B$5),0)</x:f>
      </x:c>
      <x:c r="K505" s="32" t="e">
        <x:f>IF(A505&lt;=Dashboard!$F$17,MAX(0,I505-J505)*Dashboard!$F$6,0)</x:f>
      </x:c>
      <x:c r="L505" s="32" t="e">
        <x:f>IF(A505&lt;=Dashboard!$F$17,MIN(Dashboard!$F$10,MAX(0,I505-J505)+K505),0)</x:f>
      </x:c>
      <x:c r="M505" s="32" t="e">
        <x:f>IF(A505&lt;=Dashboard!$F$17,MAX(0,I505-J505-MAX(0,L505-K505)),0)</x:f>
      </x:c>
      <x:c r="N505" s="32" t="e">
        <x:f>IF(A505=1,K505,N504+K505)</x:f>
      </x:c>
      <x:c r="O505" s="32"/>
      <x:c r="P505" s="32" t="e">
        <x:f>IF(A505=1,Dashboard!$F$14,T504)</x:f>
      </x:c>
      <x:c r="Q505" s="32" t="e">
        <x:f>IF(A505&lt;=Dashboard!$F$17,MIN(P505,$B$6*52/12),0)</x:f>
      </x:c>
      <x:c r="R505" s="32" t="e">
        <x:f>IF(A505&lt;=Dashboard!$F$17,MAX(0,P505-Q505)*Dashboard!$F$6,0)</x:f>
      </x:c>
      <x:c r="S505" s="32" t="e">
        <x:f>IF(A505&lt;=Dashboard!$F$17,MIN(Dashboard!$F$10,MAX(0,P505-Q505)+R505),0)</x:f>
      </x:c>
      <x:c r="T505" s="32" t="e">
        <x:f>IF(A505&lt;=Dashboard!$F$17,MAX(0,P505-Q505-MAX(0,S505-R505)),0)</x:f>
      </x:c>
      <x:c r="U505" s="32" t="e">
        <x:f>IF(A505=1,R505,U504+R505)</x:f>
      </x:c>
      <x:c r="V505" s="32"/>
      <x:c r="W505" s="32" t="e">
        <x:f>IF(A505=1,Dashboard!$F$14,AA504)</x:f>
      </x:c>
      <x:c r="X505" s="32" t="e">
        <x:f>IF(AND(A505&lt;=Dashboard!$F$17,MOD(A505-1,12)=0),MIN(W505,$B$7),0)</x:f>
      </x:c>
      <x:c r="Y505" s="32" t="e">
        <x:f>IF(A505&lt;=Dashboard!$F$17,MAX(0,W505-X505)*Dashboard!$F$6,0)</x:f>
      </x:c>
      <x:c r="Z505" s="32" t="e">
        <x:f>IF(A505&lt;=Dashboard!$F$17,MIN(Dashboard!$F$10,MAX(0,W505-X505)+Y505),0)</x:f>
      </x:c>
      <x:c r="AA505" s="32" t="e">
        <x:f>IF(A505&lt;=Dashboard!$F$17,MAX(0,W505-X505-MAX(0,Z505-Y505)),0)</x:f>
      </x:c>
      <x:c r="AB505" s="32" t="e">
        <x:f>IF(A505=1,Y505,AB504+Y505)</x:f>
      </x:c>
      <x:c r="AC505" s="32"/>
      <x:c r="AD505" s="32" t="e">
        <x:f>IF(A505=1,MAX(0,Dashboard!$F$14-$B$8),AG504)</x:f>
      </x:c>
      <x:c r="AE505" s="32" t="n">
        <x:f>0</x:f>
        <x:v>0</x:v>
      </x:c>
      <x:c r="AF505" s="32" t="e">
        <x:f>IF(A505&lt;=Dashboard!$F$17,AD505*Dashboard!$F$6,0)</x:f>
      </x:c>
      <x:c r="AG505" s="32" t="e">
        <x:f>IF(A505&lt;=Dashboard!$F$17,MIN(Dashboard!$F$10,AD505+AF505),0)</x:f>
      </x:c>
      <x:c r="AH505" s="32" t="e">
        <x:f>IF(A505&lt;=Dashboard!$F$17,MAX(0,AD505-MAX(0,AG505-AF505)),0)</x:f>
      </x:c>
      <x:c r="AI505" s="32" t="e">
        <x:f>IF(A505=1,AF505,AI504+AF505)</x:f>
      </x:c>
      <x:c r="AJ505" s="33"/>
      <x:c r="AK505" s="33"/>
      <x:c r="AL505" s="33"/>
      <x:c r="AM505" s="33"/>
    </x:row>
    <x:row r="506">
      <x:c r="A506" s="33" t="n">
        <x:v>494</x:v>
      </x:c>
      <x:c r="B506" s="32" t="e">
        <x:f>IF(A506=1,Dashboard!$F$14,F505)</x:f>
      </x:c>
      <x:c r="C506" s="32" t="n">
        <x:f>0</x:f>
        <x:v>0</x:v>
      </x:c>
      <x:c r="D506" s="32" t="e">
        <x:f>IF(A506&lt;=Dashboard!$F$15,B506*Dashboard!$F$6,0)</x:f>
      </x:c>
      <x:c r="E506" s="32" t="e">
        <x:f>IF(A506&lt;=Dashboard!$F$15,MIN(Dashboard!$F$10,B506+D506),0)</x:f>
      </x:c>
      <x:c r="F506" s="32" t="e">
        <x:f>IF(A506&lt;=Dashboard!$F$15,MAX(0,B506-MAX(0,E506-D506)),0)</x:f>
      </x:c>
      <x:c r="G506" s="32" t="e">
        <x:f>IF(A506=1,D506,G505+D506)</x:f>
      </x:c>
      <x:c r="H506" s="32"/>
      <x:c r="I506" s="32" t="e">
        <x:f>IF(A506=1,Dashboard!$F$14,M505)</x:f>
      </x:c>
      <x:c r="J506" s="32" t="e">
        <x:f>IF(A506&lt;=Dashboard!$F$17,MIN(I506,$B$5),0)</x:f>
      </x:c>
      <x:c r="K506" s="32" t="e">
        <x:f>IF(A506&lt;=Dashboard!$F$17,MAX(0,I506-J506)*Dashboard!$F$6,0)</x:f>
      </x:c>
      <x:c r="L506" s="32" t="e">
        <x:f>IF(A506&lt;=Dashboard!$F$17,MIN(Dashboard!$F$10,MAX(0,I506-J506)+K506),0)</x:f>
      </x:c>
      <x:c r="M506" s="32" t="e">
        <x:f>IF(A506&lt;=Dashboard!$F$17,MAX(0,I506-J506-MAX(0,L506-K506)),0)</x:f>
      </x:c>
      <x:c r="N506" s="32" t="e">
        <x:f>IF(A506=1,K506,N505+K506)</x:f>
      </x:c>
      <x:c r="O506" s="32"/>
      <x:c r="P506" s="32" t="e">
        <x:f>IF(A506=1,Dashboard!$F$14,T505)</x:f>
      </x:c>
      <x:c r="Q506" s="32" t="e">
        <x:f>IF(A506&lt;=Dashboard!$F$17,MIN(P506,$B$6*52/12),0)</x:f>
      </x:c>
      <x:c r="R506" s="32" t="e">
        <x:f>IF(A506&lt;=Dashboard!$F$17,MAX(0,P506-Q506)*Dashboard!$F$6,0)</x:f>
      </x:c>
      <x:c r="S506" s="32" t="e">
        <x:f>IF(A506&lt;=Dashboard!$F$17,MIN(Dashboard!$F$10,MAX(0,P506-Q506)+R506),0)</x:f>
      </x:c>
      <x:c r="T506" s="32" t="e">
        <x:f>IF(A506&lt;=Dashboard!$F$17,MAX(0,P506-Q506-MAX(0,S506-R506)),0)</x:f>
      </x:c>
      <x:c r="U506" s="32" t="e">
        <x:f>IF(A506=1,R506,U505+R506)</x:f>
      </x:c>
      <x:c r="V506" s="32"/>
      <x:c r="W506" s="32" t="e">
        <x:f>IF(A506=1,Dashboard!$F$14,AA505)</x:f>
      </x:c>
      <x:c r="X506" s="32" t="e">
        <x:f>IF(AND(A506&lt;=Dashboard!$F$17,MOD(A506-1,12)=0),MIN(W506,$B$7),0)</x:f>
      </x:c>
      <x:c r="Y506" s="32" t="e">
        <x:f>IF(A506&lt;=Dashboard!$F$17,MAX(0,W506-X506)*Dashboard!$F$6,0)</x:f>
      </x:c>
      <x:c r="Z506" s="32" t="e">
        <x:f>IF(A506&lt;=Dashboard!$F$17,MIN(Dashboard!$F$10,MAX(0,W506-X506)+Y506),0)</x:f>
      </x:c>
      <x:c r="AA506" s="32" t="e">
        <x:f>IF(A506&lt;=Dashboard!$F$17,MAX(0,W506-X506-MAX(0,Z506-Y506)),0)</x:f>
      </x:c>
      <x:c r="AB506" s="32" t="e">
        <x:f>IF(A506=1,Y506,AB505+Y506)</x:f>
      </x:c>
      <x:c r="AC506" s="32"/>
      <x:c r="AD506" s="32" t="e">
        <x:f>IF(A506=1,MAX(0,Dashboard!$F$14-$B$8),AG505)</x:f>
      </x:c>
      <x:c r="AE506" s="32" t="n">
        <x:f>0</x:f>
        <x:v>0</x:v>
      </x:c>
      <x:c r="AF506" s="32" t="e">
        <x:f>IF(A506&lt;=Dashboard!$F$17,AD506*Dashboard!$F$6,0)</x:f>
      </x:c>
      <x:c r="AG506" s="32" t="e">
        <x:f>IF(A506&lt;=Dashboard!$F$17,MIN(Dashboard!$F$10,AD506+AF506),0)</x:f>
      </x:c>
      <x:c r="AH506" s="32" t="e">
        <x:f>IF(A506&lt;=Dashboard!$F$17,MAX(0,AD506-MAX(0,AG506-AF506)),0)</x:f>
      </x:c>
      <x:c r="AI506" s="32" t="e">
        <x:f>IF(A506=1,AF506,AI505+AF506)</x:f>
      </x:c>
      <x:c r="AJ506" s="33"/>
      <x:c r="AK506" s="33"/>
      <x:c r="AL506" s="33"/>
      <x:c r="AM506" s="33"/>
    </x:row>
    <x:row r="507">
      <x:c r="A507" s="33" t="n">
        <x:v>495</x:v>
      </x:c>
      <x:c r="B507" s="32" t="e">
        <x:f>IF(A507=1,Dashboard!$F$14,F506)</x:f>
      </x:c>
      <x:c r="C507" s="32" t="n">
        <x:f>0</x:f>
        <x:v>0</x:v>
      </x:c>
      <x:c r="D507" s="32" t="e">
        <x:f>IF(A507&lt;=Dashboard!$F$15,B507*Dashboard!$F$6,0)</x:f>
      </x:c>
      <x:c r="E507" s="32" t="e">
        <x:f>IF(A507&lt;=Dashboard!$F$15,MIN(Dashboard!$F$10,B507+D507),0)</x:f>
      </x:c>
      <x:c r="F507" s="32" t="e">
        <x:f>IF(A507&lt;=Dashboard!$F$15,MAX(0,B507-MAX(0,E507-D507)),0)</x:f>
      </x:c>
      <x:c r="G507" s="32" t="e">
        <x:f>IF(A507=1,D507,G506+D507)</x:f>
      </x:c>
      <x:c r="H507" s="32"/>
      <x:c r="I507" s="32" t="e">
        <x:f>IF(A507=1,Dashboard!$F$14,M506)</x:f>
      </x:c>
      <x:c r="J507" s="32" t="e">
        <x:f>IF(A507&lt;=Dashboard!$F$17,MIN(I507,$B$5),0)</x:f>
      </x:c>
      <x:c r="K507" s="32" t="e">
        <x:f>IF(A507&lt;=Dashboard!$F$17,MAX(0,I507-J507)*Dashboard!$F$6,0)</x:f>
      </x:c>
      <x:c r="L507" s="32" t="e">
        <x:f>IF(A507&lt;=Dashboard!$F$17,MIN(Dashboard!$F$10,MAX(0,I507-J507)+K507),0)</x:f>
      </x:c>
      <x:c r="M507" s="32" t="e">
        <x:f>IF(A507&lt;=Dashboard!$F$17,MAX(0,I507-J507-MAX(0,L507-K507)),0)</x:f>
      </x:c>
      <x:c r="N507" s="32" t="e">
        <x:f>IF(A507=1,K507,N506+K507)</x:f>
      </x:c>
      <x:c r="O507" s="32"/>
      <x:c r="P507" s="32" t="e">
        <x:f>IF(A507=1,Dashboard!$F$14,T506)</x:f>
      </x:c>
      <x:c r="Q507" s="32" t="e">
        <x:f>IF(A507&lt;=Dashboard!$F$17,MIN(P507,$B$6*52/12),0)</x:f>
      </x:c>
      <x:c r="R507" s="32" t="e">
        <x:f>IF(A507&lt;=Dashboard!$F$17,MAX(0,P507-Q507)*Dashboard!$F$6,0)</x:f>
      </x:c>
      <x:c r="S507" s="32" t="e">
        <x:f>IF(A507&lt;=Dashboard!$F$17,MIN(Dashboard!$F$10,MAX(0,P507-Q507)+R507),0)</x:f>
      </x:c>
      <x:c r="T507" s="32" t="e">
        <x:f>IF(A507&lt;=Dashboard!$F$17,MAX(0,P507-Q507-MAX(0,S507-R507)),0)</x:f>
      </x:c>
      <x:c r="U507" s="32" t="e">
        <x:f>IF(A507=1,R507,U506+R507)</x:f>
      </x:c>
      <x:c r="V507" s="32"/>
      <x:c r="W507" s="32" t="e">
        <x:f>IF(A507=1,Dashboard!$F$14,AA506)</x:f>
      </x:c>
      <x:c r="X507" s="32" t="e">
        <x:f>IF(AND(A507&lt;=Dashboard!$F$17,MOD(A507-1,12)=0),MIN(W507,$B$7),0)</x:f>
      </x:c>
      <x:c r="Y507" s="32" t="e">
        <x:f>IF(A507&lt;=Dashboard!$F$17,MAX(0,W507-X507)*Dashboard!$F$6,0)</x:f>
      </x:c>
      <x:c r="Z507" s="32" t="e">
        <x:f>IF(A507&lt;=Dashboard!$F$17,MIN(Dashboard!$F$10,MAX(0,W507-X507)+Y507),0)</x:f>
      </x:c>
      <x:c r="AA507" s="32" t="e">
        <x:f>IF(A507&lt;=Dashboard!$F$17,MAX(0,W507-X507-MAX(0,Z507-Y507)),0)</x:f>
      </x:c>
      <x:c r="AB507" s="32" t="e">
        <x:f>IF(A507=1,Y507,AB506+Y507)</x:f>
      </x:c>
      <x:c r="AC507" s="32"/>
      <x:c r="AD507" s="32" t="e">
        <x:f>IF(A507=1,MAX(0,Dashboard!$F$14-$B$8),AG506)</x:f>
      </x:c>
      <x:c r="AE507" s="32" t="n">
        <x:f>0</x:f>
        <x:v>0</x:v>
      </x:c>
      <x:c r="AF507" s="32" t="e">
        <x:f>IF(A507&lt;=Dashboard!$F$17,AD507*Dashboard!$F$6,0)</x:f>
      </x:c>
      <x:c r="AG507" s="32" t="e">
        <x:f>IF(A507&lt;=Dashboard!$F$17,MIN(Dashboard!$F$10,AD507+AF507),0)</x:f>
      </x:c>
      <x:c r="AH507" s="32" t="e">
        <x:f>IF(A507&lt;=Dashboard!$F$17,MAX(0,AD507-MAX(0,AG507-AF507)),0)</x:f>
      </x:c>
      <x:c r="AI507" s="32" t="e">
        <x:f>IF(A507=1,AF507,AI506+AF507)</x:f>
      </x:c>
      <x:c r="AJ507" s="33"/>
      <x:c r="AK507" s="33"/>
      <x:c r="AL507" s="33"/>
      <x:c r="AM507" s="33"/>
    </x:row>
    <x:row r="508">
      <x:c r="A508" s="33" t="n">
        <x:v>496</x:v>
      </x:c>
      <x:c r="B508" s="32" t="e">
        <x:f>IF(A508=1,Dashboard!$F$14,F507)</x:f>
      </x:c>
      <x:c r="C508" s="32" t="n">
        <x:f>0</x:f>
        <x:v>0</x:v>
      </x:c>
      <x:c r="D508" s="32" t="e">
        <x:f>IF(A508&lt;=Dashboard!$F$15,B508*Dashboard!$F$6,0)</x:f>
      </x:c>
      <x:c r="E508" s="32" t="e">
        <x:f>IF(A508&lt;=Dashboard!$F$15,MIN(Dashboard!$F$10,B508+D508),0)</x:f>
      </x:c>
      <x:c r="F508" s="32" t="e">
        <x:f>IF(A508&lt;=Dashboard!$F$15,MAX(0,B508-MAX(0,E508-D508)),0)</x:f>
      </x:c>
      <x:c r="G508" s="32" t="e">
        <x:f>IF(A508=1,D508,G507+D508)</x:f>
      </x:c>
      <x:c r="H508" s="32"/>
      <x:c r="I508" s="32" t="e">
        <x:f>IF(A508=1,Dashboard!$F$14,M507)</x:f>
      </x:c>
      <x:c r="J508" s="32" t="e">
        <x:f>IF(A508&lt;=Dashboard!$F$17,MIN(I508,$B$5),0)</x:f>
      </x:c>
      <x:c r="K508" s="32" t="e">
        <x:f>IF(A508&lt;=Dashboard!$F$17,MAX(0,I508-J508)*Dashboard!$F$6,0)</x:f>
      </x:c>
      <x:c r="L508" s="32" t="e">
        <x:f>IF(A508&lt;=Dashboard!$F$17,MIN(Dashboard!$F$10,MAX(0,I508-J508)+K508),0)</x:f>
      </x:c>
      <x:c r="M508" s="32" t="e">
        <x:f>IF(A508&lt;=Dashboard!$F$17,MAX(0,I508-J508-MAX(0,L508-K508)),0)</x:f>
      </x:c>
      <x:c r="N508" s="32" t="e">
        <x:f>IF(A508=1,K508,N507+K508)</x:f>
      </x:c>
      <x:c r="O508" s="32"/>
      <x:c r="P508" s="32" t="e">
        <x:f>IF(A508=1,Dashboard!$F$14,T507)</x:f>
      </x:c>
      <x:c r="Q508" s="32" t="e">
        <x:f>IF(A508&lt;=Dashboard!$F$17,MIN(P508,$B$6*52/12),0)</x:f>
      </x:c>
      <x:c r="R508" s="32" t="e">
        <x:f>IF(A508&lt;=Dashboard!$F$17,MAX(0,P508-Q508)*Dashboard!$F$6,0)</x:f>
      </x:c>
      <x:c r="S508" s="32" t="e">
        <x:f>IF(A508&lt;=Dashboard!$F$17,MIN(Dashboard!$F$10,MAX(0,P508-Q508)+R508),0)</x:f>
      </x:c>
      <x:c r="T508" s="32" t="e">
        <x:f>IF(A508&lt;=Dashboard!$F$17,MAX(0,P508-Q508-MAX(0,S508-R508)),0)</x:f>
      </x:c>
      <x:c r="U508" s="32" t="e">
        <x:f>IF(A508=1,R508,U507+R508)</x:f>
      </x:c>
      <x:c r="V508" s="32"/>
      <x:c r="W508" s="32" t="e">
        <x:f>IF(A508=1,Dashboard!$F$14,AA507)</x:f>
      </x:c>
      <x:c r="X508" s="32" t="e">
        <x:f>IF(AND(A508&lt;=Dashboard!$F$17,MOD(A508-1,12)=0),MIN(W508,$B$7),0)</x:f>
      </x:c>
      <x:c r="Y508" s="32" t="e">
        <x:f>IF(A508&lt;=Dashboard!$F$17,MAX(0,W508-X508)*Dashboard!$F$6,0)</x:f>
      </x:c>
      <x:c r="Z508" s="32" t="e">
        <x:f>IF(A508&lt;=Dashboard!$F$17,MIN(Dashboard!$F$10,MAX(0,W508-X508)+Y508),0)</x:f>
      </x:c>
      <x:c r="AA508" s="32" t="e">
        <x:f>IF(A508&lt;=Dashboard!$F$17,MAX(0,W508-X508-MAX(0,Z508-Y508)),0)</x:f>
      </x:c>
      <x:c r="AB508" s="32" t="e">
        <x:f>IF(A508=1,Y508,AB507+Y508)</x:f>
      </x:c>
      <x:c r="AC508" s="32"/>
      <x:c r="AD508" s="32" t="e">
        <x:f>IF(A508=1,MAX(0,Dashboard!$F$14-$B$8),AG507)</x:f>
      </x:c>
      <x:c r="AE508" s="32" t="n">
        <x:f>0</x:f>
        <x:v>0</x:v>
      </x:c>
      <x:c r="AF508" s="32" t="e">
        <x:f>IF(A508&lt;=Dashboard!$F$17,AD508*Dashboard!$F$6,0)</x:f>
      </x:c>
      <x:c r="AG508" s="32" t="e">
        <x:f>IF(A508&lt;=Dashboard!$F$17,MIN(Dashboard!$F$10,AD508+AF508),0)</x:f>
      </x:c>
      <x:c r="AH508" s="32" t="e">
        <x:f>IF(A508&lt;=Dashboard!$F$17,MAX(0,AD508-MAX(0,AG508-AF508)),0)</x:f>
      </x:c>
      <x:c r="AI508" s="32" t="e">
        <x:f>IF(A508=1,AF508,AI507+AF508)</x:f>
      </x:c>
      <x:c r="AJ508" s="33"/>
      <x:c r="AK508" s="33"/>
      <x:c r="AL508" s="33"/>
      <x:c r="AM508" s="33"/>
    </x:row>
    <x:row r="509">
      <x:c r="A509" s="33" t="n">
        <x:v>497</x:v>
      </x:c>
      <x:c r="B509" s="32" t="e">
        <x:f>IF(A509=1,Dashboard!$F$14,F508)</x:f>
      </x:c>
      <x:c r="C509" s="32" t="n">
        <x:f>0</x:f>
        <x:v>0</x:v>
      </x:c>
      <x:c r="D509" s="32" t="e">
        <x:f>IF(A509&lt;=Dashboard!$F$15,B509*Dashboard!$F$6,0)</x:f>
      </x:c>
      <x:c r="E509" s="32" t="e">
        <x:f>IF(A509&lt;=Dashboard!$F$15,MIN(Dashboard!$F$10,B509+D509),0)</x:f>
      </x:c>
      <x:c r="F509" s="32" t="e">
        <x:f>IF(A509&lt;=Dashboard!$F$15,MAX(0,B509-MAX(0,E509-D509)),0)</x:f>
      </x:c>
      <x:c r="G509" s="32" t="e">
        <x:f>IF(A509=1,D509,G508+D509)</x:f>
      </x:c>
      <x:c r="H509" s="32"/>
      <x:c r="I509" s="32" t="e">
        <x:f>IF(A509=1,Dashboard!$F$14,M508)</x:f>
      </x:c>
      <x:c r="J509" s="32" t="e">
        <x:f>IF(A509&lt;=Dashboard!$F$17,MIN(I509,$B$5),0)</x:f>
      </x:c>
      <x:c r="K509" s="32" t="e">
        <x:f>IF(A509&lt;=Dashboard!$F$17,MAX(0,I509-J509)*Dashboard!$F$6,0)</x:f>
      </x:c>
      <x:c r="L509" s="32" t="e">
        <x:f>IF(A509&lt;=Dashboard!$F$17,MIN(Dashboard!$F$10,MAX(0,I509-J509)+K509),0)</x:f>
      </x:c>
      <x:c r="M509" s="32" t="e">
        <x:f>IF(A509&lt;=Dashboard!$F$17,MAX(0,I509-J509-MAX(0,L509-K509)),0)</x:f>
      </x:c>
      <x:c r="N509" s="32" t="e">
        <x:f>IF(A509=1,K509,N508+K509)</x:f>
      </x:c>
      <x:c r="O509" s="32"/>
      <x:c r="P509" s="32" t="e">
        <x:f>IF(A509=1,Dashboard!$F$14,T508)</x:f>
      </x:c>
      <x:c r="Q509" s="32" t="e">
        <x:f>IF(A509&lt;=Dashboard!$F$17,MIN(P509,$B$6*52/12),0)</x:f>
      </x:c>
      <x:c r="R509" s="32" t="e">
        <x:f>IF(A509&lt;=Dashboard!$F$17,MAX(0,P509-Q509)*Dashboard!$F$6,0)</x:f>
      </x:c>
      <x:c r="S509" s="32" t="e">
        <x:f>IF(A509&lt;=Dashboard!$F$17,MIN(Dashboard!$F$10,MAX(0,P509-Q509)+R509),0)</x:f>
      </x:c>
      <x:c r="T509" s="32" t="e">
        <x:f>IF(A509&lt;=Dashboard!$F$17,MAX(0,P509-Q509-MAX(0,S509-R509)),0)</x:f>
      </x:c>
      <x:c r="U509" s="32" t="e">
        <x:f>IF(A509=1,R509,U508+R509)</x:f>
      </x:c>
      <x:c r="V509" s="32"/>
      <x:c r="W509" s="32" t="e">
        <x:f>IF(A509=1,Dashboard!$F$14,AA508)</x:f>
      </x:c>
      <x:c r="X509" s="32" t="e">
        <x:f>IF(AND(A509&lt;=Dashboard!$F$17,MOD(A509-1,12)=0),MIN(W509,$B$7),0)</x:f>
      </x:c>
      <x:c r="Y509" s="32" t="e">
        <x:f>IF(A509&lt;=Dashboard!$F$17,MAX(0,W509-X509)*Dashboard!$F$6,0)</x:f>
      </x:c>
      <x:c r="Z509" s="32" t="e">
        <x:f>IF(A509&lt;=Dashboard!$F$17,MIN(Dashboard!$F$10,MAX(0,W509-X509)+Y509),0)</x:f>
      </x:c>
      <x:c r="AA509" s="32" t="e">
        <x:f>IF(A509&lt;=Dashboard!$F$17,MAX(0,W509-X509-MAX(0,Z509-Y509)),0)</x:f>
      </x:c>
      <x:c r="AB509" s="32" t="e">
        <x:f>IF(A509=1,Y509,AB508+Y509)</x:f>
      </x:c>
      <x:c r="AC509" s="32"/>
      <x:c r="AD509" s="32" t="e">
        <x:f>IF(A509=1,MAX(0,Dashboard!$F$14-$B$8),AG508)</x:f>
      </x:c>
      <x:c r="AE509" s="32" t="n">
        <x:f>0</x:f>
        <x:v>0</x:v>
      </x:c>
      <x:c r="AF509" s="32" t="e">
        <x:f>IF(A509&lt;=Dashboard!$F$17,AD509*Dashboard!$F$6,0)</x:f>
      </x:c>
      <x:c r="AG509" s="32" t="e">
        <x:f>IF(A509&lt;=Dashboard!$F$17,MIN(Dashboard!$F$10,AD509+AF509),0)</x:f>
      </x:c>
      <x:c r="AH509" s="32" t="e">
        <x:f>IF(A509&lt;=Dashboard!$F$17,MAX(0,AD509-MAX(0,AG509-AF509)),0)</x:f>
      </x:c>
      <x:c r="AI509" s="32" t="e">
        <x:f>IF(A509=1,AF509,AI508+AF509)</x:f>
      </x:c>
      <x:c r="AJ509" s="33"/>
      <x:c r="AK509" s="33"/>
      <x:c r="AL509" s="33"/>
      <x:c r="AM509" s="33"/>
    </x:row>
    <x:row r="510">
      <x:c r="A510" s="33" t="n">
        <x:v>498</x:v>
      </x:c>
      <x:c r="B510" s="32" t="e">
        <x:f>IF(A510=1,Dashboard!$F$14,F509)</x:f>
      </x:c>
      <x:c r="C510" s="32" t="n">
        <x:f>0</x:f>
        <x:v>0</x:v>
      </x:c>
      <x:c r="D510" s="32" t="e">
        <x:f>IF(A510&lt;=Dashboard!$F$15,B510*Dashboard!$F$6,0)</x:f>
      </x:c>
      <x:c r="E510" s="32" t="e">
        <x:f>IF(A510&lt;=Dashboard!$F$15,MIN(Dashboard!$F$10,B510+D510),0)</x:f>
      </x:c>
      <x:c r="F510" s="32" t="e">
        <x:f>IF(A510&lt;=Dashboard!$F$15,MAX(0,B510-MAX(0,E510-D510)),0)</x:f>
      </x:c>
      <x:c r="G510" s="32" t="e">
        <x:f>IF(A510=1,D510,G509+D510)</x:f>
      </x:c>
      <x:c r="H510" s="32"/>
      <x:c r="I510" s="32" t="e">
        <x:f>IF(A510=1,Dashboard!$F$14,M509)</x:f>
      </x:c>
      <x:c r="J510" s="32" t="e">
        <x:f>IF(A510&lt;=Dashboard!$F$17,MIN(I510,$B$5),0)</x:f>
      </x:c>
      <x:c r="K510" s="32" t="e">
        <x:f>IF(A510&lt;=Dashboard!$F$17,MAX(0,I510-J510)*Dashboard!$F$6,0)</x:f>
      </x:c>
      <x:c r="L510" s="32" t="e">
        <x:f>IF(A510&lt;=Dashboard!$F$17,MIN(Dashboard!$F$10,MAX(0,I510-J510)+K510),0)</x:f>
      </x:c>
      <x:c r="M510" s="32" t="e">
        <x:f>IF(A510&lt;=Dashboard!$F$17,MAX(0,I510-J510-MAX(0,L510-K510)),0)</x:f>
      </x:c>
      <x:c r="N510" s="32" t="e">
        <x:f>IF(A510=1,K510,N509+K510)</x:f>
      </x:c>
      <x:c r="O510" s="32"/>
      <x:c r="P510" s="32" t="e">
        <x:f>IF(A510=1,Dashboard!$F$14,T509)</x:f>
      </x:c>
      <x:c r="Q510" s="32" t="e">
        <x:f>IF(A510&lt;=Dashboard!$F$17,MIN(P510,$B$6*52/12),0)</x:f>
      </x:c>
      <x:c r="R510" s="32" t="e">
        <x:f>IF(A510&lt;=Dashboard!$F$17,MAX(0,P510-Q510)*Dashboard!$F$6,0)</x:f>
      </x:c>
      <x:c r="S510" s="32" t="e">
        <x:f>IF(A510&lt;=Dashboard!$F$17,MIN(Dashboard!$F$10,MAX(0,P510-Q510)+R510),0)</x:f>
      </x:c>
      <x:c r="T510" s="32" t="e">
        <x:f>IF(A510&lt;=Dashboard!$F$17,MAX(0,P510-Q510-MAX(0,S510-R510)),0)</x:f>
      </x:c>
      <x:c r="U510" s="32" t="e">
        <x:f>IF(A510=1,R510,U509+R510)</x:f>
      </x:c>
      <x:c r="V510" s="32"/>
      <x:c r="W510" s="32" t="e">
        <x:f>IF(A510=1,Dashboard!$F$14,AA509)</x:f>
      </x:c>
      <x:c r="X510" s="32" t="e">
        <x:f>IF(AND(A510&lt;=Dashboard!$F$17,MOD(A510-1,12)=0),MIN(W510,$B$7),0)</x:f>
      </x:c>
      <x:c r="Y510" s="32" t="e">
        <x:f>IF(A510&lt;=Dashboard!$F$17,MAX(0,W510-X510)*Dashboard!$F$6,0)</x:f>
      </x:c>
      <x:c r="Z510" s="32" t="e">
        <x:f>IF(A510&lt;=Dashboard!$F$17,MIN(Dashboard!$F$10,MAX(0,W510-X510)+Y510),0)</x:f>
      </x:c>
      <x:c r="AA510" s="32" t="e">
        <x:f>IF(A510&lt;=Dashboard!$F$17,MAX(0,W510-X510-MAX(0,Z510-Y510)),0)</x:f>
      </x:c>
      <x:c r="AB510" s="32" t="e">
        <x:f>IF(A510=1,Y510,AB509+Y510)</x:f>
      </x:c>
      <x:c r="AC510" s="32"/>
      <x:c r="AD510" s="32" t="e">
        <x:f>IF(A510=1,MAX(0,Dashboard!$F$14-$B$8),AG509)</x:f>
      </x:c>
      <x:c r="AE510" s="32" t="n">
        <x:f>0</x:f>
        <x:v>0</x:v>
      </x:c>
      <x:c r="AF510" s="32" t="e">
        <x:f>IF(A510&lt;=Dashboard!$F$17,AD510*Dashboard!$F$6,0)</x:f>
      </x:c>
      <x:c r="AG510" s="32" t="e">
        <x:f>IF(A510&lt;=Dashboard!$F$17,MIN(Dashboard!$F$10,AD510+AF510),0)</x:f>
      </x:c>
      <x:c r="AH510" s="32" t="e">
        <x:f>IF(A510&lt;=Dashboard!$F$17,MAX(0,AD510-MAX(0,AG510-AF510)),0)</x:f>
      </x:c>
      <x:c r="AI510" s="32" t="e">
        <x:f>IF(A510=1,AF510,AI509+AF510)</x:f>
      </x:c>
      <x:c r="AJ510" s="33"/>
      <x:c r="AK510" s="33"/>
      <x:c r="AL510" s="33"/>
      <x:c r="AM510" s="33"/>
    </x:row>
    <x:row r="511">
      <x:c r="A511" s="33" t="n">
        <x:v>499</x:v>
      </x:c>
      <x:c r="B511" s="32" t="e">
        <x:f>IF(A511=1,Dashboard!$F$14,F510)</x:f>
      </x:c>
      <x:c r="C511" s="32" t="n">
        <x:f>0</x:f>
        <x:v>0</x:v>
      </x:c>
      <x:c r="D511" s="32" t="e">
        <x:f>IF(A511&lt;=Dashboard!$F$15,B511*Dashboard!$F$6,0)</x:f>
      </x:c>
      <x:c r="E511" s="32" t="e">
        <x:f>IF(A511&lt;=Dashboard!$F$15,MIN(Dashboard!$F$10,B511+D511),0)</x:f>
      </x:c>
      <x:c r="F511" s="32" t="e">
        <x:f>IF(A511&lt;=Dashboard!$F$15,MAX(0,B511-MAX(0,E511-D511)),0)</x:f>
      </x:c>
      <x:c r="G511" s="32" t="e">
        <x:f>IF(A511=1,D511,G510+D511)</x:f>
      </x:c>
      <x:c r="H511" s="32"/>
      <x:c r="I511" s="32" t="e">
        <x:f>IF(A511=1,Dashboard!$F$14,M510)</x:f>
      </x:c>
      <x:c r="J511" s="32" t="e">
        <x:f>IF(A511&lt;=Dashboard!$F$17,MIN(I511,$B$5),0)</x:f>
      </x:c>
      <x:c r="K511" s="32" t="e">
        <x:f>IF(A511&lt;=Dashboard!$F$17,MAX(0,I511-J511)*Dashboard!$F$6,0)</x:f>
      </x:c>
      <x:c r="L511" s="32" t="e">
        <x:f>IF(A511&lt;=Dashboard!$F$17,MIN(Dashboard!$F$10,MAX(0,I511-J511)+K511),0)</x:f>
      </x:c>
      <x:c r="M511" s="32" t="e">
        <x:f>IF(A511&lt;=Dashboard!$F$17,MAX(0,I511-J511-MAX(0,L511-K511)),0)</x:f>
      </x:c>
      <x:c r="N511" s="32" t="e">
        <x:f>IF(A511=1,K511,N510+K511)</x:f>
      </x:c>
      <x:c r="O511" s="32"/>
      <x:c r="P511" s="32" t="e">
        <x:f>IF(A511=1,Dashboard!$F$14,T510)</x:f>
      </x:c>
      <x:c r="Q511" s="32" t="e">
        <x:f>IF(A511&lt;=Dashboard!$F$17,MIN(P511,$B$6*52/12),0)</x:f>
      </x:c>
      <x:c r="R511" s="32" t="e">
        <x:f>IF(A511&lt;=Dashboard!$F$17,MAX(0,P511-Q511)*Dashboard!$F$6,0)</x:f>
      </x:c>
      <x:c r="S511" s="32" t="e">
        <x:f>IF(A511&lt;=Dashboard!$F$17,MIN(Dashboard!$F$10,MAX(0,P511-Q511)+R511),0)</x:f>
      </x:c>
      <x:c r="T511" s="32" t="e">
        <x:f>IF(A511&lt;=Dashboard!$F$17,MAX(0,P511-Q511-MAX(0,S511-R511)),0)</x:f>
      </x:c>
      <x:c r="U511" s="32" t="e">
        <x:f>IF(A511=1,R511,U510+R511)</x:f>
      </x:c>
      <x:c r="V511" s="32"/>
      <x:c r="W511" s="32" t="e">
        <x:f>IF(A511=1,Dashboard!$F$14,AA510)</x:f>
      </x:c>
      <x:c r="X511" s="32" t="e">
        <x:f>IF(AND(A511&lt;=Dashboard!$F$17,MOD(A511-1,12)=0),MIN(W511,$B$7),0)</x:f>
      </x:c>
      <x:c r="Y511" s="32" t="e">
        <x:f>IF(A511&lt;=Dashboard!$F$17,MAX(0,W511-X511)*Dashboard!$F$6,0)</x:f>
      </x:c>
      <x:c r="Z511" s="32" t="e">
        <x:f>IF(A511&lt;=Dashboard!$F$17,MIN(Dashboard!$F$10,MAX(0,W511-X511)+Y511),0)</x:f>
      </x:c>
      <x:c r="AA511" s="32" t="e">
        <x:f>IF(A511&lt;=Dashboard!$F$17,MAX(0,W511-X511-MAX(0,Z511-Y511)),0)</x:f>
      </x:c>
      <x:c r="AB511" s="32" t="e">
        <x:f>IF(A511=1,Y511,AB510+Y511)</x:f>
      </x:c>
      <x:c r="AC511" s="32"/>
      <x:c r="AD511" s="32" t="e">
        <x:f>IF(A511=1,MAX(0,Dashboard!$F$14-$B$8),AG510)</x:f>
      </x:c>
      <x:c r="AE511" s="32" t="n">
        <x:f>0</x:f>
        <x:v>0</x:v>
      </x:c>
      <x:c r="AF511" s="32" t="e">
        <x:f>IF(A511&lt;=Dashboard!$F$17,AD511*Dashboard!$F$6,0)</x:f>
      </x:c>
      <x:c r="AG511" s="32" t="e">
        <x:f>IF(A511&lt;=Dashboard!$F$17,MIN(Dashboard!$F$10,AD511+AF511),0)</x:f>
      </x:c>
      <x:c r="AH511" s="32" t="e">
        <x:f>IF(A511&lt;=Dashboard!$F$17,MAX(0,AD511-MAX(0,AG511-AF511)),0)</x:f>
      </x:c>
      <x:c r="AI511" s="32" t="e">
        <x:f>IF(A511=1,AF511,AI510+AF511)</x:f>
      </x:c>
      <x:c r="AJ511" s="33"/>
      <x:c r="AK511" s="33"/>
      <x:c r="AL511" s="33"/>
      <x:c r="AM511" s="33"/>
    </x:row>
    <x:row r="512">
      <x:c r="A512" s="33" t="n">
        <x:v>500</x:v>
      </x:c>
      <x:c r="B512" s="32" t="e">
        <x:f>IF(A512=1,Dashboard!$F$14,F511)</x:f>
      </x:c>
      <x:c r="C512" s="32" t="n">
        <x:f>0</x:f>
        <x:v>0</x:v>
      </x:c>
      <x:c r="D512" s="32" t="e">
        <x:f>IF(A512&lt;=Dashboard!$F$15,B512*Dashboard!$F$6,0)</x:f>
      </x:c>
      <x:c r="E512" s="32" t="e">
        <x:f>IF(A512&lt;=Dashboard!$F$15,MIN(Dashboard!$F$10,B512+D512),0)</x:f>
      </x:c>
      <x:c r="F512" s="32" t="e">
        <x:f>IF(A512&lt;=Dashboard!$F$15,MAX(0,B512-MAX(0,E512-D512)),0)</x:f>
      </x:c>
      <x:c r="G512" s="32" t="e">
        <x:f>IF(A512=1,D512,G511+D512)</x:f>
      </x:c>
      <x:c r="H512" s="32"/>
      <x:c r="I512" s="32" t="e">
        <x:f>IF(A512=1,Dashboard!$F$14,M511)</x:f>
      </x:c>
      <x:c r="J512" s="32" t="e">
        <x:f>IF(A512&lt;=Dashboard!$F$17,MIN(I512,$B$5),0)</x:f>
      </x:c>
      <x:c r="K512" s="32" t="e">
        <x:f>IF(A512&lt;=Dashboard!$F$17,MAX(0,I512-J512)*Dashboard!$F$6,0)</x:f>
      </x:c>
      <x:c r="L512" s="32" t="e">
        <x:f>IF(A512&lt;=Dashboard!$F$17,MIN(Dashboard!$F$10,MAX(0,I512-J512)+K512),0)</x:f>
      </x:c>
      <x:c r="M512" s="32" t="e">
        <x:f>IF(A512&lt;=Dashboard!$F$17,MAX(0,I512-J512-MAX(0,L512-K512)),0)</x:f>
      </x:c>
      <x:c r="N512" s="32" t="e">
        <x:f>IF(A512=1,K512,N511+K512)</x:f>
      </x:c>
      <x:c r="O512" s="32"/>
      <x:c r="P512" s="32" t="e">
        <x:f>IF(A512=1,Dashboard!$F$14,T511)</x:f>
      </x:c>
      <x:c r="Q512" s="32" t="e">
        <x:f>IF(A512&lt;=Dashboard!$F$17,MIN(P512,$B$6*52/12),0)</x:f>
      </x:c>
      <x:c r="R512" s="32" t="e">
        <x:f>IF(A512&lt;=Dashboard!$F$17,MAX(0,P512-Q512)*Dashboard!$F$6,0)</x:f>
      </x:c>
      <x:c r="S512" s="32" t="e">
        <x:f>IF(A512&lt;=Dashboard!$F$17,MIN(Dashboard!$F$10,MAX(0,P512-Q512)+R512),0)</x:f>
      </x:c>
      <x:c r="T512" s="32" t="e">
        <x:f>IF(A512&lt;=Dashboard!$F$17,MAX(0,P512-Q512-MAX(0,S512-R512)),0)</x:f>
      </x:c>
      <x:c r="U512" s="32" t="e">
        <x:f>IF(A512=1,R512,U511+R512)</x:f>
      </x:c>
      <x:c r="V512" s="32"/>
      <x:c r="W512" s="32" t="e">
        <x:f>IF(A512=1,Dashboard!$F$14,AA511)</x:f>
      </x:c>
      <x:c r="X512" s="32" t="e">
        <x:f>IF(AND(A512&lt;=Dashboard!$F$17,MOD(A512-1,12)=0),MIN(W512,$B$7),0)</x:f>
      </x:c>
      <x:c r="Y512" s="32" t="e">
        <x:f>IF(A512&lt;=Dashboard!$F$17,MAX(0,W512-X512)*Dashboard!$F$6,0)</x:f>
      </x:c>
      <x:c r="Z512" s="32" t="e">
        <x:f>IF(A512&lt;=Dashboard!$F$17,MIN(Dashboard!$F$10,MAX(0,W512-X512)+Y512),0)</x:f>
      </x:c>
      <x:c r="AA512" s="32" t="e">
        <x:f>IF(A512&lt;=Dashboard!$F$17,MAX(0,W512-X512-MAX(0,Z512-Y512)),0)</x:f>
      </x:c>
      <x:c r="AB512" s="32" t="e">
        <x:f>IF(A512=1,Y512,AB511+Y512)</x:f>
      </x:c>
      <x:c r="AC512" s="32"/>
      <x:c r="AD512" s="32" t="e">
        <x:f>IF(A512=1,MAX(0,Dashboard!$F$14-$B$8),AG511)</x:f>
      </x:c>
      <x:c r="AE512" s="32" t="n">
        <x:f>0</x:f>
        <x:v>0</x:v>
      </x:c>
      <x:c r="AF512" s="32" t="e">
        <x:f>IF(A512&lt;=Dashboard!$F$17,AD512*Dashboard!$F$6,0)</x:f>
      </x:c>
      <x:c r="AG512" s="32" t="e">
        <x:f>IF(A512&lt;=Dashboard!$F$17,MIN(Dashboard!$F$10,AD512+AF512),0)</x:f>
      </x:c>
      <x:c r="AH512" s="32" t="e">
        <x:f>IF(A512&lt;=Dashboard!$F$17,MAX(0,AD512-MAX(0,AG512-AF512)),0)</x:f>
      </x:c>
      <x:c r="AI512" s="32" t="e">
        <x:f>IF(A512=1,AF512,AI511+AF512)</x:f>
      </x:c>
      <x:c r="AJ512" s="33"/>
      <x:c r="AK512" s="33"/>
      <x:c r="AL512" s="33"/>
      <x:c r="AM512" s="33"/>
    </x:row>
    <x:row r="513">
      <x:c r="A513" s="33" t="n">
        <x:v>501</x:v>
      </x:c>
      <x:c r="B513" s="32" t="e">
        <x:f>IF(A513=1,Dashboard!$F$14,F512)</x:f>
      </x:c>
      <x:c r="C513" s="32" t="n">
        <x:f>0</x:f>
        <x:v>0</x:v>
      </x:c>
      <x:c r="D513" s="32" t="e">
        <x:f>IF(A513&lt;=Dashboard!$F$15,B513*Dashboard!$F$6,0)</x:f>
      </x:c>
      <x:c r="E513" s="32" t="e">
        <x:f>IF(A513&lt;=Dashboard!$F$15,MIN(Dashboard!$F$10,B513+D513),0)</x:f>
      </x:c>
      <x:c r="F513" s="32" t="e">
        <x:f>IF(A513&lt;=Dashboard!$F$15,MAX(0,B513-MAX(0,E513-D513)),0)</x:f>
      </x:c>
      <x:c r="G513" s="32" t="e">
        <x:f>IF(A513=1,D513,G512+D513)</x:f>
      </x:c>
      <x:c r="H513" s="32"/>
      <x:c r="I513" s="32" t="e">
        <x:f>IF(A513=1,Dashboard!$F$14,M512)</x:f>
      </x:c>
      <x:c r="J513" s="32" t="e">
        <x:f>IF(A513&lt;=Dashboard!$F$17,MIN(I513,$B$5),0)</x:f>
      </x:c>
      <x:c r="K513" s="32" t="e">
        <x:f>IF(A513&lt;=Dashboard!$F$17,MAX(0,I513-J513)*Dashboard!$F$6,0)</x:f>
      </x:c>
      <x:c r="L513" s="32" t="e">
        <x:f>IF(A513&lt;=Dashboard!$F$17,MIN(Dashboard!$F$10,MAX(0,I513-J513)+K513),0)</x:f>
      </x:c>
      <x:c r="M513" s="32" t="e">
        <x:f>IF(A513&lt;=Dashboard!$F$17,MAX(0,I513-J513-MAX(0,L513-K513)),0)</x:f>
      </x:c>
      <x:c r="N513" s="32" t="e">
        <x:f>IF(A513=1,K513,N512+K513)</x:f>
      </x:c>
      <x:c r="O513" s="32"/>
      <x:c r="P513" s="32" t="e">
        <x:f>IF(A513=1,Dashboard!$F$14,T512)</x:f>
      </x:c>
      <x:c r="Q513" s="32" t="e">
        <x:f>IF(A513&lt;=Dashboard!$F$17,MIN(P513,$B$6*52/12),0)</x:f>
      </x:c>
      <x:c r="R513" s="32" t="e">
        <x:f>IF(A513&lt;=Dashboard!$F$17,MAX(0,P513-Q513)*Dashboard!$F$6,0)</x:f>
      </x:c>
      <x:c r="S513" s="32" t="e">
        <x:f>IF(A513&lt;=Dashboard!$F$17,MIN(Dashboard!$F$10,MAX(0,P513-Q513)+R513),0)</x:f>
      </x:c>
      <x:c r="T513" s="32" t="e">
        <x:f>IF(A513&lt;=Dashboard!$F$17,MAX(0,P513-Q513-MAX(0,S513-R513)),0)</x:f>
      </x:c>
      <x:c r="U513" s="32" t="e">
        <x:f>IF(A513=1,R513,U512+R513)</x:f>
      </x:c>
      <x:c r="V513" s="32"/>
      <x:c r="W513" s="32" t="e">
        <x:f>IF(A513=1,Dashboard!$F$14,AA512)</x:f>
      </x:c>
      <x:c r="X513" s="32" t="e">
        <x:f>IF(AND(A513&lt;=Dashboard!$F$17,MOD(A513-1,12)=0),MIN(W513,$B$7),0)</x:f>
      </x:c>
      <x:c r="Y513" s="32" t="e">
        <x:f>IF(A513&lt;=Dashboard!$F$17,MAX(0,W513-X513)*Dashboard!$F$6,0)</x:f>
      </x:c>
      <x:c r="Z513" s="32" t="e">
        <x:f>IF(A513&lt;=Dashboard!$F$17,MIN(Dashboard!$F$10,MAX(0,W513-X513)+Y513),0)</x:f>
      </x:c>
      <x:c r="AA513" s="32" t="e">
        <x:f>IF(A513&lt;=Dashboard!$F$17,MAX(0,W513-X513-MAX(0,Z513-Y513)),0)</x:f>
      </x:c>
      <x:c r="AB513" s="32" t="e">
        <x:f>IF(A513=1,Y513,AB512+Y513)</x:f>
      </x:c>
      <x:c r="AC513" s="32"/>
      <x:c r="AD513" s="32" t="e">
        <x:f>IF(A513=1,MAX(0,Dashboard!$F$14-$B$8),AG512)</x:f>
      </x:c>
      <x:c r="AE513" s="32" t="n">
        <x:f>0</x:f>
        <x:v>0</x:v>
      </x:c>
      <x:c r="AF513" s="32" t="e">
        <x:f>IF(A513&lt;=Dashboard!$F$17,AD513*Dashboard!$F$6,0)</x:f>
      </x:c>
      <x:c r="AG513" s="32" t="e">
        <x:f>IF(A513&lt;=Dashboard!$F$17,MIN(Dashboard!$F$10,AD513+AF513),0)</x:f>
      </x:c>
      <x:c r="AH513" s="32" t="e">
        <x:f>IF(A513&lt;=Dashboard!$F$17,MAX(0,AD513-MAX(0,AG513-AF513)),0)</x:f>
      </x:c>
      <x:c r="AI513" s="32" t="e">
        <x:f>IF(A513=1,AF513,AI512+AF513)</x:f>
      </x:c>
      <x:c r="AJ513" s="33"/>
      <x:c r="AK513" s="33"/>
      <x:c r="AL513" s="33"/>
      <x:c r="AM513" s="33"/>
    </x:row>
    <x:row r="514">
      <x:c r="A514" s="33" t="n">
        <x:v>502</x:v>
      </x:c>
      <x:c r="B514" s="32" t="e">
        <x:f>IF(A514=1,Dashboard!$F$14,F513)</x:f>
      </x:c>
      <x:c r="C514" s="32" t="n">
        <x:f>0</x:f>
        <x:v>0</x:v>
      </x:c>
      <x:c r="D514" s="32" t="e">
        <x:f>IF(A514&lt;=Dashboard!$F$15,B514*Dashboard!$F$6,0)</x:f>
      </x:c>
      <x:c r="E514" s="32" t="e">
        <x:f>IF(A514&lt;=Dashboard!$F$15,MIN(Dashboard!$F$10,B514+D514),0)</x:f>
      </x:c>
      <x:c r="F514" s="32" t="e">
        <x:f>IF(A514&lt;=Dashboard!$F$15,MAX(0,B514-MAX(0,E514-D514)),0)</x:f>
      </x:c>
      <x:c r="G514" s="32" t="e">
        <x:f>IF(A514=1,D514,G513+D514)</x:f>
      </x:c>
      <x:c r="H514" s="32"/>
      <x:c r="I514" s="32" t="e">
        <x:f>IF(A514=1,Dashboard!$F$14,M513)</x:f>
      </x:c>
      <x:c r="J514" s="32" t="e">
        <x:f>IF(A514&lt;=Dashboard!$F$17,MIN(I514,$B$5),0)</x:f>
      </x:c>
      <x:c r="K514" s="32" t="e">
        <x:f>IF(A514&lt;=Dashboard!$F$17,MAX(0,I514-J514)*Dashboard!$F$6,0)</x:f>
      </x:c>
      <x:c r="L514" s="32" t="e">
        <x:f>IF(A514&lt;=Dashboard!$F$17,MIN(Dashboard!$F$10,MAX(0,I514-J514)+K514),0)</x:f>
      </x:c>
      <x:c r="M514" s="32" t="e">
        <x:f>IF(A514&lt;=Dashboard!$F$17,MAX(0,I514-J514-MAX(0,L514-K514)),0)</x:f>
      </x:c>
      <x:c r="N514" s="32" t="e">
        <x:f>IF(A514=1,K514,N513+K514)</x:f>
      </x:c>
      <x:c r="O514" s="32"/>
      <x:c r="P514" s="32" t="e">
        <x:f>IF(A514=1,Dashboard!$F$14,T513)</x:f>
      </x:c>
      <x:c r="Q514" s="32" t="e">
        <x:f>IF(A514&lt;=Dashboard!$F$17,MIN(P514,$B$6*52/12),0)</x:f>
      </x:c>
      <x:c r="R514" s="32" t="e">
        <x:f>IF(A514&lt;=Dashboard!$F$17,MAX(0,P514-Q514)*Dashboard!$F$6,0)</x:f>
      </x:c>
      <x:c r="S514" s="32" t="e">
        <x:f>IF(A514&lt;=Dashboard!$F$17,MIN(Dashboard!$F$10,MAX(0,P514-Q514)+R514),0)</x:f>
      </x:c>
      <x:c r="T514" s="32" t="e">
        <x:f>IF(A514&lt;=Dashboard!$F$17,MAX(0,P514-Q514-MAX(0,S514-R514)),0)</x:f>
      </x:c>
      <x:c r="U514" s="32" t="e">
        <x:f>IF(A514=1,R514,U513+R514)</x:f>
      </x:c>
      <x:c r="V514" s="32"/>
      <x:c r="W514" s="32" t="e">
        <x:f>IF(A514=1,Dashboard!$F$14,AA513)</x:f>
      </x:c>
      <x:c r="X514" s="32" t="e">
        <x:f>IF(AND(A514&lt;=Dashboard!$F$17,MOD(A514-1,12)=0),MIN(W514,$B$7),0)</x:f>
      </x:c>
      <x:c r="Y514" s="32" t="e">
        <x:f>IF(A514&lt;=Dashboard!$F$17,MAX(0,W514-X514)*Dashboard!$F$6,0)</x:f>
      </x:c>
      <x:c r="Z514" s="32" t="e">
        <x:f>IF(A514&lt;=Dashboard!$F$17,MIN(Dashboard!$F$10,MAX(0,W514-X514)+Y514),0)</x:f>
      </x:c>
      <x:c r="AA514" s="32" t="e">
        <x:f>IF(A514&lt;=Dashboard!$F$17,MAX(0,W514-X514-MAX(0,Z514-Y514)),0)</x:f>
      </x:c>
      <x:c r="AB514" s="32" t="e">
        <x:f>IF(A514=1,Y514,AB513+Y514)</x:f>
      </x:c>
      <x:c r="AC514" s="32"/>
      <x:c r="AD514" s="32" t="e">
        <x:f>IF(A514=1,MAX(0,Dashboard!$F$14-$B$8),AG513)</x:f>
      </x:c>
      <x:c r="AE514" s="32" t="n">
        <x:f>0</x:f>
        <x:v>0</x:v>
      </x:c>
      <x:c r="AF514" s="32" t="e">
        <x:f>IF(A514&lt;=Dashboard!$F$17,AD514*Dashboard!$F$6,0)</x:f>
      </x:c>
      <x:c r="AG514" s="32" t="e">
        <x:f>IF(A514&lt;=Dashboard!$F$17,MIN(Dashboard!$F$10,AD514+AF514),0)</x:f>
      </x:c>
      <x:c r="AH514" s="32" t="e">
        <x:f>IF(A514&lt;=Dashboard!$F$17,MAX(0,AD514-MAX(0,AG514-AF514)),0)</x:f>
      </x:c>
      <x:c r="AI514" s="32" t="e">
        <x:f>IF(A514=1,AF514,AI513+AF514)</x:f>
      </x:c>
      <x:c r="AJ514" s="33"/>
      <x:c r="AK514" s="33"/>
      <x:c r="AL514" s="33"/>
      <x:c r="AM514" s="33"/>
    </x:row>
    <x:row r="515">
      <x:c r="A515" s="33" t="n">
        <x:v>503</x:v>
      </x:c>
      <x:c r="B515" s="32" t="e">
        <x:f>IF(A515=1,Dashboard!$F$14,F514)</x:f>
      </x:c>
      <x:c r="C515" s="32" t="n">
        <x:f>0</x:f>
        <x:v>0</x:v>
      </x:c>
      <x:c r="D515" s="32" t="e">
        <x:f>IF(A515&lt;=Dashboard!$F$15,B515*Dashboard!$F$6,0)</x:f>
      </x:c>
      <x:c r="E515" s="32" t="e">
        <x:f>IF(A515&lt;=Dashboard!$F$15,MIN(Dashboard!$F$10,B515+D515),0)</x:f>
      </x:c>
      <x:c r="F515" s="32" t="e">
        <x:f>IF(A515&lt;=Dashboard!$F$15,MAX(0,B515-MAX(0,E515-D515)),0)</x:f>
      </x:c>
      <x:c r="G515" s="32" t="e">
        <x:f>IF(A515=1,D515,G514+D515)</x:f>
      </x:c>
      <x:c r="H515" s="32"/>
      <x:c r="I515" s="32" t="e">
        <x:f>IF(A515=1,Dashboard!$F$14,M514)</x:f>
      </x:c>
      <x:c r="J515" s="32" t="e">
        <x:f>IF(A515&lt;=Dashboard!$F$17,MIN(I515,$B$5),0)</x:f>
      </x:c>
      <x:c r="K515" s="32" t="e">
        <x:f>IF(A515&lt;=Dashboard!$F$17,MAX(0,I515-J515)*Dashboard!$F$6,0)</x:f>
      </x:c>
      <x:c r="L515" s="32" t="e">
        <x:f>IF(A515&lt;=Dashboard!$F$17,MIN(Dashboard!$F$10,MAX(0,I515-J515)+K515),0)</x:f>
      </x:c>
      <x:c r="M515" s="32" t="e">
        <x:f>IF(A515&lt;=Dashboard!$F$17,MAX(0,I515-J515-MAX(0,L515-K515)),0)</x:f>
      </x:c>
      <x:c r="N515" s="32" t="e">
        <x:f>IF(A515=1,K515,N514+K515)</x:f>
      </x:c>
      <x:c r="O515" s="32"/>
      <x:c r="P515" s="32" t="e">
        <x:f>IF(A515=1,Dashboard!$F$14,T514)</x:f>
      </x:c>
      <x:c r="Q515" s="32" t="e">
        <x:f>IF(A515&lt;=Dashboard!$F$17,MIN(P515,$B$6*52/12),0)</x:f>
      </x:c>
      <x:c r="R515" s="32" t="e">
        <x:f>IF(A515&lt;=Dashboard!$F$17,MAX(0,P515-Q515)*Dashboard!$F$6,0)</x:f>
      </x:c>
      <x:c r="S515" s="32" t="e">
        <x:f>IF(A515&lt;=Dashboard!$F$17,MIN(Dashboard!$F$10,MAX(0,P515-Q515)+R515),0)</x:f>
      </x:c>
      <x:c r="T515" s="32" t="e">
        <x:f>IF(A515&lt;=Dashboard!$F$17,MAX(0,P515-Q515-MAX(0,S515-R515)),0)</x:f>
      </x:c>
      <x:c r="U515" s="32" t="e">
        <x:f>IF(A515=1,R515,U514+R515)</x:f>
      </x:c>
      <x:c r="V515" s="32"/>
      <x:c r="W515" s="32" t="e">
        <x:f>IF(A515=1,Dashboard!$F$14,AA514)</x:f>
      </x:c>
      <x:c r="X515" s="32" t="e">
        <x:f>IF(AND(A515&lt;=Dashboard!$F$17,MOD(A515-1,12)=0),MIN(W515,$B$7),0)</x:f>
      </x:c>
      <x:c r="Y515" s="32" t="e">
        <x:f>IF(A515&lt;=Dashboard!$F$17,MAX(0,W515-X515)*Dashboard!$F$6,0)</x:f>
      </x:c>
      <x:c r="Z515" s="32" t="e">
        <x:f>IF(A515&lt;=Dashboard!$F$17,MIN(Dashboard!$F$10,MAX(0,W515-X515)+Y515),0)</x:f>
      </x:c>
      <x:c r="AA515" s="32" t="e">
        <x:f>IF(A515&lt;=Dashboard!$F$17,MAX(0,W515-X515-MAX(0,Z515-Y515)),0)</x:f>
      </x:c>
      <x:c r="AB515" s="32" t="e">
        <x:f>IF(A515=1,Y515,AB514+Y515)</x:f>
      </x:c>
      <x:c r="AC515" s="32"/>
      <x:c r="AD515" s="32" t="e">
        <x:f>IF(A515=1,MAX(0,Dashboard!$F$14-$B$8),AG514)</x:f>
      </x:c>
      <x:c r="AE515" s="32" t="n">
        <x:f>0</x:f>
        <x:v>0</x:v>
      </x:c>
      <x:c r="AF515" s="32" t="e">
        <x:f>IF(A515&lt;=Dashboard!$F$17,AD515*Dashboard!$F$6,0)</x:f>
      </x:c>
      <x:c r="AG515" s="32" t="e">
        <x:f>IF(A515&lt;=Dashboard!$F$17,MIN(Dashboard!$F$10,AD515+AF515),0)</x:f>
      </x:c>
      <x:c r="AH515" s="32" t="e">
        <x:f>IF(A515&lt;=Dashboard!$F$17,MAX(0,AD515-MAX(0,AG515-AF515)),0)</x:f>
      </x:c>
      <x:c r="AI515" s="32" t="e">
        <x:f>IF(A515=1,AF515,AI514+AF515)</x:f>
      </x:c>
      <x:c r="AJ515" s="33"/>
      <x:c r="AK515" s="33"/>
      <x:c r="AL515" s="33"/>
      <x:c r="AM515" s="33"/>
    </x:row>
    <x:row r="516">
      <x:c r="A516" s="33" t="n">
        <x:v>504</x:v>
      </x:c>
      <x:c r="B516" s="32" t="e">
        <x:f>IF(A516=1,Dashboard!$F$14,F515)</x:f>
      </x:c>
      <x:c r="C516" s="32" t="n">
        <x:f>0</x:f>
        <x:v>0</x:v>
      </x:c>
      <x:c r="D516" s="32" t="e">
        <x:f>IF(A516&lt;=Dashboard!$F$15,B516*Dashboard!$F$6,0)</x:f>
      </x:c>
      <x:c r="E516" s="32" t="e">
        <x:f>IF(A516&lt;=Dashboard!$F$15,MIN(Dashboard!$F$10,B516+D516),0)</x:f>
      </x:c>
      <x:c r="F516" s="32" t="e">
        <x:f>IF(A516&lt;=Dashboard!$F$15,MAX(0,B516-MAX(0,E516-D516)),0)</x:f>
      </x:c>
      <x:c r="G516" s="32" t="e">
        <x:f>IF(A516=1,D516,G515+D516)</x:f>
      </x:c>
      <x:c r="H516" s="32"/>
      <x:c r="I516" s="32" t="e">
        <x:f>IF(A516=1,Dashboard!$F$14,M515)</x:f>
      </x:c>
      <x:c r="J516" s="32" t="e">
        <x:f>IF(A516&lt;=Dashboard!$F$17,MIN(I516,$B$5),0)</x:f>
      </x:c>
      <x:c r="K516" s="32" t="e">
        <x:f>IF(A516&lt;=Dashboard!$F$17,MAX(0,I516-J516)*Dashboard!$F$6,0)</x:f>
      </x:c>
      <x:c r="L516" s="32" t="e">
        <x:f>IF(A516&lt;=Dashboard!$F$17,MIN(Dashboard!$F$10,MAX(0,I516-J516)+K516),0)</x:f>
      </x:c>
      <x:c r="M516" s="32" t="e">
        <x:f>IF(A516&lt;=Dashboard!$F$17,MAX(0,I516-J516-MAX(0,L516-K516)),0)</x:f>
      </x:c>
      <x:c r="N516" s="32" t="e">
        <x:f>IF(A516=1,K516,N515+K516)</x:f>
      </x:c>
      <x:c r="O516" s="32"/>
      <x:c r="P516" s="32" t="e">
        <x:f>IF(A516=1,Dashboard!$F$14,T515)</x:f>
      </x:c>
      <x:c r="Q516" s="32" t="e">
        <x:f>IF(A516&lt;=Dashboard!$F$17,MIN(P516,$B$6*52/12),0)</x:f>
      </x:c>
      <x:c r="R516" s="32" t="e">
        <x:f>IF(A516&lt;=Dashboard!$F$17,MAX(0,P516-Q516)*Dashboard!$F$6,0)</x:f>
      </x:c>
      <x:c r="S516" s="32" t="e">
        <x:f>IF(A516&lt;=Dashboard!$F$17,MIN(Dashboard!$F$10,MAX(0,P516-Q516)+R516),0)</x:f>
      </x:c>
      <x:c r="T516" s="32" t="e">
        <x:f>IF(A516&lt;=Dashboard!$F$17,MAX(0,P516-Q516-MAX(0,S516-R516)),0)</x:f>
      </x:c>
      <x:c r="U516" s="32" t="e">
        <x:f>IF(A516=1,R516,U515+R516)</x:f>
      </x:c>
      <x:c r="V516" s="32"/>
      <x:c r="W516" s="32" t="e">
        <x:f>IF(A516=1,Dashboard!$F$14,AA515)</x:f>
      </x:c>
      <x:c r="X516" s="32" t="e">
        <x:f>IF(AND(A516&lt;=Dashboard!$F$17,MOD(A516-1,12)=0),MIN(W516,$B$7),0)</x:f>
      </x:c>
      <x:c r="Y516" s="32" t="e">
        <x:f>IF(A516&lt;=Dashboard!$F$17,MAX(0,W516-X516)*Dashboard!$F$6,0)</x:f>
      </x:c>
      <x:c r="Z516" s="32" t="e">
        <x:f>IF(A516&lt;=Dashboard!$F$17,MIN(Dashboard!$F$10,MAX(0,W516-X516)+Y516),0)</x:f>
      </x:c>
      <x:c r="AA516" s="32" t="e">
        <x:f>IF(A516&lt;=Dashboard!$F$17,MAX(0,W516-X516-MAX(0,Z516-Y516)),0)</x:f>
      </x:c>
      <x:c r="AB516" s="32" t="e">
        <x:f>IF(A516=1,Y516,AB515+Y516)</x:f>
      </x:c>
      <x:c r="AC516" s="32"/>
      <x:c r="AD516" s="32" t="e">
        <x:f>IF(A516=1,MAX(0,Dashboard!$F$14-$B$8),AG515)</x:f>
      </x:c>
      <x:c r="AE516" s="32" t="n">
        <x:f>0</x:f>
        <x:v>0</x:v>
      </x:c>
      <x:c r="AF516" s="32" t="e">
        <x:f>IF(A516&lt;=Dashboard!$F$17,AD516*Dashboard!$F$6,0)</x:f>
      </x:c>
      <x:c r="AG516" s="32" t="e">
        <x:f>IF(A516&lt;=Dashboard!$F$17,MIN(Dashboard!$F$10,AD516+AF516),0)</x:f>
      </x:c>
      <x:c r="AH516" s="32" t="e">
        <x:f>IF(A516&lt;=Dashboard!$F$17,MAX(0,AD516-MAX(0,AG516-AF516)),0)</x:f>
      </x:c>
      <x:c r="AI516" s="32" t="e">
        <x:f>IF(A516=1,AF516,AI515+AF516)</x:f>
      </x:c>
      <x:c r="AJ516" s="33"/>
      <x:c r="AK516" s="33"/>
      <x:c r="AL516" s="33"/>
      <x:c r="AM516" s="33"/>
    </x:row>
    <x:row r="517">
      <x:c r="A517" s="33" t="n">
        <x:v>505</x:v>
      </x:c>
      <x:c r="B517" s="32" t="e">
        <x:f>IF(A517=1,Dashboard!$F$14,F516)</x:f>
      </x:c>
      <x:c r="C517" s="32" t="n">
        <x:f>0</x:f>
        <x:v>0</x:v>
      </x:c>
      <x:c r="D517" s="32" t="e">
        <x:f>IF(A517&lt;=Dashboard!$F$15,B517*Dashboard!$F$6,0)</x:f>
      </x:c>
      <x:c r="E517" s="32" t="e">
        <x:f>IF(A517&lt;=Dashboard!$F$15,MIN(Dashboard!$F$10,B517+D517),0)</x:f>
      </x:c>
      <x:c r="F517" s="32" t="e">
        <x:f>IF(A517&lt;=Dashboard!$F$15,MAX(0,B517-MAX(0,E517-D517)),0)</x:f>
      </x:c>
      <x:c r="G517" s="32" t="e">
        <x:f>IF(A517=1,D517,G516+D517)</x:f>
      </x:c>
      <x:c r="H517" s="32"/>
      <x:c r="I517" s="32" t="e">
        <x:f>IF(A517=1,Dashboard!$F$14,M516)</x:f>
      </x:c>
      <x:c r="J517" s="32" t="e">
        <x:f>IF(A517&lt;=Dashboard!$F$17,MIN(I517,$B$5),0)</x:f>
      </x:c>
      <x:c r="K517" s="32" t="e">
        <x:f>IF(A517&lt;=Dashboard!$F$17,MAX(0,I517-J517)*Dashboard!$F$6,0)</x:f>
      </x:c>
      <x:c r="L517" s="32" t="e">
        <x:f>IF(A517&lt;=Dashboard!$F$17,MIN(Dashboard!$F$10,MAX(0,I517-J517)+K517),0)</x:f>
      </x:c>
      <x:c r="M517" s="32" t="e">
        <x:f>IF(A517&lt;=Dashboard!$F$17,MAX(0,I517-J517-MAX(0,L517-K517)),0)</x:f>
      </x:c>
      <x:c r="N517" s="32" t="e">
        <x:f>IF(A517=1,K517,N516+K517)</x:f>
      </x:c>
      <x:c r="O517" s="32"/>
      <x:c r="P517" s="32" t="e">
        <x:f>IF(A517=1,Dashboard!$F$14,T516)</x:f>
      </x:c>
      <x:c r="Q517" s="32" t="e">
        <x:f>IF(A517&lt;=Dashboard!$F$17,MIN(P517,$B$6*52/12),0)</x:f>
      </x:c>
      <x:c r="R517" s="32" t="e">
        <x:f>IF(A517&lt;=Dashboard!$F$17,MAX(0,P517-Q517)*Dashboard!$F$6,0)</x:f>
      </x:c>
      <x:c r="S517" s="32" t="e">
        <x:f>IF(A517&lt;=Dashboard!$F$17,MIN(Dashboard!$F$10,MAX(0,P517-Q517)+R517),0)</x:f>
      </x:c>
      <x:c r="T517" s="32" t="e">
        <x:f>IF(A517&lt;=Dashboard!$F$17,MAX(0,P517-Q517-MAX(0,S517-R517)),0)</x:f>
      </x:c>
      <x:c r="U517" s="32" t="e">
        <x:f>IF(A517=1,R517,U516+R517)</x:f>
      </x:c>
      <x:c r="V517" s="32"/>
      <x:c r="W517" s="32" t="e">
        <x:f>IF(A517=1,Dashboard!$F$14,AA516)</x:f>
      </x:c>
      <x:c r="X517" s="32" t="e">
        <x:f>IF(AND(A517&lt;=Dashboard!$F$17,MOD(A517-1,12)=0),MIN(W517,$B$7),0)</x:f>
      </x:c>
      <x:c r="Y517" s="32" t="e">
        <x:f>IF(A517&lt;=Dashboard!$F$17,MAX(0,W517-X517)*Dashboard!$F$6,0)</x:f>
      </x:c>
      <x:c r="Z517" s="32" t="e">
        <x:f>IF(A517&lt;=Dashboard!$F$17,MIN(Dashboard!$F$10,MAX(0,W517-X517)+Y517),0)</x:f>
      </x:c>
      <x:c r="AA517" s="32" t="e">
        <x:f>IF(A517&lt;=Dashboard!$F$17,MAX(0,W517-X517-MAX(0,Z517-Y517)),0)</x:f>
      </x:c>
      <x:c r="AB517" s="32" t="e">
        <x:f>IF(A517=1,Y517,AB516+Y517)</x:f>
      </x:c>
      <x:c r="AC517" s="32"/>
      <x:c r="AD517" s="32" t="e">
        <x:f>IF(A517=1,MAX(0,Dashboard!$F$14-$B$8),AG516)</x:f>
      </x:c>
      <x:c r="AE517" s="32" t="n">
        <x:f>0</x:f>
        <x:v>0</x:v>
      </x:c>
      <x:c r="AF517" s="32" t="e">
        <x:f>IF(A517&lt;=Dashboard!$F$17,AD517*Dashboard!$F$6,0)</x:f>
      </x:c>
      <x:c r="AG517" s="32" t="e">
        <x:f>IF(A517&lt;=Dashboard!$F$17,MIN(Dashboard!$F$10,AD517+AF517),0)</x:f>
      </x:c>
      <x:c r="AH517" s="32" t="e">
        <x:f>IF(A517&lt;=Dashboard!$F$17,MAX(0,AD517-MAX(0,AG517-AF517)),0)</x:f>
      </x:c>
      <x:c r="AI517" s="32" t="e">
        <x:f>IF(A517=1,AF517,AI516+AF517)</x:f>
      </x:c>
      <x:c r="AJ517" s="33"/>
      <x:c r="AK517" s="33"/>
      <x:c r="AL517" s="33"/>
      <x:c r="AM517" s="33"/>
    </x:row>
    <x:row r="518">
      <x:c r="A518" s="33" t="n">
        <x:v>506</x:v>
      </x:c>
      <x:c r="B518" s="32" t="e">
        <x:f>IF(A518=1,Dashboard!$F$14,F517)</x:f>
      </x:c>
      <x:c r="C518" s="32" t="n">
        <x:f>0</x:f>
        <x:v>0</x:v>
      </x:c>
      <x:c r="D518" s="32" t="e">
        <x:f>IF(A518&lt;=Dashboard!$F$15,B518*Dashboard!$F$6,0)</x:f>
      </x:c>
      <x:c r="E518" s="32" t="e">
        <x:f>IF(A518&lt;=Dashboard!$F$15,MIN(Dashboard!$F$10,B518+D518),0)</x:f>
      </x:c>
      <x:c r="F518" s="32" t="e">
        <x:f>IF(A518&lt;=Dashboard!$F$15,MAX(0,B518-MAX(0,E518-D518)),0)</x:f>
      </x:c>
      <x:c r="G518" s="32" t="e">
        <x:f>IF(A518=1,D518,G517+D518)</x:f>
      </x:c>
      <x:c r="H518" s="32"/>
      <x:c r="I518" s="32" t="e">
        <x:f>IF(A518=1,Dashboard!$F$14,M517)</x:f>
      </x:c>
      <x:c r="J518" s="32" t="e">
        <x:f>IF(A518&lt;=Dashboard!$F$17,MIN(I518,$B$5),0)</x:f>
      </x:c>
      <x:c r="K518" s="32" t="e">
        <x:f>IF(A518&lt;=Dashboard!$F$17,MAX(0,I518-J518)*Dashboard!$F$6,0)</x:f>
      </x:c>
      <x:c r="L518" s="32" t="e">
        <x:f>IF(A518&lt;=Dashboard!$F$17,MIN(Dashboard!$F$10,MAX(0,I518-J518)+K518),0)</x:f>
      </x:c>
      <x:c r="M518" s="32" t="e">
        <x:f>IF(A518&lt;=Dashboard!$F$17,MAX(0,I518-J518-MAX(0,L518-K518)),0)</x:f>
      </x:c>
      <x:c r="N518" s="32" t="e">
        <x:f>IF(A518=1,K518,N517+K518)</x:f>
      </x:c>
      <x:c r="O518" s="32"/>
      <x:c r="P518" s="32" t="e">
        <x:f>IF(A518=1,Dashboard!$F$14,T517)</x:f>
      </x:c>
      <x:c r="Q518" s="32" t="e">
        <x:f>IF(A518&lt;=Dashboard!$F$17,MIN(P518,$B$6*52/12),0)</x:f>
      </x:c>
      <x:c r="R518" s="32" t="e">
        <x:f>IF(A518&lt;=Dashboard!$F$17,MAX(0,P518-Q518)*Dashboard!$F$6,0)</x:f>
      </x:c>
      <x:c r="S518" s="32" t="e">
        <x:f>IF(A518&lt;=Dashboard!$F$17,MIN(Dashboard!$F$10,MAX(0,P518-Q518)+R518),0)</x:f>
      </x:c>
      <x:c r="T518" s="32" t="e">
        <x:f>IF(A518&lt;=Dashboard!$F$17,MAX(0,P518-Q518-MAX(0,S518-R518)),0)</x:f>
      </x:c>
      <x:c r="U518" s="32" t="e">
        <x:f>IF(A518=1,R518,U517+R518)</x:f>
      </x:c>
      <x:c r="V518" s="32"/>
      <x:c r="W518" s="32" t="e">
        <x:f>IF(A518=1,Dashboard!$F$14,AA517)</x:f>
      </x:c>
      <x:c r="X518" s="32" t="e">
        <x:f>IF(AND(A518&lt;=Dashboard!$F$17,MOD(A518-1,12)=0),MIN(W518,$B$7),0)</x:f>
      </x:c>
      <x:c r="Y518" s="32" t="e">
        <x:f>IF(A518&lt;=Dashboard!$F$17,MAX(0,W518-X518)*Dashboard!$F$6,0)</x:f>
      </x:c>
      <x:c r="Z518" s="32" t="e">
        <x:f>IF(A518&lt;=Dashboard!$F$17,MIN(Dashboard!$F$10,MAX(0,W518-X518)+Y518),0)</x:f>
      </x:c>
      <x:c r="AA518" s="32" t="e">
        <x:f>IF(A518&lt;=Dashboard!$F$17,MAX(0,W518-X518-MAX(0,Z518-Y518)),0)</x:f>
      </x:c>
      <x:c r="AB518" s="32" t="e">
        <x:f>IF(A518=1,Y518,AB517+Y518)</x:f>
      </x:c>
      <x:c r="AC518" s="32"/>
      <x:c r="AD518" s="32" t="e">
        <x:f>IF(A518=1,MAX(0,Dashboard!$F$14-$B$8),AG517)</x:f>
      </x:c>
      <x:c r="AE518" s="32" t="n">
        <x:f>0</x:f>
        <x:v>0</x:v>
      </x:c>
      <x:c r="AF518" s="32" t="e">
        <x:f>IF(A518&lt;=Dashboard!$F$17,AD518*Dashboard!$F$6,0)</x:f>
      </x:c>
      <x:c r="AG518" s="32" t="e">
        <x:f>IF(A518&lt;=Dashboard!$F$17,MIN(Dashboard!$F$10,AD518+AF518),0)</x:f>
      </x:c>
      <x:c r="AH518" s="32" t="e">
        <x:f>IF(A518&lt;=Dashboard!$F$17,MAX(0,AD518-MAX(0,AG518-AF518)),0)</x:f>
      </x:c>
      <x:c r="AI518" s="32" t="e">
        <x:f>IF(A518=1,AF518,AI517+AF518)</x:f>
      </x:c>
      <x:c r="AJ518" s="33"/>
      <x:c r="AK518" s="33"/>
      <x:c r="AL518" s="33"/>
      <x:c r="AM518" s="33"/>
    </x:row>
    <x:row r="519">
      <x:c r="A519" s="33" t="n">
        <x:v>507</x:v>
      </x:c>
      <x:c r="B519" s="32" t="e">
        <x:f>IF(A519=1,Dashboard!$F$14,F518)</x:f>
      </x:c>
      <x:c r="C519" s="32" t="n">
        <x:f>0</x:f>
        <x:v>0</x:v>
      </x:c>
      <x:c r="D519" s="32" t="e">
        <x:f>IF(A519&lt;=Dashboard!$F$15,B519*Dashboard!$F$6,0)</x:f>
      </x:c>
      <x:c r="E519" s="32" t="e">
        <x:f>IF(A519&lt;=Dashboard!$F$15,MIN(Dashboard!$F$10,B519+D519),0)</x:f>
      </x:c>
      <x:c r="F519" s="32" t="e">
        <x:f>IF(A519&lt;=Dashboard!$F$15,MAX(0,B519-MAX(0,E519-D519)),0)</x:f>
      </x:c>
      <x:c r="G519" s="32" t="e">
        <x:f>IF(A519=1,D519,G518+D519)</x:f>
      </x:c>
      <x:c r="H519" s="32"/>
      <x:c r="I519" s="32" t="e">
        <x:f>IF(A519=1,Dashboard!$F$14,M518)</x:f>
      </x:c>
      <x:c r="J519" s="32" t="e">
        <x:f>IF(A519&lt;=Dashboard!$F$17,MIN(I519,$B$5),0)</x:f>
      </x:c>
      <x:c r="K519" s="32" t="e">
        <x:f>IF(A519&lt;=Dashboard!$F$17,MAX(0,I519-J519)*Dashboard!$F$6,0)</x:f>
      </x:c>
      <x:c r="L519" s="32" t="e">
        <x:f>IF(A519&lt;=Dashboard!$F$17,MIN(Dashboard!$F$10,MAX(0,I519-J519)+K519),0)</x:f>
      </x:c>
      <x:c r="M519" s="32" t="e">
        <x:f>IF(A519&lt;=Dashboard!$F$17,MAX(0,I519-J519-MAX(0,L519-K519)),0)</x:f>
      </x:c>
      <x:c r="N519" s="32" t="e">
        <x:f>IF(A519=1,K519,N518+K519)</x:f>
      </x:c>
      <x:c r="O519" s="32"/>
      <x:c r="P519" s="32" t="e">
        <x:f>IF(A519=1,Dashboard!$F$14,T518)</x:f>
      </x:c>
      <x:c r="Q519" s="32" t="e">
        <x:f>IF(A519&lt;=Dashboard!$F$17,MIN(P519,$B$6*52/12),0)</x:f>
      </x:c>
      <x:c r="R519" s="32" t="e">
        <x:f>IF(A519&lt;=Dashboard!$F$17,MAX(0,P519-Q519)*Dashboard!$F$6,0)</x:f>
      </x:c>
      <x:c r="S519" s="32" t="e">
        <x:f>IF(A519&lt;=Dashboard!$F$17,MIN(Dashboard!$F$10,MAX(0,P519-Q519)+R519),0)</x:f>
      </x:c>
      <x:c r="T519" s="32" t="e">
        <x:f>IF(A519&lt;=Dashboard!$F$17,MAX(0,P519-Q519-MAX(0,S519-R519)),0)</x:f>
      </x:c>
      <x:c r="U519" s="32" t="e">
        <x:f>IF(A519=1,R519,U518+R519)</x:f>
      </x:c>
      <x:c r="V519" s="32"/>
      <x:c r="W519" s="32" t="e">
        <x:f>IF(A519=1,Dashboard!$F$14,AA518)</x:f>
      </x:c>
      <x:c r="X519" s="32" t="e">
        <x:f>IF(AND(A519&lt;=Dashboard!$F$17,MOD(A519-1,12)=0),MIN(W519,$B$7),0)</x:f>
      </x:c>
      <x:c r="Y519" s="32" t="e">
        <x:f>IF(A519&lt;=Dashboard!$F$17,MAX(0,W519-X519)*Dashboard!$F$6,0)</x:f>
      </x:c>
      <x:c r="Z519" s="32" t="e">
        <x:f>IF(A519&lt;=Dashboard!$F$17,MIN(Dashboard!$F$10,MAX(0,W519-X519)+Y519),0)</x:f>
      </x:c>
      <x:c r="AA519" s="32" t="e">
        <x:f>IF(A519&lt;=Dashboard!$F$17,MAX(0,W519-X519-MAX(0,Z519-Y519)),0)</x:f>
      </x:c>
      <x:c r="AB519" s="32" t="e">
        <x:f>IF(A519=1,Y519,AB518+Y519)</x:f>
      </x:c>
      <x:c r="AC519" s="32"/>
      <x:c r="AD519" s="32" t="e">
        <x:f>IF(A519=1,MAX(0,Dashboard!$F$14-$B$8),AG518)</x:f>
      </x:c>
      <x:c r="AE519" s="32" t="n">
        <x:f>0</x:f>
        <x:v>0</x:v>
      </x:c>
      <x:c r="AF519" s="32" t="e">
        <x:f>IF(A519&lt;=Dashboard!$F$17,AD519*Dashboard!$F$6,0)</x:f>
      </x:c>
      <x:c r="AG519" s="32" t="e">
        <x:f>IF(A519&lt;=Dashboard!$F$17,MIN(Dashboard!$F$10,AD519+AF519),0)</x:f>
      </x:c>
      <x:c r="AH519" s="32" t="e">
        <x:f>IF(A519&lt;=Dashboard!$F$17,MAX(0,AD519-MAX(0,AG519-AF519)),0)</x:f>
      </x:c>
      <x:c r="AI519" s="32" t="e">
        <x:f>IF(A519=1,AF519,AI518+AF519)</x:f>
      </x:c>
      <x:c r="AJ519" s="33"/>
      <x:c r="AK519" s="33"/>
      <x:c r="AL519" s="33"/>
      <x:c r="AM519" s="33"/>
    </x:row>
    <x:row r="520">
      <x:c r="A520" s="33" t="n">
        <x:v>508</x:v>
      </x:c>
      <x:c r="B520" s="32" t="e">
        <x:f>IF(A520=1,Dashboard!$F$14,F519)</x:f>
      </x:c>
      <x:c r="C520" s="32" t="n">
        <x:f>0</x:f>
        <x:v>0</x:v>
      </x:c>
      <x:c r="D520" s="32" t="e">
        <x:f>IF(A520&lt;=Dashboard!$F$15,B520*Dashboard!$F$6,0)</x:f>
      </x:c>
      <x:c r="E520" s="32" t="e">
        <x:f>IF(A520&lt;=Dashboard!$F$15,MIN(Dashboard!$F$10,B520+D520),0)</x:f>
      </x:c>
      <x:c r="F520" s="32" t="e">
        <x:f>IF(A520&lt;=Dashboard!$F$15,MAX(0,B520-MAX(0,E520-D520)),0)</x:f>
      </x:c>
      <x:c r="G520" s="32" t="e">
        <x:f>IF(A520=1,D520,G519+D520)</x:f>
      </x:c>
      <x:c r="H520" s="32"/>
      <x:c r="I520" s="32" t="e">
        <x:f>IF(A520=1,Dashboard!$F$14,M519)</x:f>
      </x:c>
      <x:c r="J520" s="32" t="e">
        <x:f>IF(A520&lt;=Dashboard!$F$17,MIN(I520,$B$5),0)</x:f>
      </x:c>
      <x:c r="K520" s="32" t="e">
        <x:f>IF(A520&lt;=Dashboard!$F$17,MAX(0,I520-J520)*Dashboard!$F$6,0)</x:f>
      </x:c>
      <x:c r="L520" s="32" t="e">
        <x:f>IF(A520&lt;=Dashboard!$F$17,MIN(Dashboard!$F$10,MAX(0,I520-J520)+K520),0)</x:f>
      </x:c>
      <x:c r="M520" s="32" t="e">
        <x:f>IF(A520&lt;=Dashboard!$F$17,MAX(0,I520-J520-MAX(0,L520-K520)),0)</x:f>
      </x:c>
      <x:c r="N520" s="32" t="e">
        <x:f>IF(A520=1,K520,N519+K520)</x:f>
      </x:c>
      <x:c r="O520" s="32"/>
      <x:c r="P520" s="32" t="e">
        <x:f>IF(A520=1,Dashboard!$F$14,T519)</x:f>
      </x:c>
      <x:c r="Q520" s="32" t="e">
        <x:f>IF(A520&lt;=Dashboard!$F$17,MIN(P520,$B$6*52/12),0)</x:f>
      </x:c>
      <x:c r="R520" s="32" t="e">
        <x:f>IF(A520&lt;=Dashboard!$F$17,MAX(0,P520-Q520)*Dashboard!$F$6,0)</x:f>
      </x:c>
      <x:c r="S520" s="32" t="e">
        <x:f>IF(A520&lt;=Dashboard!$F$17,MIN(Dashboard!$F$10,MAX(0,P520-Q520)+R520),0)</x:f>
      </x:c>
      <x:c r="T520" s="32" t="e">
        <x:f>IF(A520&lt;=Dashboard!$F$17,MAX(0,P520-Q520-MAX(0,S520-R520)),0)</x:f>
      </x:c>
      <x:c r="U520" s="32" t="e">
        <x:f>IF(A520=1,R520,U519+R520)</x:f>
      </x:c>
      <x:c r="V520" s="32"/>
      <x:c r="W520" s="32" t="e">
        <x:f>IF(A520=1,Dashboard!$F$14,AA519)</x:f>
      </x:c>
      <x:c r="X520" s="32" t="e">
        <x:f>IF(AND(A520&lt;=Dashboard!$F$17,MOD(A520-1,12)=0),MIN(W520,$B$7),0)</x:f>
      </x:c>
      <x:c r="Y520" s="32" t="e">
        <x:f>IF(A520&lt;=Dashboard!$F$17,MAX(0,W520-X520)*Dashboard!$F$6,0)</x:f>
      </x:c>
      <x:c r="Z520" s="32" t="e">
        <x:f>IF(A520&lt;=Dashboard!$F$17,MIN(Dashboard!$F$10,MAX(0,W520-X520)+Y520),0)</x:f>
      </x:c>
      <x:c r="AA520" s="32" t="e">
        <x:f>IF(A520&lt;=Dashboard!$F$17,MAX(0,W520-X520-MAX(0,Z520-Y520)),0)</x:f>
      </x:c>
      <x:c r="AB520" s="32" t="e">
        <x:f>IF(A520=1,Y520,AB519+Y520)</x:f>
      </x:c>
      <x:c r="AC520" s="32"/>
      <x:c r="AD520" s="32" t="e">
        <x:f>IF(A520=1,MAX(0,Dashboard!$F$14-$B$8),AG519)</x:f>
      </x:c>
      <x:c r="AE520" s="32" t="n">
        <x:f>0</x:f>
        <x:v>0</x:v>
      </x:c>
      <x:c r="AF520" s="32" t="e">
        <x:f>IF(A520&lt;=Dashboard!$F$17,AD520*Dashboard!$F$6,0)</x:f>
      </x:c>
      <x:c r="AG520" s="32" t="e">
        <x:f>IF(A520&lt;=Dashboard!$F$17,MIN(Dashboard!$F$10,AD520+AF520),0)</x:f>
      </x:c>
      <x:c r="AH520" s="32" t="e">
        <x:f>IF(A520&lt;=Dashboard!$F$17,MAX(0,AD520-MAX(0,AG520-AF520)),0)</x:f>
      </x:c>
      <x:c r="AI520" s="32" t="e">
        <x:f>IF(A520=1,AF520,AI519+AF520)</x:f>
      </x:c>
      <x:c r="AJ520" s="33"/>
      <x:c r="AK520" s="33"/>
      <x:c r="AL520" s="33"/>
      <x:c r="AM520" s="33"/>
    </x:row>
    <x:row r="521">
      <x:c r="A521" s="33" t="n">
        <x:v>509</x:v>
      </x:c>
      <x:c r="B521" s="32" t="e">
        <x:f>IF(A521=1,Dashboard!$F$14,F520)</x:f>
      </x:c>
      <x:c r="C521" s="32" t="n">
        <x:f>0</x:f>
        <x:v>0</x:v>
      </x:c>
      <x:c r="D521" s="32" t="e">
        <x:f>IF(A521&lt;=Dashboard!$F$15,B521*Dashboard!$F$6,0)</x:f>
      </x:c>
      <x:c r="E521" s="32" t="e">
        <x:f>IF(A521&lt;=Dashboard!$F$15,MIN(Dashboard!$F$10,B521+D521),0)</x:f>
      </x:c>
      <x:c r="F521" s="32" t="e">
        <x:f>IF(A521&lt;=Dashboard!$F$15,MAX(0,B521-MAX(0,E521-D521)),0)</x:f>
      </x:c>
      <x:c r="G521" s="32" t="e">
        <x:f>IF(A521=1,D521,G520+D521)</x:f>
      </x:c>
      <x:c r="H521" s="32"/>
      <x:c r="I521" s="32" t="e">
        <x:f>IF(A521=1,Dashboard!$F$14,M520)</x:f>
      </x:c>
      <x:c r="J521" s="32" t="e">
        <x:f>IF(A521&lt;=Dashboard!$F$17,MIN(I521,$B$5),0)</x:f>
      </x:c>
      <x:c r="K521" s="32" t="e">
        <x:f>IF(A521&lt;=Dashboard!$F$17,MAX(0,I521-J521)*Dashboard!$F$6,0)</x:f>
      </x:c>
      <x:c r="L521" s="32" t="e">
        <x:f>IF(A521&lt;=Dashboard!$F$17,MIN(Dashboard!$F$10,MAX(0,I521-J521)+K521),0)</x:f>
      </x:c>
      <x:c r="M521" s="32" t="e">
        <x:f>IF(A521&lt;=Dashboard!$F$17,MAX(0,I521-J521-MAX(0,L521-K521)),0)</x:f>
      </x:c>
      <x:c r="N521" s="32" t="e">
        <x:f>IF(A521=1,K521,N520+K521)</x:f>
      </x:c>
      <x:c r="O521" s="32"/>
      <x:c r="P521" s="32" t="e">
        <x:f>IF(A521=1,Dashboard!$F$14,T520)</x:f>
      </x:c>
      <x:c r="Q521" s="32" t="e">
        <x:f>IF(A521&lt;=Dashboard!$F$17,MIN(P521,$B$6*52/12),0)</x:f>
      </x:c>
      <x:c r="R521" s="32" t="e">
        <x:f>IF(A521&lt;=Dashboard!$F$17,MAX(0,P521-Q521)*Dashboard!$F$6,0)</x:f>
      </x:c>
      <x:c r="S521" s="32" t="e">
        <x:f>IF(A521&lt;=Dashboard!$F$17,MIN(Dashboard!$F$10,MAX(0,P521-Q521)+R521),0)</x:f>
      </x:c>
      <x:c r="T521" s="32" t="e">
        <x:f>IF(A521&lt;=Dashboard!$F$17,MAX(0,P521-Q521-MAX(0,S521-R521)),0)</x:f>
      </x:c>
      <x:c r="U521" s="32" t="e">
        <x:f>IF(A521=1,R521,U520+R521)</x:f>
      </x:c>
      <x:c r="V521" s="32"/>
      <x:c r="W521" s="32" t="e">
        <x:f>IF(A521=1,Dashboard!$F$14,AA520)</x:f>
      </x:c>
      <x:c r="X521" s="32" t="e">
        <x:f>IF(AND(A521&lt;=Dashboard!$F$17,MOD(A521-1,12)=0),MIN(W521,$B$7),0)</x:f>
      </x:c>
      <x:c r="Y521" s="32" t="e">
        <x:f>IF(A521&lt;=Dashboard!$F$17,MAX(0,W521-X521)*Dashboard!$F$6,0)</x:f>
      </x:c>
      <x:c r="Z521" s="32" t="e">
        <x:f>IF(A521&lt;=Dashboard!$F$17,MIN(Dashboard!$F$10,MAX(0,W521-X521)+Y521),0)</x:f>
      </x:c>
      <x:c r="AA521" s="32" t="e">
        <x:f>IF(A521&lt;=Dashboard!$F$17,MAX(0,W521-X521-MAX(0,Z521-Y521)),0)</x:f>
      </x:c>
      <x:c r="AB521" s="32" t="e">
        <x:f>IF(A521=1,Y521,AB520+Y521)</x:f>
      </x:c>
      <x:c r="AC521" s="32"/>
      <x:c r="AD521" s="32" t="e">
        <x:f>IF(A521=1,MAX(0,Dashboard!$F$14-$B$8),AG520)</x:f>
      </x:c>
      <x:c r="AE521" s="32" t="n">
        <x:f>0</x:f>
        <x:v>0</x:v>
      </x:c>
      <x:c r="AF521" s="32" t="e">
        <x:f>IF(A521&lt;=Dashboard!$F$17,AD521*Dashboard!$F$6,0)</x:f>
      </x:c>
      <x:c r="AG521" s="32" t="e">
        <x:f>IF(A521&lt;=Dashboard!$F$17,MIN(Dashboard!$F$10,AD521+AF521),0)</x:f>
      </x:c>
      <x:c r="AH521" s="32" t="e">
        <x:f>IF(A521&lt;=Dashboard!$F$17,MAX(0,AD521-MAX(0,AG521-AF521)),0)</x:f>
      </x:c>
      <x:c r="AI521" s="32" t="e">
        <x:f>IF(A521=1,AF521,AI520+AF521)</x:f>
      </x:c>
      <x:c r="AJ521" s="33"/>
      <x:c r="AK521" s="33"/>
      <x:c r="AL521" s="33"/>
      <x:c r="AM521" s="33"/>
    </x:row>
    <x:row r="522">
      <x:c r="A522" s="33" t="n">
        <x:v>510</x:v>
      </x:c>
      <x:c r="B522" s="32" t="e">
        <x:f>IF(A522=1,Dashboard!$F$14,F521)</x:f>
      </x:c>
      <x:c r="C522" s="32" t="n">
        <x:f>0</x:f>
        <x:v>0</x:v>
      </x:c>
      <x:c r="D522" s="32" t="e">
        <x:f>IF(A522&lt;=Dashboard!$F$15,B522*Dashboard!$F$6,0)</x:f>
      </x:c>
      <x:c r="E522" s="32" t="e">
        <x:f>IF(A522&lt;=Dashboard!$F$15,MIN(Dashboard!$F$10,B522+D522),0)</x:f>
      </x:c>
      <x:c r="F522" s="32" t="e">
        <x:f>IF(A522&lt;=Dashboard!$F$15,MAX(0,B522-MAX(0,E522-D522)),0)</x:f>
      </x:c>
      <x:c r="G522" s="32" t="e">
        <x:f>IF(A522=1,D522,G521+D522)</x:f>
      </x:c>
      <x:c r="H522" s="32"/>
      <x:c r="I522" s="32" t="e">
        <x:f>IF(A522=1,Dashboard!$F$14,M521)</x:f>
      </x:c>
      <x:c r="J522" s="32" t="e">
        <x:f>IF(A522&lt;=Dashboard!$F$17,MIN(I522,$B$5),0)</x:f>
      </x:c>
      <x:c r="K522" s="32" t="e">
        <x:f>IF(A522&lt;=Dashboard!$F$17,MAX(0,I522-J522)*Dashboard!$F$6,0)</x:f>
      </x:c>
      <x:c r="L522" s="32" t="e">
        <x:f>IF(A522&lt;=Dashboard!$F$17,MIN(Dashboard!$F$10,MAX(0,I522-J522)+K522),0)</x:f>
      </x:c>
      <x:c r="M522" s="32" t="e">
        <x:f>IF(A522&lt;=Dashboard!$F$17,MAX(0,I522-J522-MAX(0,L522-K522)),0)</x:f>
      </x:c>
      <x:c r="N522" s="32" t="e">
        <x:f>IF(A522=1,K522,N521+K522)</x:f>
      </x:c>
      <x:c r="O522" s="32"/>
      <x:c r="P522" s="32" t="e">
        <x:f>IF(A522=1,Dashboard!$F$14,T521)</x:f>
      </x:c>
      <x:c r="Q522" s="32" t="e">
        <x:f>IF(A522&lt;=Dashboard!$F$17,MIN(P522,$B$6*52/12),0)</x:f>
      </x:c>
      <x:c r="R522" s="32" t="e">
        <x:f>IF(A522&lt;=Dashboard!$F$17,MAX(0,P522-Q522)*Dashboard!$F$6,0)</x:f>
      </x:c>
      <x:c r="S522" s="32" t="e">
        <x:f>IF(A522&lt;=Dashboard!$F$17,MIN(Dashboard!$F$10,MAX(0,P522-Q522)+R522),0)</x:f>
      </x:c>
      <x:c r="T522" s="32" t="e">
        <x:f>IF(A522&lt;=Dashboard!$F$17,MAX(0,P522-Q522-MAX(0,S522-R522)),0)</x:f>
      </x:c>
      <x:c r="U522" s="32" t="e">
        <x:f>IF(A522=1,R522,U521+R522)</x:f>
      </x:c>
      <x:c r="V522" s="32"/>
      <x:c r="W522" s="32" t="e">
        <x:f>IF(A522=1,Dashboard!$F$14,AA521)</x:f>
      </x:c>
      <x:c r="X522" s="32" t="e">
        <x:f>IF(AND(A522&lt;=Dashboard!$F$17,MOD(A522-1,12)=0),MIN(W522,$B$7),0)</x:f>
      </x:c>
      <x:c r="Y522" s="32" t="e">
        <x:f>IF(A522&lt;=Dashboard!$F$17,MAX(0,W522-X522)*Dashboard!$F$6,0)</x:f>
      </x:c>
      <x:c r="Z522" s="32" t="e">
        <x:f>IF(A522&lt;=Dashboard!$F$17,MIN(Dashboard!$F$10,MAX(0,W522-X522)+Y522),0)</x:f>
      </x:c>
      <x:c r="AA522" s="32" t="e">
        <x:f>IF(A522&lt;=Dashboard!$F$17,MAX(0,W522-X522-MAX(0,Z522-Y522)),0)</x:f>
      </x:c>
      <x:c r="AB522" s="32" t="e">
        <x:f>IF(A522=1,Y522,AB521+Y522)</x:f>
      </x:c>
      <x:c r="AC522" s="32"/>
      <x:c r="AD522" s="32" t="e">
        <x:f>IF(A522=1,MAX(0,Dashboard!$F$14-$B$8),AG521)</x:f>
      </x:c>
      <x:c r="AE522" s="32" t="n">
        <x:f>0</x:f>
        <x:v>0</x:v>
      </x:c>
      <x:c r="AF522" s="32" t="e">
        <x:f>IF(A522&lt;=Dashboard!$F$17,AD522*Dashboard!$F$6,0)</x:f>
      </x:c>
      <x:c r="AG522" s="32" t="e">
        <x:f>IF(A522&lt;=Dashboard!$F$17,MIN(Dashboard!$F$10,AD522+AF522),0)</x:f>
      </x:c>
      <x:c r="AH522" s="32" t="e">
        <x:f>IF(A522&lt;=Dashboard!$F$17,MAX(0,AD522-MAX(0,AG522-AF522)),0)</x:f>
      </x:c>
      <x:c r="AI522" s="32" t="e">
        <x:f>IF(A522=1,AF522,AI521+AF522)</x:f>
      </x:c>
      <x:c r="AJ522" s="33"/>
      <x:c r="AK522" s="33"/>
      <x:c r="AL522" s="33"/>
      <x:c r="AM522" s="33"/>
    </x:row>
    <x:row r="523">
      <x:c r="A523" s="33" t="n">
        <x:v>511</x:v>
      </x:c>
      <x:c r="B523" s="32" t="e">
        <x:f>IF(A523=1,Dashboard!$F$14,F522)</x:f>
      </x:c>
      <x:c r="C523" s="32" t="n">
        <x:f>0</x:f>
        <x:v>0</x:v>
      </x:c>
      <x:c r="D523" s="32" t="e">
        <x:f>IF(A523&lt;=Dashboard!$F$15,B523*Dashboard!$F$6,0)</x:f>
      </x:c>
      <x:c r="E523" s="32" t="e">
        <x:f>IF(A523&lt;=Dashboard!$F$15,MIN(Dashboard!$F$10,B523+D523),0)</x:f>
      </x:c>
      <x:c r="F523" s="32" t="e">
        <x:f>IF(A523&lt;=Dashboard!$F$15,MAX(0,B523-MAX(0,E523-D523)),0)</x:f>
      </x:c>
      <x:c r="G523" s="32" t="e">
        <x:f>IF(A523=1,D523,G522+D523)</x:f>
      </x:c>
      <x:c r="H523" s="32"/>
      <x:c r="I523" s="32" t="e">
        <x:f>IF(A523=1,Dashboard!$F$14,M522)</x:f>
      </x:c>
      <x:c r="J523" s="32" t="e">
        <x:f>IF(A523&lt;=Dashboard!$F$17,MIN(I523,$B$5),0)</x:f>
      </x:c>
      <x:c r="K523" s="32" t="e">
        <x:f>IF(A523&lt;=Dashboard!$F$17,MAX(0,I523-J523)*Dashboard!$F$6,0)</x:f>
      </x:c>
      <x:c r="L523" s="32" t="e">
        <x:f>IF(A523&lt;=Dashboard!$F$17,MIN(Dashboard!$F$10,MAX(0,I523-J523)+K523),0)</x:f>
      </x:c>
      <x:c r="M523" s="32" t="e">
        <x:f>IF(A523&lt;=Dashboard!$F$17,MAX(0,I523-J523-MAX(0,L523-K523)),0)</x:f>
      </x:c>
      <x:c r="N523" s="32" t="e">
        <x:f>IF(A523=1,K523,N522+K523)</x:f>
      </x:c>
      <x:c r="O523" s="32"/>
      <x:c r="P523" s="32" t="e">
        <x:f>IF(A523=1,Dashboard!$F$14,T522)</x:f>
      </x:c>
      <x:c r="Q523" s="32" t="e">
        <x:f>IF(A523&lt;=Dashboard!$F$17,MIN(P523,$B$6*52/12),0)</x:f>
      </x:c>
      <x:c r="R523" s="32" t="e">
        <x:f>IF(A523&lt;=Dashboard!$F$17,MAX(0,P523-Q523)*Dashboard!$F$6,0)</x:f>
      </x:c>
      <x:c r="S523" s="32" t="e">
        <x:f>IF(A523&lt;=Dashboard!$F$17,MIN(Dashboard!$F$10,MAX(0,P523-Q523)+R523),0)</x:f>
      </x:c>
      <x:c r="T523" s="32" t="e">
        <x:f>IF(A523&lt;=Dashboard!$F$17,MAX(0,P523-Q523-MAX(0,S523-R523)),0)</x:f>
      </x:c>
      <x:c r="U523" s="32" t="e">
        <x:f>IF(A523=1,R523,U522+R523)</x:f>
      </x:c>
      <x:c r="V523" s="32"/>
      <x:c r="W523" s="32" t="e">
        <x:f>IF(A523=1,Dashboard!$F$14,AA522)</x:f>
      </x:c>
      <x:c r="X523" s="32" t="e">
        <x:f>IF(AND(A523&lt;=Dashboard!$F$17,MOD(A523-1,12)=0),MIN(W523,$B$7),0)</x:f>
      </x:c>
      <x:c r="Y523" s="32" t="e">
        <x:f>IF(A523&lt;=Dashboard!$F$17,MAX(0,W523-X523)*Dashboard!$F$6,0)</x:f>
      </x:c>
      <x:c r="Z523" s="32" t="e">
        <x:f>IF(A523&lt;=Dashboard!$F$17,MIN(Dashboard!$F$10,MAX(0,W523-X523)+Y523),0)</x:f>
      </x:c>
      <x:c r="AA523" s="32" t="e">
        <x:f>IF(A523&lt;=Dashboard!$F$17,MAX(0,W523-X523-MAX(0,Z523-Y523)),0)</x:f>
      </x:c>
      <x:c r="AB523" s="32" t="e">
        <x:f>IF(A523=1,Y523,AB522+Y523)</x:f>
      </x:c>
      <x:c r="AC523" s="32"/>
      <x:c r="AD523" s="32" t="e">
        <x:f>IF(A523=1,MAX(0,Dashboard!$F$14-$B$8),AG522)</x:f>
      </x:c>
      <x:c r="AE523" s="32" t="n">
        <x:f>0</x:f>
        <x:v>0</x:v>
      </x:c>
      <x:c r="AF523" s="32" t="e">
        <x:f>IF(A523&lt;=Dashboard!$F$17,AD523*Dashboard!$F$6,0)</x:f>
      </x:c>
      <x:c r="AG523" s="32" t="e">
        <x:f>IF(A523&lt;=Dashboard!$F$17,MIN(Dashboard!$F$10,AD523+AF523),0)</x:f>
      </x:c>
      <x:c r="AH523" s="32" t="e">
        <x:f>IF(A523&lt;=Dashboard!$F$17,MAX(0,AD523-MAX(0,AG523-AF523)),0)</x:f>
      </x:c>
      <x:c r="AI523" s="32" t="e">
        <x:f>IF(A523=1,AF523,AI522+AF523)</x:f>
      </x:c>
      <x:c r="AJ523" s="33"/>
      <x:c r="AK523" s="33"/>
      <x:c r="AL523" s="33"/>
      <x:c r="AM523" s="33"/>
    </x:row>
    <x:row r="524">
      <x:c r="A524" s="33" t="n">
        <x:v>512</x:v>
      </x:c>
      <x:c r="B524" s="32" t="e">
        <x:f>IF(A524=1,Dashboard!$F$14,F523)</x:f>
      </x:c>
      <x:c r="C524" s="32" t="n">
        <x:f>0</x:f>
        <x:v>0</x:v>
      </x:c>
      <x:c r="D524" s="32" t="e">
        <x:f>IF(A524&lt;=Dashboard!$F$15,B524*Dashboard!$F$6,0)</x:f>
      </x:c>
      <x:c r="E524" s="32" t="e">
        <x:f>IF(A524&lt;=Dashboard!$F$15,MIN(Dashboard!$F$10,B524+D524),0)</x:f>
      </x:c>
      <x:c r="F524" s="32" t="e">
        <x:f>IF(A524&lt;=Dashboard!$F$15,MAX(0,B524-MAX(0,E524-D524)),0)</x:f>
      </x:c>
      <x:c r="G524" s="32" t="e">
        <x:f>IF(A524=1,D524,G523+D524)</x:f>
      </x:c>
      <x:c r="H524" s="32"/>
      <x:c r="I524" s="32" t="e">
        <x:f>IF(A524=1,Dashboard!$F$14,M523)</x:f>
      </x:c>
      <x:c r="J524" s="32" t="e">
        <x:f>IF(A524&lt;=Dashboard!$F$17,MIN(I524,$B$5),0)</x:f>
      </x:c>
      <x:c r="K524" s="32" t="e">
        <x:f>IF(A524&lt;=Dashboard!$F$17,MAX(0,I524-J524)*Dashboard!$F$6,0)</x:f>
      </x:c>
      <x:c r="L524" s="32" t="e">
        <x:f>IF(A524&lt;=Dashboard!$F$17,MIN(Dashboard!$F$10,MAX(0,I524-J524)+K524),0)</x:f>
      </x:c>
      <x:c r="M524" s="32" t="e">
        <x:f>IF(A524&lt;=Dashboard!$F$17,MAX(0,I524-J524-MAX(0,L524-K524)),0)</x:f>
      </x:c>
      <x:c r="N524" s="32" t="e">
        <x:f>IF(A524=1,K524,N523+K524)</x:f>
      </x:c>
      <x:c r="O524" s="32"/>
      <x:c r="P524" s="32" t="e">
        <x:f>IF(A524=1,Dashboard!$F$14,T523)</x:f>
      </x:c>
      <x:c r="Q524" s="32" t="e">
        <x:f>IF(A524&lt;=Dashboard!$F$17,MIN(P524,$B$6*52/12),0)</x:f>
      </x:c>
      <x:c r="R524" s="32" t="e">
        <x:f>IF(A524&lt;=Dashboard!$F$17,MAX(0,P524-Q524)*Dashboard!$F$6,0)</x:f>
      </x:c>
      <x:c r="S524" s="32" t="e">
        <x:f>IF(A524&lt;=Dashboard!$F$17,MIN(Dashboard!$F$10,MAX(0,P524-Q524)+R524),0)</x:f>
      </x:c>
      <x:c r="T524" s="32" t="e">
        <x:f>IF(A524&lt;=Dashboard!$F$17,MAX(0,P524-Q524-MAX(0,S524-R524)),0)</x:f>
      </x:c>
      <x:c r="U524" s="32" t="e">
        <x:f>IF(A524=1,R524,U523+R524)</x:f>
      </x:c>
      <x:c r="V524" s="32"/>
      <x:c r="W524" s="32" t="e">
        <x:f>IF(A524=1,Dashboard!$F$14,AA523)</x:f>
      </x:c>
      <x:c r="X524" s="32" t="e">
        <x:f>IF(AND(A524&lt;=Dashboard!$F$17,MOD(A524-1,12)=0),MIN(W524,$B$7),0)</x:f>
      </x:c>
      <x:c r="Y524" s="32" t="e">
        <x:f>IF(A524&lt;=Dashboard!$F$17,MAX(0,W524-X524)*Dashboard!$F$6,0)</x:f>
      </x:c>
      <x:c r="Z524" s="32" t="e">
        <x:f>IF(A524&lt;=Dashboard!$F$17,MIN(Dashboard!$F$10,MAX(0,W524-X524)+Y524),0)</x:f>
      </x:c>
      <x:c r="AA524" s="32" t="e">
        <x:f>IF(A524&lt;=Dashboard!$F$17,MAX(0,W524-X524-MAX(0,Z524-Y524)),0)</x:f>
      </x:c>
      <x:c r="AB524" s="32" t="e">
        <x:f>IF(A524=1,Y524,AB523+Y524)</x:f>
      </x:c>
      <x:c r="AC524" s="32"/>
      <x:c r="AD524" s="32" t="e">
        <x:f>IF(A524=1,MAX(0,Dashboard!$F$14-$B$8),AG523)</x:f>
      </x:c>
      <x:c r="AE524" s="32" t="n">
        <x:f>0</x:f>
        <x:v>0</x:v>
      </x:c>
      <x:c r="AF524" s="32" t="e">
        <x:f>IF(A524&lt;=Dashboard!$F$17,AD524*Dashboard!$F$6,0)</x:f>
      </x:c>
      <x:c r="AG524" s="32" t="e">
        <x:f>IF(A524&lt;=Dashboard!$F$17,MIN(Dashboard!$F$10,AD524+AF524),0)</x:f>
      </x:c>
      <x:c r="AH524" s="32" t="e">
        <x:f>IF(A524&lt;=Dashboard!$F$17,MAX(0,AD524-MAX(0,AG524-AF524)),0)</x:f>
      </x:c>
      <x:c r="AI524" s="32" t="e">
        <x:f>IF(A524=1,AF524,AI523+AF524)</x:f>
      </x:c>
      <x:c r="AJ524" s="33"/>
      <x:c r="AK524" s="33"/>
      <x:c r="AL524" s="33"/>
      <x:c r="AM524" s="33"/>
    </x:row>
    <x:row r="525">
      <x:c r="A525" s="33" t="n">
        <x:v>513</x:v>
      </x:c>
      <x:c r="B525" s="32" t="e">
        <x:f>IF(A525=1,Dashboard!$F$14,F524)</x:f>
      </x:c>
      <x:c r="C525" s="32" t="n">
        <x:f>0</x:f>
        <x:v>0</x:v>
      </x:c>
      <x:c r="D525" s="32" t="e">
        <x:f>IF(A525&lt;=Dashboard!$F$15,B525*Dashboard!$F$6,0)</x:f>
      </x:c>
      <x:c r="E525" s="32" t="e">
        <x:f>IF(A525&lt;=Dashboard!$F$15,MIN(Dashboard!$F$10,B525+D525),0)</x:f>
      </x:c>
      <x:c r="F525" s="32" t="e">
        <x:f>IF(A525&lt;=Dashboard!$F$15,MAX(0,B525-MAX(0,E525-D525)),0)</x:f>
      </x:c>
      <x:c r="G525" s="32" t="e">
        <x:f>IF(A525=1,D525,G524+D525)</x:f>
      </x:c>
      <x:c r="H525" s="32"/>
      <x:c r="I525" s="32" t="e">
        <x:f>IF(A525=1,Dashboard!$F$14,M524)</x:f>
      </x:c>
      <x:c r="J525" s="32" t="e">
        <x:f>IF(A525&lt;=Dashboard!$F$17,MIN(I525,$B$5),0)</x:f>
      </x:c>
      <x:c r="K525" s="32" t="e">
        <x:f>IF(A525&lt;=Dashboard!$F$17,MAX(0,I525-J525)*Dashboard!$F$6,0)</x:f>
      </x:c>
      <x:c r="L525" s="32" t="e">
        <x:f>IF(A525&lt;=Dashboard!$F$17,MIN(Dashboard!$F$10,MAX(0,I525-J525)+K525),0)</x:f>
      </x:c>
      <x:c r="M525" s="32" t="e">
        <x:f>IF(A525&lt;=Dashboard!$F$17,MAX(0,I525-J525-MAX(0,L525-K525)),0)</x:f>
      </x:c>
      <x:c r="N525" s="32" t="e">
        <x:f>IF(A525=1,K525,N524+K525)</x:f>
      </x:c>
      <x:c r="O525" s="32"/>
      <x:c r="P525" s="32" t="e">
        <x:f>IF(A525=1,Dashboard!$F$14,T524)</x:f>
      </x:c>
      <x:c r="Q525" s="32" t="e">
        <x:f>IF(A525&lt;=Dashboard!$F$17,MIN(P525,$B$6*52/12),0)</x:f>
      </x:c>
      <x:c r="R525" s="32" t="e">
        <x:f>IF(A525&lt;=Dashboard!$F$17,MAX(0,P525-Q525)*Dashboard!$F$6,0)</x:f>
      </x:c>
      <x:c r="S525" s="32" t="e">
        <x:f>IF(A525&lt;=Dashboard!$F$17,MIN(Dashboard!$F$10,MAX(0,P525-Q525)+R525),0)</x:f>
      </x:c>
      <x:c r="T525" s="32" t="e">
        <x:f>IF(A525&lt;=Dashboard!$F$17,MAX(0,P525-Q525-MAX(0,S525-R525)),0)</x:f>
      </x:c>
      <x:c r="U525" s="32" t="e">
        <x:f>IF(A525=1,R525,U524+R525)</x:f>
      </x:c>
      <x:c r="V525" s="32"/>
      <x:c r="W525" s="32" t="e">
        <x:f>IF(A525=1,Dashboard!$F$14,AA524)</x:f>
      </x:c>
      <x:c r="X525" s="32" t="e">
        <x:f>IF(AND(A525&lt;=Dashboard!$F$17,MOD(A525-1,12)=0),MIN(W525,$B$7),0)</x:f>
      </x:c>
      <x:c r="Y525" s="32" t="e">
        <x:f>IF(A525&lt;=Dashboard!$F$17,MAX(0,W525-X525)*Dashboard!$F$6,0)</x:f>
      </x:c>
      <x:c r="Z525" s="32" t="e">
        <x:f>IF(A525&lt;=Dashboard!$F$17,MIN(Dashboard!$F$10,MAX(0,W525-X525)+Y525),0)</x:f>
      </x:c>
      <x:c r="AA525" s="32" t="e">
        <x:f>IF(A525&lt;=Dashboard!$F$17,MAX(0,W525-X525-MAX(0,Z525-Y525)),0)</x:f>
      </x:c>
      <x:c r="AB525" s="32" t="e">
        <x:f>IF(A525=1,Y525,AB524+Y525)</x:f>
      </x:c>
      <x:c r="AC525" s="32"/>
      <x:c r="AD525" s="32" t="e">
        <x:f>IF(A525=1,MAX(0,Dashboard!$F$14-$B$8),AG524)</x:f>
      </x:c>
      <x:c r="AE525" s="32" t="n">
        <x:f>0</x:f>
        <x:v>0</x:v>
      </x:c>
      <x:c r="AF525" s="32" t="e">
        <x:f>IF(A525&lt;=Dashboard!$F$17,AD525*Dashboard!$F$6,0)</x:f>
      </x:c>
      <x:c r="AG525" s="32" t="e">
        <x:f>IF(A525&lt;=Dashboard!$F$17,MIN(Dashboard!$F$10,AD525+AF525),0)</x:f>
      </x:c>
      <x:c r="AH525" s="32" t="e">
        <x:f>IF(A525&lt;=Dashboard!$F$17,MAX(0,AD525-MAX(0,AG525-AF525)),0)</x:f>
      </x:c>
      <x:c r="AI525" s="32" t="e">
        <x:f>IF(A525=1,AF525,AI524+AF525)</x:f>
      </x:c>
      <x:c r="AJ525" s="33"/>
      <x:c r="AK525" s="33"/>
      <x:c r="AL525" s="33"/>
      <x:c r="AM525" s="33"/>
    </x:row>
    <x:row r="526">
      <x:c r="A526" s="33" t="n">
        <x:v>514</x:v>
      </x:c>
      <x:c r="B526" s="32" t="e">
        <x:f>IF(A526=1,Dashboard!$F$14,F525)</x:f>
      </x:c>
      <x:c r="C526" s="32" t="n">
        <x:f>0</x:f>
        <x:v>0</x:v>
      </x:c>
      <x:c r="D526" s="32" t="e">
        <x:f>IF(A526&lt;=Dashboard!$F$15,B526*Dashboard!$F$6,0)</x:f>
      </x:c>
      <x:c r="E526" s="32" t="e">
        <x:f>IF(A526&lt;=Dashboard!$F$15,MIN(Dashboard!$F$10,B526+D526),0)</x:f>
      </x:c>
      <x:c r="F526" s="32" t="e">
        <x:f>IF(A526&lt;=Dashboard!$F$15,MAX(0,B526-MAX(0,E526-D526)),0)</x:f>
      </x:c>
      <x:c r="G526" s="32" t="e">
        <x:f>IF(A526=1,D526,G525+D526)</x:f>
      </x:c>
      <x:c r="H526" s="32"/>
      <x:c r="I526" s="32" t="e">
        <x:f>IF(A526=1,Dashboard!$F$14,M525)</x:f>
      </x:c>
      <x:c r="J526" s="32" t="e">
        <x:f>IF(A526&lt;=Dashboard!$F$17,MIN(I526,$B$5),0)</x:f>
      </x:c>
      <x:c r="K526" s="32" t="e">
        <x:f>IF(A526&lt;=Dashboard!$F$17,MAX(0,I526-J526)*Dashboard!$F$6,0)</x:f>
      </x:c>
      <x:c r="L526" s="32" t="e">
        <x:f>IF(A526&lt;=Dashboard!$F$17,MIN(Dashboard!$F$10,MAX(0,I526-J526)+K526),0)</x:f>
      </x:c>
      <x:c r="M526" s="32" t="e">
        <x:f>IF(A526&lt;=Dashboard!$F$17,MAX(0,I526-J526-MAX(0,L526-K526)),0)</x:f>
      </x:c>
      <x:c r="N526" s="32" t="e">
        <x:f>IF(A526=1,K526,N525+K526)</x:f>
      </x:c>
      <x:c r="O526" s="32"/>
      <x:c r="P526" s="32" t="e">
        <x:f>IF(A526=1,Dashboard!$F$14,T525)</x:f>
      </x:c>
      <x:c r="Q526" s="32" t="e">
        <x:f>IF(A526&lt;=Dashboard!$F$17,MIN(P526,$B$6*52/12),0)</x:f>
      </x:c>
      <x:c r="R526" s="32" t="e">
        <x:f>IF(A526&lt;=Dashboard!$F$17,MAX(0,P526-Q526)*Dashboard!$F$6,0)</x:f>
      </x:c>
      <x:c r="S526" s="32" t="e">
        <x:f>IF(A526&lt;=Dashboard!$F$17,MIN(Dashboard!$F$10,MAX(0,P526-Q526)+R526),0)</x:f>
      </x:c>
      <x:c r="T526" s="32" t="e">
        <x:f>IF(A526&lt;=Dashboard!$F$17,MAX(0,P526-Q526-MAX(0,S526-R526)),0)</x:f>
      </x:c>
      <x:c r="U526" s="32" t="e">
        <x:f>IF(A526=1,R526,U525+R526)</x:f>
      </x:c>
      <x:c r="V526" s="32"/>
      <x:c r="W526" s="32" t="e">
        <x:f>IF(A526=1,Dashboard!$F$14,AA525)</x:f>
      </x:c>
      <x:c r="X526" s="32" t="e">
        <x:f>IF(AND(A526&lt;=Dashboard!$F$17,MOD(A526-1,12)=0),MIN(W526,$B$7),0)</x:f>
      </x:c>
      <x:c r="Y526" s="32" t="e">
        <x:f>IF(A526&lt;=Dashboard!$F$17,MAX(0,W526-X526)*Dashboard!$F$6,0)</x:f>
      </x:c>
      <x:c r="Z526" s="32" t="e">
        <x:f>IF(A526&lt;=Dashboard!$F$17,MIN(Dashboard!$F$10,MAX(0,W526-X526)+Y526),0)</x:f>
      </x:c>
      <x:c r="AA526" s="32" t="e">
        <x:f>IF(A526&lt;=Dashboard!$F$17,MAX(0,W526-X526-MAX(0,Z526-Y526)),0)</x:f>
      </x:c>
      <x:c r="AB526" s="32" t="e">
        <x:f>IF(A526=1,Y526,AB525+Y526)</x:f>
      </x:c>
      <x:c r="AC526" s="32"/>
      <x:c r="AD526" s="32" t="e">
        <x:f>IF(A526=1,MAX(0,Dashboard!$F$14-$B$8),AG525)</x:f>
      </x:c>
      <x:c r="AE526" s="32" t="n">
        <x:f>0</x:f>
        <x:v>0</x:v>
      </x:c>
      <x:c r="AF526" s="32" t="e">
        <x:f>IF(A526&lt;=Dashboard!$F$17,AD526*Dashboard!$F$6,0)</x:f>
      </x:c>
      <x:c r="AG526" s="32" t="e">
        <x:f>IF(A526&lt;=Dashboard!$F$17,MIN(Dashboard!$F$10,AD526+AF526),0)</x:f>
      </x:c>
      <x:c r="AH526" s="32" t="e">
        <x:f>IF(A526&lt;=Dashboard!$F$17,MAX(0,AD526-MAX(0,AG526-AF526)),0)</x:f>
      </x:c>
      <x:c r="AI526" s="32" t="e">
        <x:f>IF(A526=1,AF526,AI525+AF526)</x:f>
      </x:c>
      <x:c r="AJ526" s="33"/>
      <x:c r="AK526" s="33"/>
      <x:c r="AL526" s="33"/>
      <x:c r="AM526" s="33"/>
    </x:row>
    <x:row r="527">
      <x:c r="A527" s="33" t="n">
        <x:v>515</x:v>
      </x:c>
      <x:c r="B527" s="32" t="e">
        <x:f>IF(A527=1,Dashboard!$F$14,F526)</x:f>
      </x:c>
      <x:c r="C527" s="32" t="n">
        <x:f>0</x:f>
        <x:v>0</x:v>
      </x:c>
      <x:c r="D527" s="32" t="e">
        <x:f>IF(A527&lt;=Dashboard!$F$15,B527*Dashboard!$F$6,0)</x:f>
      </x:c>
      <x:c r="E527" s="32" t="e">
        <x:f>IF(A527&lt;=Dashboard!$F$15,MIN(Dashboard!$F$10,B527+D527),0)</x:f>
      </x:c>
      <x:c r="F527" s="32" t="e">
        <x:f>IF(A527&lt;=Dashboard!$F$15,MAX(0,B527-MAX(0,E527-D527)),0)</x:f>
      </x:c>
      <x:c r="G527" s="32" t="e">
        <x:f>IF(A527=1,D527,G526+D527)</x:f>
      </x:c>
      <x:c r="H527" s="32"/>
      <x:c r="I527" s="32" t="e">
        <x:f>IF(A527=1,Dashboard!$F$14,M526)</x:f>
      </x:c>
      <x:c r="J527" s="32" t="e">
        <x:f>IF(A527&lt;=Dashboard!$F$17,MIN(I527,$B$5),0)</x:f>
      </x:c>
      <x:c r="K527" s="32" t="e">
        <x:f>IF(A527&lt;=Dashboard!$F$17,MAX(0,I527-J527)*Dashboard!$F$6,0)</x:f>
      </x:c>
      <x:c r="L527" s="32" t="e">
        <x:f>IF(A527&lt;=Dashboard!$F$17,MIN(Dashboard!$F$10,MAX(0,I527-J527)+K527),0)</x:f>
      </x:c>
      <x:c r="M527" s="32" t="e">
        <x:f>IF(A527&lt;=Dashboard!$F$17,MAX(0,I527-J527-MAX(0,L527-K527)),0)</x:f>
      </x:c>
      <x:c r="N527" s="32" t="e">
        <x:f>IF(A527=1,K527,N526+K527)</x:f>
      </x:c>
      <x:c r="O527" s="32"/>
      <x:c r="P527" s="32" t="e">
        <x:f>IF(A527=1,Dashboard!$F$14,T526)</x:f>
      </x:c>
      <x:c r="Q527" s="32" t="e">
        <x:f>IF(A527&lt;=Dashboard!$F$17,MIN(P527,$B$6*52/12),0)</x:f>
      </x:c>
      <x:c r="R527" s="32" t="e">
        <x:f>IF(A527&lt;=Dashboard!$F$17,MAX(0,P527-Q527)*Dashboard!$F$6,0)</x:f>
      </x:c>
      <x:c r="S527" s="32" t="e">
        <x:f>IF(A527&lt;=Dashboard!$F$17,MIN(Dashboard!$F$10,MAX(0,P527-Q527)+R527),0)</x:f>
      </x:c>
      <x:c r="T527" s="32" t="e">
        <x:f>IF(A527&lt;=Dashboard!$F$17,MAX(0,P527-Q527-MAX(0,S527-R527)),0)</x:f>
      </x:c>
      <x:c r="U527" s="32" t="e">
        <x:f>IF(A527=1,R527,U526+R527)</x:f>
      </x:c>
      <x:c r="V527" s="32"/>
      <x:c r="W527" s="32" t="e">
        <x:f>IF(A527=1,Dashboard!$F$14,AA526)</x:f>
      </x:c>
      <x:c r="X527" s="32" t="e">
        <x:f>IF(AND(A527&lt;=Dashboard!$F$17,MOD(A527-1,12)=0),MIN(W527,$B$7),0)</x:f>
      </x:c>
      <x:c r="Y527" s="32" t="e">
        <x:f>IF(A527&lt;=Dashboard!$F$17,MAX(0,W527-X527)*Dashboard!$F$6,0)</x:f>
      </x:c>
      <x:c r="Z527" s="32" t="e">
        <x:f>IF(A527&lt;=Dashboard!$F$17,MIN(Dashboard!$F$10,MAX(0,W527-X527)+Y527),0)</x:f>
      </x:c>
      <x:c r="AA527" s="32" t="e">
        <x:f>IF(A527&lt;=Dashboard!$F$17,MAX(0,W527-X527-MAX(0,Z527-Y527)),0)</x:f>
      </x:c>
      <x:c r="AB527" s="32" t="e">
        <x:f>IF(A527=1,Y527,AB526+Y527)</x:f>
      </x:c>
      <x:c r="AC527" s="32"/>
      <x:c r="AD527" s="32" t="e">
        <x:f>IF(A527=1,MAX(0,Dashboard!$F$14-$B$8),AG526)</x:f>
      </x:c>
      <x:c r="AE527" s="32" t="n">
        <x:f>0</x:f>
        <x:v>0</x:v>
      </x:c>
      <x:c r="AF527" s="32" t="e">
        <x:f>IF(A527&lt;=Dashboard!$F$17,AD527*Dashboard!$F$6,0)</x:f>
      </x:c>
      <x:c r="AG527" s="32" t="e">
        <x:f>IF(A527&lt;=Dashboard!$F$17,MIN(Dashboard!$F$10,AD527+AF527),0)</x:f>
      </x:c>
      <x:c r="AH527" s="32" t="e">
        <x:f>IF(A527&lt;=Dashboard!$F$17,MAX(0,AD527-MAX(0,AG527-AF527)),0)</x:f>
      </x:c>
      <x:c r="AI527" s="32" t="e">
        <x:f>IF(A527=1,AF527,AI526+AF527)</x:f>
      </x:c>
      <x:c r="AJ527" s="33"/>
      <x:c r="AK527" s="33"/>
      <x:c r="AL527" s="33"/>
      <x:c r="AM527" s="33"/>
    </x:row>
    <x:row r="528">
      <x:c r="A528" s="33" t="n">
        <x:v>516</x:v>
      </x:c>
      <x:c r="B528" s="32" t="e">
        <x:f>IF(A528=1,Dashboard!$F$14,F527)</x:f>
      </x:c>
      <x:c r="C528" s="32" t="n">
        <x:f>0</x:f>
        <x:v>0</x:v>
      </x:c>
      <x:c r="D528" s="32" t="e">
        <x:f>IF(A528&lt;=Dashboard!$F$15,B528*Dashboard!$F$6,0)</x:f>
      </x:c>
      <x:c r="E528" s="32" t="e">
        <x:f>IF(A528&lt;=Dashboard!$F$15,MIN(Dashboard!$F$10,B528+D528),0)</x:f>
      </x:c>
      <x:c r="F528" s="32" t="e">
        <x:f>IF(A528&lt;=Dashboard!$F$15,MAX(0,B528-MAX(0,E528-D528)),0)</x:f>
      </x:c>
      <x:c r="G528" s="32" t="e">
        <x:f>IF(A528=1,D528,G527+D528)</x:f>
      </x:c>
      <x:c r="H528" s="32"/>
      <x:c r="I528" s="32" t="e">
        <x:f>IF(A528=1,Dashboard!$F$14,M527)</x:f>
      </x:c>
      <x:c r="J528" s="32" t="e">
        <x:f>IF(A528&lt;=Dashboard!$F$17,MIN(I528,$B$5),0)</x:f>
      </x:c>
      <x:c r="K528" s="32" t="e">
        <x:f>IF(A528&lt;=Dashboard!$F$17,MAX(0,I528-J528)*Dashboard!$F$6,0)</x:f>
      </x:c>
      <x:c r="L528" s="32" t="e">
        <x:f>IF(A528&lt;=Dashboard!$F$17,MIN(Dashboard!$F$10,MAX(0,I528-J528)+K528),0)</x:f>
      </x:c>
      <x:c r="M528" s="32" t="e">
        <x:f>IF(A528&lt;=Dashboard!$F$17,MAX(0,I528-J528-MAX(0,L528-K528)),0)</x:f>
      </x:c>
      <x:c r="N528" s="32" t="e">
        <x:f>IF(A528=1,K528,N527+K528)</x:f>
      </x:c>
      <x:c r="O528" s="32"/>
      <x:c r="P528" s="32" t="e">
        <x:f>IF(A528=1,Dashboard!$F$14,T527)</x:f>
      </x:c>
      <x:c r="Q528" s="32" t="e">
        <x:f>IF(A528&lt;=Dashboard!$F$17,MIN(P528,$B$6*52/12),0)</x:f>
      </x:c>
      <x:c r="R528" s="32" t="e">
        <x:f>IF(A528&lt;=Dashboard!$F$17,MAX(0,P528-Q528)*Dashboard!$F$6,0)</x:f>
      </x:c>
      <x:c r="S528" s="32" t="e">
        <x:f>IF(A528&lt;=Dashboard!$F$17,MIN(Dashboard!$F$10,MAX(0,P528-Q528)+R528),0)</x:f>
      </x:c>
      <x:c r="T528" s="32" t="e">
        <x:f>IF(A528&lt;=Dashboard!$F$17,MAX(0,P528-Q528-MAX(0,S528-R528)),0)</x:f>
      </x:c>
      <x:c r="U528" s="32" t="e">
        <x:f>IF(A528=1,R528,U527+R528)</x:f>
      </x:c>
      <x:c r="V528" s="32"/>
      <x:c r="W528" s="32" t="e">
        <x:f>IF(A528=1,Dashboard!$F$14,AA527)</x:f>
      </x:c>
      <x:c r="X528" s="32" t="e">
        <x:f>IF(AND(A528&lt;=Dashboard!$F$17,MOD(A528-1,12)=0),MIN(W528,$B$7),0)</x:f>
      </x:c>
      <x:c r="Y528" s="32" t="e">
        <x:f>IF(A528&lt;=Dashboard!$F$17,MAX(0,W528-X528)*Dashboard!$F$6,0)</x:f>
      </x:c>
      <x:c r="Z528" s="32" t="e">
        <x:f>IF(A528&lt;=Dashboard!$F$17,MIN(Dashboard!$F$10,MAX(0,W528-X528)+Y528),0)</x:f>
      </x:c>
      <x:c r="AA528" s="32" t="e">
        <x:f>IF(A528&lt;=Dashboard!$F$17,MAX(0,W528-X528-MAX(0,Z528-Y528)),0)</x:f>
      </x:c>
      <x:c r="AB528" s="32" t="e">
        <x:f>IF(A528=1,Y528,AB527+Y528)</x:f>
      </x:c>
      <x:c r="AC528" s="32"/>
      <x:c r="AD528" s="32" t="e">
        <x:f>IF(A528=1,MAX(0,Dashboard!$F$14-$B$8),AG527)</x:f>
      </x:c>
      <x:c r="AE528" s="32" t="n">
        <x:f>0</x:f>
        <x:v>0</x:v>
      </x:c>
      <x:c r="AF528" s="32" t="e">
        <x:f>IF(A528&lt;=Dashboard!$F$17,AD528*Dashboard!$F$6,0)</x:f>
      </x:c>
      <x:c r="AG528" s="32" t="e">
        <x:f>IF(A528&lt;=Dashboard!$F$17,MIN(Dashboard!$F$10,AD528+AF528),0)</x:f>
      </x:c>
      <x:c r="AH528" s="32" t="e">
        <x:f>IF(A528&lt;=Dashboard!$F$17,MAX(0,AD528-MAX(0,AG528-AF528)),0)</x:f>
      </x:c>
      <x:c r="AI528" s="32" t="e">
        <x:f>IF(A528=1,AF528,AI527+AF528)</x:f>
      </x:c>
      <x:c r="AJ528" s="33"/>
      <x:c r="AK528" s="33"/>
      <x:c r="AL528" s="33"/>
      <x:c r="AM528" s="33"/>
    </x:row>
    <x:row r="529">
      <x:c r="A529" s="33" t="n">
        <x:v>517</x:v>
      </x:c>
      <x:c r="B529" s="32" t="e">
        <x:f>IF(A529=1,Dashboard!$F$14,F528)</x:f>
      </x:c>
      <x:c r="C529" s="32" t="n">
        <x:f>0</x:f>
        <x:v>0</x:v>
      </x:c>
      <x:c r="D529" s="32" t="e">
        <x:f>IF(A529&lt;=Dashboard!$F$15,B529*Dashboard!$F$6,0)</x:f>
      </x:c>
      <x:c r="E529" s="32" t="e">
        <x:f>IF(A529&lt;=Dashboard!$F$15,MIN(Dashboard!$F$10,B529+D529),0)</x:f>
      </x:c>
      <x:c r="F529" s="32" t="e">
        <x:f>IF(A529&lt;=Dashboard!$F$15,MAX(0,B529-MAX(0,E529-D529)),0)</x:f>
      </x:c>
      <x:c r="G529" s="32" t="e">
        <x:f>IF(A529=1,D529,G528+D529)</x:f>
      </x:c>
      <x:c r="H529" s="32"/>
      <x:c r="I529" s="32" t="e">
        <x:f>IF(A529=1,Dashboard!$F$14,M528)</x:f>
      </x:c>
      <x:c r="J529" s="32" t="e">
        <x:f>IF(A529&lt;=Dashboard!$F$17,MIN(I529,$B$5),0)</x:f>
      </x:c>
      <x:c r="K529" s="32" t="e">
        <x:f>IF(A529&lt;=Dashboard!$F$17,MAX(0,I529-J529)*Dashboard!$F$6,0)</x:f>
      </x:c>
      <x:c r="L529" s="32" t="e">
        <x:f>IF(A529&lt;=Dashboard!$F$17,MIN(Dashboard!$F$10,MAX(0,I529-J529)+K529),0)</x:f>
      </x:c>
      <x:c r="M529" s="32" t="e">
        <x:f>IF(A529&lt;=Dashboard!$F$17,MAX(0,I529-J529-MAX(0,L529-K529)),0)</x:f>
      </x:c>
      <x:c r="N529" s="32" t="e">
        <x:f>IF(A529=1,K529,N528+K529)</x:f>
      </x:c>
      <x:c r="O529" s="32"/>
      <x:c r="P529" s="32" t="e">
        <x:f>IF(A529=1,Dashboard!$F$14,T528)</x:f>
      </x:c>
      <x:c r="Q529" s="32" t="e">
        <x:f>IF(A529&lt;=Dashboard!$F$17,MIN(P529,$B$6*52/12),0)</x:f>
      </x:c>
      <x:c r="R529" s="32" t="e">
        <x:f>IF(A529&lt;=Dashboard!$F$17,MAX(0,P529-Q529)*Dashboard!$F$6,0)</x:f>
      </x:c>
      <x:c r="S529" s="32" t="e">
        <x:f>IF(A529&lt;=Dashboard!$F$17,MIN(Dashboard!$F$10,MAX(0,P529-Q529)+R529),0)</x:f>
      </x:c>
      <x:c r="T529" s="32" t="e">
        <x:f>IF(A529&lt;=Dashboard!$F$17,MAX(0,P529-Q529-MAX(0,S529-R529)),0)</x:f>
      </x:c>
      <x:c r="U529" s="32" t="e">
        <x:f>IF(A529=1,R529,U528+R529)</x:f>
      </x:c>
      <x:c r="V529" s="32"/>
      <x:c r="W529" s="32" t="e">
        <x:f>IF(A529=1,Dashboard!$F$14,AA528)</x:f>
      </x:c>
      <x:c r="X529" s="32" t="e">
        <x:f>IF(AND(A529&lt;=Dashboard!$F$17,MOD(A529-1,12)=0),MIN(W529,$B$7),0)</x:f>
      </x:c>
      <x:c r="Y529" s="32" t="e">
        <x:f>IF(A529&lt;=Dashboard!$F$17,MAX(0,W529-X529)*Dashboard!$F$6,0)</x:f>
      </x:c>
      <x:c r="Z529" s="32" t="e">
        <x:f>IF(A529&lt;=Dashboard!$F$17,MIN(Dashboard!$F$10,MAX(0,W529-X529)+Y529),0)</x:f>
      </x:c>
      <x:c r="AA529" s="32" t="e">
        <x:f>IF(A529&lt;=Dashboard!$F$17,MAX(0,W529-X529-MAX(0,Z529-Y529)),0)</x:f>
      </x:c>
      <x:c r="AB529" s="32" t="e">
        <x:f>IF(A529=1,Y529,AB528+Y529)</x:f>
      </x:c>
      <x:c r="AC529" s="32"/>
      <x:c r="AD529" s="32" t="e">
        <x:f>IF(A529=1,MAX(0,Dashboard!$F$14-$B$8),AG528)</x:f>
      </x:c>
      <x:c r="AE529" s="32" t="n">
        <x:f>0</x:f>
        <x:v>0</x:v>
      </x:c>
      <x:c r="AF529" s="32" t="e">
        <x:f>IF(A529&lt;=Dashboard!$F$17,AD529*Dashboard!$F$6,0)</x:f>
      </x:c>
      <x:c r="AG529" s="32" t="e">
        <x:f>IF(A529&lt;=Dashboard!$F$17,MIN(Dashboard!$F$10,AD529+AF529),0)</x:f>
      </x:c>
      <x:c r="AH529" s="32" t="e">
        <x:f>IF(A529&lt;=Dashboard!$F$17,MAX(0,AD529-MAX(0,AG529-AF529)),0)</x:f>
      </x:c>
      <x:c r="AI529" s="32" t="e">
        <x:f>IF(A529=1,AF529,AI528+AF529)</x:f>
      </x:c>
      <x:c r="AJ529" s="33"/>
      <x:c r="AK529" s="33"/>
      <x:c r="AL529" s="33"/>
      <x:c r="AM529" s="33"/>
    </x:row>
    <x:row r="530">
      <x:c r="A530" s="33" t="n">
        <x:v>518</x:v>
      </x:c>
      <x:c r="B530" s="32" t="e">
        <x:f>IF(A530=1,Dashboard!$F$14,F529)</x:f>
      </x:c>
      <x:c r="C530" s="32" t="n">
        <x:f>0</x:f>
        <x:v>0</x:v>
      </x:c>
      <x:c r="D530" s="32" t="e">
        <x:f>IF(A530&lt;=Dashboard!$F$15,B530*Dashboard!$F$6,0)</x:f>
      </x:c>
      <x:c r="E530" s="32" t="e">
        <x:f>IF(A530&lt;=Dashboard!$F$15,MIN(Dashboard!$F$10,B530+D530),0)</x:f>
      </x:c>
      <x:c r="F530" s="32" t="e">
        <x:f>IF(A530&lt;=Dashboard!$F$15,MAX(0,B530-MAX(0,E530-D530)),0)</x:f>
      </x:c>
      <x:c r="G530" s="32" t="e">
        <x:f>IF(A530=1,D530,G529+D530)</x:f>
      </x:c>
      <x:c r="H530" s="32"/>
      <x:c r="I530" s="32" t="e">
        <x:f>IF(A530=1,Dashboard!$F$14,M529)</x:f>
      </x:c>
      <x:c r="J530" s="32" t="e">
        <x:f>IF(A530&lt;=Dashboard!$F$17,MIN(I530,$B$5),0)</x:f>
      </x:c>
      <x:c r="K530" s="32" t="e">
        <x:f>IF(A530&lt;=Dashboard!$F$17,MAX(0,I530-J530)*Dashboard!$F$6,0)</x:f>
      </x:c>
      <x:c r="L530" s="32" t="e">
        <x:f>IF(A530&lt;=Dashboard!$F$17,MIN(Dashboard!$F$10,MAX(0,I530-J530)+K530),0)</x:f>
      </x:c>
      <x:c r="M530" s="32" t="e">
        <x:f>IF(A530&lt;=Dashboard!$F$17,MAX(0,I530-J530-MAX(0,L530-K530)),0)</x:f>
      </x:c>
      <x:c r="N530" s="32" t="e">
        <x:f>IF(A530=1,K530,N529+K530)</x:f>
      </x:c>
      <x:c r="O530" s="32"/>
      <x:c r="P530" s="32" t="e">
        <x:f>IF(A530=1,Dashboard!$F$14,T529)</x:f>
      </x:c>
      <x:c r="Q530" s="32" t="e">
        <x:f>IF(A530&lt;=Dashboard!$F$17,MIN(P530,$B$6*52/12),0)</x:f>
      </x:c>
      <x:c r="R530" s="32" t="e">
        <x:f>IF(A530&lt;=Dashboard!$F$17,MAX(0,P530-Q530)*Dashboard!$F$6,0)</x:f>
      </x:c>
      <x:c r="S530" s="32" t="e">
        <x:f>IF(A530&lt;=Dashboard!$F$17,MIN(Dashboard!$F$10,MAX(0,P530-Q530)+R530),0)</x:f>
      </x:c>
      <x:c r="T530" s="32" t="e">
        <x:f>IF(A530&lt;=Dashboard!$F$17,MAX(0,P530-Q530-MAX(0,S530-R530)),0)</x:f>
      </x:c>
      <x:c r="U530" s="32" t="e">
        <x:f>IF(A530=1,R530,U529+R530)</x:f>
      </x:c>
      <x:c r="V530" s="32"/>
      <x:c r="W530" s="32" t="e">
        <x:f>IF(A530=1,Dashboard!$F$14,AA529)</x:f>
      </x:c>
      <x:c r="X530" s="32" t="e">
        <x:f>IF(AND(A530&lt;=Dashboard!$F$17,MOD(A530-1,12)=0),MIN(W530,$B$7),0)</x:f>
      </x:c>
      <x:c r="Y530" s="32" t="e">
        <x:f>IF(A530&lt;=Dashboard!$F$17,MAX(0,W530-X530)*Dashboard!$F$6,0)</x:f>
      </x:c>
      <x:c r="Z530" s="32" t="e">
        <x:f>IF(A530&lt;=Dashboard!$F$17,MIN(Dashboard!$F$10,MAX(0,W530-X530)+Y530),0)</x:f>
      </x:c>
      <x:c r="AA530" s="32" t="e">
        <x:f>IF(A530&lt;=Dashboard!$F$17,MAX(0,W530-X530-MAX(0,Z530-Y530)),0)</x:f>
      </x:c>
      <x:c r="AB530" s="32" t="e">
        <x:f>IF(A530=1,Y530,AB529+Y530)</x:f>
      </x:c>
      <x:c r="AC530" s="32"/>
      <x:c r="AD530" s="32" t="e">
        <x:f>IF(A530=1,MAX(0,Dashboard!$F$14-$B$8),AG529)</x:f>
      </x:c>
      <x:c r="AE530" s="32" t="n">
        <x:f>0</x:f>
        <x:v>0</x:v>
      </x:c>
      <x:c r="AF530" s="32" t="e">
        <x:f>IF(A530&lt;=Dashboard!$F$17,AD530*Dashboard!$F$6,0)</x:f>
      </x:c>
      <x:c r="AG530" s="32" t="e">
        <x:f>IF(A530&lt;=Dashboard!$F$17,MIN(Dashboard!$F$10,AD530+AF530),0)</x:f>
      </x:c>
      <x:c r="AH530" s="32" t="e">
        <x:f>IF(A530&lt;=Dashboard!$F$17,MAX(0,AD530-MAX(0,AG530-AF530)),0)</x:f>
      </x:c>
      <x:c r="AI530" s="32" t="e">
        <x:f>IF(A530=1,AF530,AI529+AF530)</x:f>
      </x:c>
      <x:c r="AJ530" s="33"/>
      <x:c r="AK530" s="33"/>
      <x:c r="AL530" s="33"/>
      <x:c r="AM530" s="33"/>
    </x:row>
    <x:row r="531">
      <x:c r="A531" s="33" t="n">
        <x:v>519</x:v>
      </x:c>
      <x:c r="B531" s="32" t="e">
        <x:f>IF(A531=1,Dashboard!$F$14,F530)</x:f>
      </x:c>
      <x:c r="C531" s="32" t="n">
        <x:f>0</x:f>
        <x:v>0</x:v>
      </x:c>
      <x:c r="D531" s="32" t="e">
        <x:f>IF(A531&lt;=Dashboard!$F$15,B531*Dashboard!$F$6,0)</x:f>
      </x:c>
      <x:c r="E531" s="32" t="e">
        <x:f>IF(A531&lt;=Dashboard!$F$15,MIN(Dashboard!$F$10,B531+D531),0)</x:f>
      </x:c>
      <x:c r="F531" s="32" t="e">
        <x:f>IF(A531&lt;=Dashboard!$F$15,MAX(0,B531-MAX(0,E531-D531)),0)</x:f>
      </x:c>
      <x:c r="G531" s="32" t="e">
        <x:f>IF(A531=1,D531,G530+D531)</x:f>
      </x:c>
      <x:c r="H531" s="32"/>
      <x:c r="I531" s="32" t="e">
        <x:f>IF(A531=1,Dashboard!$F$14,M530)</x:f>
      </x:c>
      <x:c r="J531" s="32" t="e">
        <x:f>IF(A531&lt;=Dashboard!$F$17,MIN(I531,$B$5),0)</x:f>
      </x:c>
      <x:c r="K531" s="32" t="e">
        <x:f>IF(A531&lt;=Dashboard!$F$17,MAX(0,I531-J531)*Dashboard!$F$6,0)</x:f>
      </x:c>
      <x:c r="L531" s="32" t="e">
        <x:f>IF(A531&lt;=Dashboard!$F$17,MIN(Dashboard!$F$10,MAX(0,I531-J531)+K531),0)</x:f>
      </x:c>
      <x:c r="M531" s="32" t="e">
        <x:f>IF(A531&lt;=Dashboard!$F$17,MAX(0,I531-J531-MAX(0,L531-K531)),0)</x:f>
      </x:c>
      <x:c r="N531" s="32" t="e">
        <x:f>IF(A531=1,K531,N530+K531)</x:f>
      </x:c>
      <x:c r="O531" s="32"/>
      <x:c r="P531" s="32" t="e">
        <x:f>IF(A531=1,Dashboard!$F$14,T530)</x:f>
      </x:c>
      <x:c r="Q531" s="32" t="e">
        <x:f>IF(A531&lt;=Dashboard!$F$17,MIN(P531,$B$6*52/12),0)</x:f>
      </x:c>
      <x:c r="R531" s="32" t="e">
        <x:f>IF(A531&lt;=Dashboard!$F$17,MAX(0,P531-Q531)*Dashboard!$F$6,0)</x:f>
      </x:c>
      <x:c r="S531" s="32" t="e">
        <x:f>IF(A531&lt;=Dashboard!$F$17,MIN(Dashboard!$F$10,MAX(0,P531-Q531)+R531),0)</x:f>
      </x:c>
      <x:c r="T531" s="32" t="e">
        <x:f>IF(A531&lt;=Dashboard!$F$17,MAX(0,P531-Q531-MAX(0,S531-R531)),0)</x:f>
      </x:c>
      <x:c r="U531" s="32" t="e">
        <x:f>IF(A531=1,R531,U530+R531)</x:f>
      </x:c>
      <x:c r="V531" s="32"/>
      <x:c r="W531" s="32" t="e">
        <x:f>IF(A531=1,Dashboard!$F$14,AA530)</x:f>
      </x:c>
      <x:c r="X531" s="32" t="e">
        <x:f>IF(AND(A531&lt;=Dashboard!$F$17,MOD(A531-1,12)=0),MIN(W531,$B$7),0)</x:f>
      </x:c>
      <x:c r="Y531" s="32" t="e">
        <x:f>IF(A531&lt;=Dashboard!$F$17,MAX(0,W531-X531)*Dashboard!$F$6,0)</x:f>
      </x:c>
      <x:c r="Z531" s="32" t="e">
        <x:f>IF(A531&lt;=Dashboard!$F$17,MIN(Dashboard!$F$10,MAX(0,W531-X531)+Y531),0)</x:f>
      </x:c>
      <x:c r="AA531" s="32" t="e">
        <x:f>IF(A531&lt;=Dashboard!$F$17,MAX(0,W531-X531-MAX(0,Z531-Y531)),0)</x:f>
      </x:c>
      <x:c r="AB531" s="32" t="e">
        <x:f>IF(A531=1,Y531,AB530+Y531)</x:f>
      </x:c>
      <x:c r="AC531" s="32"/>
      <x:c r="AD531" s="32" t="e">
        <x:f>IF(A531=1,MAX(0,Dashboard!$F$14-$B$8),AG530)</x:f>
      </x:c>
      <x:c r="AE531" s="32" t="n">
        <x:f>0</x:f>
        <x:v>0</x:v>
      </x:c>
      <x:c r="AF531" s="32" t="e">
        <x:f>IF(A531&lt;=Dashboard!$F$17,AD531*Dashboard!$F$6,0)</x:f>
      </x:c>
      <x:c r="AG531" s="32" t="e">
        <x:f>IF(A531&lt;=Dashboard!$F$17,MIN(Dashboard!$F$10,AD531+AF531),0)</x:f>
      </x:c>
      <x:c r="AH531" s="32" t="e">
        <x:f>IF(A531&lt;=Dashboard!$F$17,MAX(0,AD531-MAX(0,AG531-AF531)),0)</x:f>
      </x:c>
      <x:c r="AI531" s="32" t="e">
        <x:f>IF(A531=1,AF531,AI530+AF531)</x:f>
      </x:c>
      <x:c r="AJ531" s="33"/>
      <x:c r="AK531" s="33"/>
      <x:c r="AL531" s="33"/>
      <x:c r="AM531" s="33"/>
    </x:row>
    <x:row r="532">
      <x:c r="A532" s="33" t="n">
        <x:v>520</x:v>
      </x:c>
      <x:c r="B532" s="32" t="e">
        <x:f>IF(A532=1,Dashboard!$F$14,F531)</x:f>
      </x:c>
      <x:c r="C532" s="32" t="n">
        <x:f>0</x:f>
        <x:v>0</x:v>
      </x:c>
      <x:c r="D532" s="32" t="e">
        <x:f>IF(A532&lt;=Dashboard!$F$15,B532*Dashboard!$F$6,0)</x:f>
      </x:c>
      <x:c r="E532" s="32" t="e">
        <x:f>IF(A532&lt;=Dashboard!$F$15,MIN(Dashboard!$F$10,B532+D532),0)</x:f>
      </x:c>
      <x:c r="F532" s="32" t="e">
        <x:f>IF(A532&lt;=Dashboard!$F$15,MAX(0,B532-MAX(0,E532-D532)),0)</x:f>
      </x:c>
      <x:c r="G532" s="32" t="e">
        <x:f>IF(A532=1,D532,G531+D532)</x:f>
      </x:c>
      <x:c r="H532" s="32"/>
      <x:c r="I532" s="32" t="e">
        <x:f>IF(A532=1,Dashboard!$F$14,M531)</x:f>
      </x:c>
      <x:c r="J532" s="32" t="e">
        <x:f>IF(A532&lt;=Dashboard!$F$17,MIN(I532,$B$5),0)</x:f>
      </x:c>
      <x:c r="K532" s="32" t="e">
        <x:f>IF(A532&lt;=Dashboard!$F$17,MAX(0,I532-J532)*Dashboard!$F$6,0)</x:f>
      </x:c>
      <x:c r="L532" s="32" t="e">
        <x:f>IF(A532&lt;=Dashboard!$F$17,MIN(Dashboard!$F$10,MAX(0,I532-J532)+K532),0)</x:f>
      </x:c>
      <x:c r="M532" s="32" t="e">
        <x:f>IF(A532&lt;=Dashboard!$F$17,MAX(0,I532-J532-MAX(0,L532-K532)),0)</x:f>
      </x:c>
      <x:c r="N532" s="32" t="e">
        <x:f>IF(A532=1,K532,N531+K532)</x:f>
      </x:c>
      <x:c r="O532" s="32"/>
      <x:c r="P532" s="32" t="e">
        <x:f>IF(A532=1,Dashboard!$F$14,T531)</x:f>
      </x:c>
      <x:c r="Q532" s="32" t="e">
        <x:f>IF(A532&lt;=Dashboard!$F$17,MIN(P532,$B$6*52/12),0)</x:f>
      </x:c>
      <x:c r="R532" s="32" t="e">
        <x:f>IF(A532&lt;=Dashboard!$F$17,MAX(0,P532-Q532)*Dashboard!$F$6,0)</x:f>
      </x:c>
      <x:c r="S532" s="32" t="e">
        <x:f>IF(A532&lt;=Dashboard!$F$17,MIN(Dashboard!$F$10,MAX(0,P532-Q532)+R532),0)</x:f>
      </x:c>
      <x:c r="T532" s="32" t="e">
        <x:f>IF(A532&lt;=Dashboard!$F$17,MAX(0,P532-Q532-MAX(0,S532-R532)),0)</x:f>
      </x:c>
      <x:c r="U532" s="32" t="e">
        <x:f>IF(A532=1,R532,U531+R532)</x:f>
      </x:c>
      <x:c r="V532" s="32"/>
      <x:c r="W532" s="32" t="e">
        <x:f>IF(A532=1,Dashboard!$F$14,AA531)</x:f>
      </x:c>
      <x:c r="X532" s="32" t="e">
        <x:f>IF(AND(A532&lt;=Dashboard!$F$17,MOD(A532-1,12)=0),MIN(W532,$B$7),0)</x:f>
      </x:c>
      <x:c r="Y532" s="32" t="e">
        <x:f>IF(A532&lt;=Dashboard!$F$17,MAX(0,W532-X532)*Dashboard!$F$6,0)</x:f>
      </x:c>
      <x:c r="Z532" s="32" t="e">
        <x:f>IF(A532&lt;=Dashboard!$F$17,MIN(Dashboard!$F$10,MAX(0,W532-X532)+Y532),0)</x:f>
      </x:c>
      <x:c r="AA532" s="32" t="e">
        <x:f>IF(A532&lt;=Dashboard!$F$17,MAX(0,W532-X532-MAX(0,Z532-Y532)),0)</x:f>
      </x:c>
      <x:c r="AB532" s="32" t="e">
        <x:f>IF(A532=1,Y532,AB531+Y532)</x:f>
      </x:c>
      <x:c r="AC532" s="32"/>
      <x:c r="AD532" s="32" t="e">
        <x:f>IF(A532=1,MAX(0,Dashboard!$F$14-$B$8),AG531)</x:f>
      </x:c>
      <x:c r="AE532" s="32" t="n">
        <x:f>0</x:f>
        <x:v>0</x:v>
      </x:c>
      <x:c r="AF532" s="32" t="e">
        <x:f>IF(A532&lt;=Dashboard!$F$17,AD532*Dashboard!$F$6,0)</x:f>
      </x:c>
      <x:c r="AG532" s="32" t="e">
        <x:f>IF(A532&lt;=Dashboard!$F$17,MIN(Dashboard!$F$10,AD532+AF532),0)</x:f>
      </x:c>
      <x:c r="AH532" s="32" t="e">
        <x:f>IF(A532&lt;=Dashboard!$F$17,MAX(0,AD532-MAX(0,AG532-AF532)),0)</x:f>
      </x:c>
      <x:c r="AI532" s="32" t="e">
        <x:f>IF(A532=1,AF532,AI531+AF532)</x:f>
      </x:c>
      <x:c r="AJ532" s="33"/>
      <x:c r="AK532" s="33"/>
      <x:c r="AL532" s="33"/>
      <x:c r="AM532" s="33"/>
    </x:row>
    <x:row r="533">
      <x:c r="A533" s="33" t="n">
        <x:v>521</x:v>
      </x:c>
      <x:c r="B533" s="32" t="e">
        <x:f>IF(A533=1,Dashboard!$F$14,F532)</x:f>
      </x:c>
      <x:c r="C533" s="32" t="n">
        <x:f>0</x:f>
        <x:v>0</x:v>
      </x:c>
      <x:c r="D533" s="32" t="e">
        <x:f>IF(A533&lt;=Dashboard!$F$15,B533*Dashboard!$F$6,0)</x:f>
      </x:c>
      <x:c r="E533" s="32" t="e">
        <x:f>IF(A533&lt;=Dashboard!$F$15,MIN(Dashboard!$F$10,B533+D533),0)</x:f>
      </x:c>
      <x:c r="F533" s="32" t="e">
        <x:f>IF(A533&lt;=Dashboard!$F$15,MAX(0,B533-MAX(0,E533-D533)),0)</x:f>
      </x:c>
      <x:c r="G533" s="32" t="e">
        <x:f>IF(A533=1,D533,G532+D533)</x:f>
      </x:c>
      <x:c r="H533" s="32"/>
      <x:c r="I533" s="32" t="e">
        <x:f>IF(A533=1,Dashboard!$F$14,M532)</x:f>
      </x:c>
      <x:c r="J533" s="32" t="e">
        <x:f>IF(A533&lt;=Dashboard!$F$17,MIN(I533,$B$5),0)</x:f>
      </x:c>
      <x:c r="K533" s="32" t="e">
        <x:f>IF(A533&lt;=Dashboard!$F$17,MAX(0,I533-J533)*Dashboard!$F$6,0)</x:f>
      </x:c>
      <x:c r="L533" s="32" t="e">
        <x:f>IF(A533&lt;=Dashboard!$F$17,MIN(Dashboard!$F$10,MAX(0,I533-J533)+K533),0)</x:f>
      </x:c>
      <x:c r="M533" s="32" t="e">
        <x:f>IF(A533&lt;=Dashboard!$F$17,MAX(0,I533-J533-MAX(0,L533-K533)),0)</x:f>
      </x:c>
      <x:c r="N533" s="32" t="e">
        <x:f>IF(A533=1,K533,N532+K533)</x:f>
      </x:c>
      <x:c r="O533" s="32"/>
      <x:c r="P533" s="32" t="e">
        <x:f>IF(A533=1,Dashboard!$F$14,T532)</x:f>
      </x:c>
      <x:c r="Q533" s="32" t="e">
        <x:f>IF(A533&lt;=Dashboard!$F$17,MIN(P533,$B$6*52/12),0)</x:f>
      </x:c>
      <x:c r="R533" s="32" t="e">
        <x:f>IF(A533&lt;=Dashboard!$F$17,MAX(0,P533-Q533)*Dashboard!$F$6,0)</x:f>
      </x:c>
      <x:c r="S533" s="32" t="e">
        <x:f>IF(A533&lt;=Dashboard!$F$17,MIN(Dashboard!$F$10,MAX(0,P533-Q533)+R533),0)</x:f>
      </x:c>
      <x:c r="T533" s="32" t="e">
        <x:f>IF(A533&lt;=Dashboard!$F$17,MAX(0,P533-Q533-MAX(0,S533-R533)),0)</x:f>
      </x:c>
      <x:c r="U533" s="32" t="e">
        <x:f>IF(A533=1,R533,U532+R533)</x:f>
      </x:c>
      <x:c r="V533" s="32"/>
      <x:c r="W533" s="32" t="e">
        <x:f>IF(A533=1,Dashboard!$F$14,AA532)</x:f>
      </x:c>
      <x:c r="X533" s="32" t="e">
        <x:f>IF(AND(A533&lt;=Dashboard!$F$17,MOD(A533-1,12)=0),MIN(W533,$B$7),0)</x:f>
      </x:c>
      <x:c r="Y533" s="32" t="e">
        <x:f>IF(A533&lt;=Dashboard!$F$17,MAX(0,W533-X533)*Dashboard!$F$6,0)</x:f>
      </x:c>
      <x:c r="Z533" s="32" t="e">
        <x:f>IF(A533&lt;=Dashboard!$F$17,MIN(Dashboard!$F$10,MAX(0,W533-X533)+Y533),0)</x:f>
      </x:c>
      <x:c r="AA533" s="32" t="e">
        <x:f>IF(A533&lt;=Dashboard!$F$17,MAX(0,W533-X533-MAX(0,Z533-Y533)),0)</x:f>
      </x:c>
      <x:c r="AB533" s="32" t="e">
        <x:f>IF(A533=1,Y533,AB532+Y533)</x:f>
      </x:c>
      <x:c r="AC533" s="32"/>
      <x:c r="AD533" s="32" t="e">
        <x:f>IF(A533=1,MAX(0,Dashboard!$F$14-$B$8),AG532)</x:f>
      </x:c>
      <x:c r="AE533" s="32" t="n">
        <x:f>0</x:f>
        <x:v>0</x:v>
      </x:c>
      <x:c r="AF533" s="32" t="e">
        <x:f>IF(A533&lt;=Dashboard!$F$17,AD533*Dashboard!$F$6,0)</x:f>
      </x:c>
      <x:c r="AG533" s="32" t="e">
        <x:f>IF(A533&lt;=Dashboard!$F$17,MIN(Dashboard!$F$10,AD533+AF533),0)</x:f>
      </x:c>
      <x:c r="AH533" s="32" t="e">
        <x:f>IF(A533&lt;=Dashboard!$F$17,MAX(0,AD533-MAX(0,AG533-AF533)),0)</x:f>
      </x:c>
      <x:c r="AI533" s="32" t="e">
        <x:f>IF(A533=1,AF533,AI532+AF533)</x:f>
      </x:c>
      <x:c r="AJ533" s="33"/>
      <x:c r="AK533" s="33"/>
      <x:c r="AL533" s="33"/>
      <x:c r="AM533" s="33"/>
    </x:row>
    <x:row r="534">
      <x:c r="A534" s="33" t="n">
        <x:v>522</x:v>
      </x:c>
      <x:c r="B534" s="32" t="e">
        <x:f>IF(A534=1,Dashboard!$F$14,F533)</x:f>
      </x:c>
      <x:c r="C534" s="32" t="n">
        <x:f>0</x:f>
        <x:v>0</x:v>
      </x:c>
      <x:c r="D534" s="32" t="e">
        <x:f>IF(A534&lt;=Dashboard!$F$15,B534*Dashboard!$F$6,0)</x:f>
      </x:c>
      <x:c r="E534" s="32" t="e">
        <x:f>IF(A534&lt;=Dashboard!$F$15,MIN(Dashboard!$F$10,B534+D534),0)</x:f>
      </x:c>
      <x:c r="F534" s="32" t="e">
        <x:f>IF(A534&lt;=Dashboard!$F$15,MAX(0,B534-MAX(0,E534-D534)),0)</x:f>
      </x:c>
      <x:c r="G534" s="32" t="e">
        <x:f>IF(A534=1,D534,G533+D534)</x:f>
      </x:c>
      <x:c r="H534" s="32"/>
      <x:c r="I534" s="32" t="e">
        <x:f>IF(A534=1,Dashboard!$F$14,M533)</x:f>
      </x:c>
      <x:c r="J534" s="32" t="e">
        <x:f>IF(A534&lt;=Dashboard!$F$17,MIN(I534,$B$5),0)</x:f>
      </x:c>
      <x:c r="K534" s="32" t="e">
        <x:f>IF(A534&lt;=Dashboard!$F$17,MAX(0,I534-J534)*Dashboard!$F$6,0)</x:f>
      </x:c>
      <x:c r="L534" s="32" t="e">
        <x:f>IF(A534&lt;=Dashboard!$F$17,MIN(Dashboard!$F$10,MAX(0,I534-J534)+K534),0)</x:f>
      </x:c>
      <x:c r="M534" s="32" t="e">
        <x:f>IF(A534&lt;=Dashboard!$F$17,MAX(0,I534-J534-MAX(0,L534-K534)),0)</x:f>
      </x:c>
      <x:c r="N534" s="32" t="e">
        <x:f>IF(A534=1,K534,N533+K534)</x:f>
      </x:c>
      <x:c r="O534" s="32"/>
      <x:c r="P534" s="32" t="e">
        <x:f>IF(A534=1,Dashboard!$F$14,T533)</x:f>
      </x:c>
      <x:c r="Q534" s="32" t="e">
        <x:f>IF(A534&lt;=Dashboard!$F$17,MIN(P534,$B$6*52/12),0)</x:f>
      </x:c>
      <x:c r="R534" s="32" t="e">
        <x:f>IF(A534&lt;=Dashboard!$F$17,MAX(0,P534-Q534)*Dashboard!$F$6,0)</x:f>
      </x:c>
      <x:c r="S534" s="32" t="e">
        <x:f>IF(A534&lt;=Dashboard!$F$17,MIN(Dashboard!$F$10,MAX(0,P534-Q534)+R534),0)</x:f>
      </x:c>
      <x:c r="T534" s="32" t="e">
        <x:f>IF(A534&lt;=Dashboard!$F$17,MAX(0,P534-Q534-MAX(0,S534-R534)),0)</x:f>
      </x:c>
      <x:c r="U534" s="32" t="e">
        <x:f>IF(A534=1,R534,U533+R534)</x:f>
      </x:c>
      <x:c r="V534" s="32"/>
      <x:c r="W534" s="32" t="e">
        <x:f>IF(A534=1,Dashboard!$F$14,AA533)</x:f>
      </x:c>
      <x:c r="X534" s="32" t="e">
        <x:f>IF(AND(A534&lt;=Dashboard!$F$17,MOD(A534-1,12)=0),MIN(W534,$B$7),0)</x:f>
      </x:c>
      <x:c r="Y534" s="32" t="e">
        <x:f>IF(A534&lt;=Dashboard!$F$17,MAX(0,W534-X534)*Dashboard!$F$6,0)</x:f>
      </x:c>
      <x:c r="Z534" s="32" t="e">
        <x:f>IF(A534&lt;=Dashboard!$F$17,MIN(Dashboard!$F$10,MAX(0,W534-X534)+Y534),0)</x:f>
      </x:c>
      <x:c r="AA534" s="32" t="e">
        <x:f>IF(A534&lt;=Dashboard!$F$17,MAX(0,W534-X534-MAX(0,Z534-Y534)),0)</x:f>
      </x:c>
      <x:c r="AB534" s="32" t="e">
        <x:f>IF(A534=1,Y534,AB533+Y534)</x:f>
      </x:c>
      <x:c r="AC534" s="32"/>
      <x:c r="AD534" s="32" t="e">
        <x:f>IF(A534=1,MAX(0,Dashboard!$F$14-$B$8),AG533)</x:f>
      </x:c>
      <x:c r="AE534" s="32" t="n">
        <x:f>0</x:f>
        <x:v>0</x:v>
      </x:c>
      <x:c r="AF534" s="32" t="e">
        <x:f>IF(A534&lt;=Dashboard!$F$17,AD534*Dashboard!$F$6,0)</x:f>
      </x:c>
      <x:c r="AG534" s="32" t="e">
        <x:f>IF(A534&lt;=Dashboard!$F$17,MIN(Dashboard!$F$10,AD534+AF534),0)</x:f>
      </x:c>
      <x:c r="AH534" s="32" t="e">
        <x:f>IF(A534&lt;=Dashboard!$F$17,MAX(0,AD534-MAX(0,AG534-AF534)),0)</x:f>
      </x:c>
      <x:c r="AI534" s="32" t="e">
        <x:f>IF(A534=1,AF534,AI533+AF534)</x:f>
      </x:c>
      <x:c r="AJ534" s="33"/>
      <x:c r="AK534" s="33"/>
      <x:c r="AL534" s="33"/>
      <x:c r="AM534" s="33"/>
    </x:row>
    <x:row r="535">
      <x:c r="A535" s="33" t="n">
        <x:v>523</x:v>
      </x:c>
      <x:c r="B535" s="32" t="e">
        <x:f>IF(A535=1,Dashboard!$F$14,F534)</x:f>
      </x:c>
      <x:c r="C535" s="32" t="n">
        <x:f>0</x:f>
        <x:v>0</x:v>
      </x:c>
      <x:c r="D535" s="32" t="e">
        <x:f>IF(A535&lt;=Dashboard!$F$15,B535*Dashboard!$F$6,0)</x:f>
      </x:c>
      <x:c r="E535" s="32" t="e">
        <x:f>IF(A535&lt;=Dashboard!$F$15,MIN(Dashboard!$F$10,B535+D535),0)</x:f>
      </x:c>
      <x:c r="F535" s="32" t="e">
        <x:f>IF(A535&lt;=Dashboard!$F$15,MAX(0,B535-MAX(0,E535-D535)),0)</x:f>
      </x:c>
      <x:c r="G535" s="32" t="e">
        <x:f>IF(A535=1,D535,G534+D535)</x:f>
      </x:c>
      <x:c r="H535" s="32"/>
      <x:c r="I535" s="32" t="e">
        <x:f>IF(A535=1,Dashboard!$F$14,M534)</x:f>
      </x:c>
      <x:c r="J535" s="32" t="e">
        <x:f>IF(A535&lt;=Dashboard!$F$17,MIN(I535,$B$5),0)</x:f>
      </x:c>
      <x:c r="K535" s="32" t="e">
        <x:f>IF(A535&lt;=Dashboard!$F$17,MAX(0,I535-J535)*Dashboard!$F$6,0)</x:f>
      </x:c>
      <x:c r="L535" s="32" t="e">
        <x:f>IF(A535&lt;=Dashboard!$F$17,MIN(Dashboard!$F$10,MAX(0,I535-J535)+K535),0)</x:f>
      </x:c>
      <x:c r="M535" s="32" t="e">
        <x:f>IF(A535&lt;=Dashboard!$F$17,MAX(0,I535-J535-MAX(0,L535-K535)),0)</x:f>
      </x:c>
      <x:c r="N535" s="32" t="e">
        <x:f>IF(A535=1,K535,N534+K535)</x:f>
      </x:c>
      <x:c r="O535" s="32"/>
      <x:c r="P535" s="32" t="e">
        <x:f>IF(A535=1,Dashboard!$F$14,T534)</x:f>
      </x:c>
      <x:c r="Q535" s="32" t="e">
        <x:f>IF(A535&lt;=Dashboard!$F$17,MIN(P535,$B$6*52/12),0)</x:f>
      </x:c>
      <x:c r="R535" s="32" t="e">
        <x:f>IF(A535&lt;=Dashboard!$F$17,MAX(0,P535-Q535)*Dashboard!$F$6,0)</x:f>
      </x:c>
      <x:c r="S535" s="32" t="e">
        <x:f>IF(A535&lt;=Dashboard!$F$17,MIN(Dashboard!$F$10,MAX(0,P535-Q535)+R535),0)</x:f>
      </x:c>
      <x:c r="T535" s="32" t="e">
        <x:f>IF(A535&lt;=Dashboard!$F$17,MAX(0,P535-Q535-MAX(0,S535-R535)),0)</x:f>
      </x:c>
      <x:c r="U535" s="32" t="e">
        <x:f>IF(A535=1,R535,U534+R535)</x:f>
      </x:c>
      <x:c r="V535" s="32"/>
      <x:c r="W535" s="32" t="e">
        <x:f>IF(A535=1,Dashboard!$F$14,AA534)</x:f>
      </x:c>
      <x:c r="X535" s="32" t="e">
        <x:f>IF(AND(A535&lt;=Dashboard!$F$17,MOD(A535-1,12)=0),MIN(W535,$B$7),0)</x:f>
      </x:c>
      <x:c r="Y535" s="32" t="e">
        <x:f>IF(A535&lt;=Dashboard!$F$17,MAX(0,W535-X535)*Dashboard!$F$6,0)</x:f>
      </x:c>
      <x:c r="Z535" s="32" t="e">
        <x:f>IF(A535&lt;=Dashboard!$F$17,MIN(Dashboard!$F$10,MAX(0,W535-X535)+Y535),0)</x:f>
      </x:c>
      <x:c r="AA535" s="32" t="e">
        <x:f>IF(A535&lt;=Dashboard!$F$17,MAX(0,W535-X535-MAX(0,Z535-Y535)),0)</x:f>
      </x:c>
      <x:c r="AB535" s="32" t="e">
        <x:f>IF(A535=1,Y535,AB534+Y535)</x:f>
      </x:c>
      <x:c r="AC535" s="32"/>
      <x:c r="AD535" s="32" t="e">
        <x:f>IF(A535=1,MAX(0,Dashboard!$F$14-$B$8),AG534)</x:f>
      </x:c>
      <x:c r="AE535" s="32" t="n">
        <x:f>0</x:f>
        <x:v>0</x:v>
      </x:c>
      <x:c r="AF535" s="32" t="e">
        <x:f>IF(A535&lt;=Dashboard!$F$17,AD535*Dashboard!$F$6,0)</x:f>
      </x:c>
      <x:c r="AG535" s="32" t="e">
        <x:f>IF(A535&lt;=Dashboard!$F$17,MIN(Dashboard!$F$10,AD535+AF535),0)</x:f>
      </x:c>
      <x:c r="AH535" s="32" t="e">
        <x:f>IF(A535&lt;=Dashboard!$F$17,MAX(0,AD535-MAX(0,AG535-AF535)),0)</x:f>
      </x:c>
      <x:c r="AI535" s="32" t="e">
        <x:f>IF(A535=1,AF535,AI534+AF535)</x:f>
      </x:c>
      <x:c r="AJ535" s="33"/>
      <x:c r="AK535" s="33"/>
      <x:c r="AL535" s="33"/>
      <x:c r="AM535" s="33"/>
    </x:row>
    <x:row r="536">
      <x:c r="A536" s="33" t="n">
        <x:v>524</x:v>
      </x:c>
      <x:c r="B536" s="32" t="e">
        <x:f>IF(A536=1,Dashboard!$F$14,F535)</x:f>
      </x:c>
      <x:c r="C536" s="32" t="n">
        <x:f>0</x:f>
        <x:v>0</x:v>
      </x:c>
      <x:c r="D536" s="32" t="e">
        <x:f>IF(A536&lt;=Dashboard!$F$15,B536*Dashboard!$F$6,0)</x:f>
      </x:c>
      <x:c r="E536" s="32" t="e">
        <x:f>IF(A536&lt;=Dashboard!$F$15,MIN(Dashboard!$F$10,B536+D536),0)</x:f>
      </x:c>
      <x:c r="F536" s="32" t="e">
        <x:f>IF(A536&lt;=Dashboard!$F$15,MAX(0,B536-MAX(0,E536-D536)),0)</x:f>
      </x:c>
      <x:c r="G536" s="32" t="e">
        <x:f>IF(A536=1,D536,G535+D536)</x:f>
      </x:c>
      <x:c r="H536" s="32"/>
      <x:c r="I536" s="32" t="e">
        <x:f>IF(A536=1,Dashboard!$F$14,M535)</x:f>
      </x:c>
      <x:c r="J536" s="32" t="e">
        <x:f>IF(A536&lt;=Dashboard!$F$17,MIN(I536,$B$5),0)</x:f>
      </x:c>
      <x:c r="K536" s="32" t="e">
        <x:f>IF(A536&lt;=Dashboard!$F$17,MAX(0,I536-J536)*Dashboard!$F$6,0)</x:f>
      </x:c>
      <x:c r="L536" s="32" t="e">
        <x:f>IF(A536&lt;=Dashboard!$F$17,MIN(Dashboard!$F$10,MAX(0,I536-J536)+K536),0)</x:f>
      </x:c>
      <x:c r="M536" s="32" t="e">
        <x:f>IF(A536&lt;=Dashboard!$F$17,MAX(0,I536-J536-MAX(0,L536-K536)),0)</x:f>
      </x:c>
      <x:c r="N536" s="32" t="e">
        <x:f>IF(A536=1,K536,N535+K536)</x:f>
      </x:c>
      <x:c r="O536" s="32"/>
      <x:c r="P536" s="32" t="e">
        <x:f>IF(A536=1,Dashboard!$F$14,T535)</x:f>
      </x:c>
      <x:c r="Q536" s="32" t="e">
        <x:f>IF(A536&lt;=Dashboard!$F$17,MIN(P536,$B$6*52/12),0)</x:f>
      </x:c>
      <x:c r="R536" s="32" t="e">
        <x:f>IF(A536&lt;=Dashboard!$F$17,MAX(0,P536-Q536)*Dashboard!$F$6,0)</x:f>
      </x:c>
      <x:c r="S536" s="32" t="e">
        <x:f>IF(A536&lt;=Dashboard!$F$17,MIN(Dashboard!$F$10,MAX(0,P536-Q536)+R536),0)</x:f>
      </x:c>
      <x:c r="T536" s="32" t="e">
        <x:f>IF(A536&lt;=Dashboard!$F$17,MAX(0,P536-Q536-MAX(0,S536-R536)),0)</x:f>
      </x:c>
      <x:c r="U536" s="32" t="e">
        <x:f>IF(A536=1,R536,U535+R536)</x:f>
      </x:c>
      <x:c r="V536" s="32"/>
      <x:c r="W536" s="32" t="e">
        <x:f>IF(A536=1,Dashboard!$F$14,AA535)</x:f>
      </x:c>
      <x:c r="X536" s="32" t="e">
        <x:f>IF(AND(A536&lt;=Dashboard!$F$17,MOD(A536-1,12)=0),MIN(W536,$B$7),0)</x:f>
      </x:c>
      <x:c r="Y536" s="32" t="e">
        <x:f>IF(A536&lt;=Dashboard!$F$17,MAX(0,W536-X536)*Dashboard!$F$6,0)</x:f>
      </x:c>
      <x:c r="Z536" s="32" t="e">
        <x:f>IF(A536&lt;=Dashboard!$F$17,MIN(Dashboard!$F$10,MAX(0,W536-X536)+Y536),0)</x:f>
      </x:c>
      <x:c r="AA536" s="32" t="e">
        <x:f>IF(A536&lt;=Dashboard!$F$17,MAX(0,W536-X536-MAX(0,Z536-Y536)),0)</x:f>
      </x:c>
      <x:c r="AB536" s="32" t="e">
        <x:f>IF(A536=1,Y536,AB535+Y536)</x:f>
      </x:c>
      <x:c r="AC536" s="32"/>
      <x:c r="AD536" s="32" t="e">
        <x:f>IF(A536=1,MAX(0,Dashboard!$F$14-$B$8),AG535)</x:f>
      </x:c>
      <x:c r="AE536" s="32" t="n">
        <x:f>0</x:f>
        <x:v>0</x:v>
      </x:c>
      <x:c r="AF536" s="32" t="e">
        <x:f>IF(A536&lt;=Dashboard!$F$17,AD536*Dashboard!$F$6,0)</x:f>
      </x:c>
      <x:c r="AG536" s="32" t="e">
        <x:f>IF(A536&lt;=Dashboard!$F$17,MIN(Dashboard!$F$10,AD536+AF536),0)</x:f>
      </x:c>
      <x:c r="AH536" s="32" t="e">
        <x:f>IF(A536&lt;=Dashboard!$F$17,MAX(0,AD536-MAX(0,AG536-AF536)),0)</x:f>
      </x:c>
      <x:c r="AI536" s="32" t="e">
        <x:f>IF(A536=1,AF536,AI535+AF536)</x:f>
      </x:c>
      <x:c r="AJ536" s="33"/>
      <x:c r="AK536" s="33"/>
      <x:c r="AL536" s="33"/>
      <x:c r="AM536" s="33"/>
    </x:row>
    <x:row r="537">
      <x:c r="A537" s="33" t="n">
        <x:v>525</x:v>
      </x:c>
      <x:c r="B537" s="32" t="e">
        <x:f>IF(A537=1,Dashboard!$F$14,F536)</x:f>
      </x:c>
      <x:c r="C537" s="32" t="n">
        <x:f>0</x:f>
        <x:v>0</x:v>
      </x:c>
      <x:c r="D537" s="32" t="e">
        <x:f>IF(A537&lt;=Dashboard!$F$15,B537*Dashboard!$F$6,0)</x:f>
      </x:c>
      <x:c r="E537" s="32" t="e">
        <x:f>IF(A537&lt;=Dashboard!$F$15,MIN(Dashboard!$F$10,B537+D537),0)</x:f>
      </x:c>
      <x:c r="F537" s="32" t="e">
        <x:f>IF(A537&lt;=Dashboard!$F$15,MAX(0,B537-MAX(0,E537-D537)),0)</x:f>
      </x:c>
      <x:c r="G537" s="32" t="e">
        <x:f>IF(A537=1,D537,G536+D537)</x:f>
      </x:c>
      <x:c r="H537" s="32"/>
      <x:c r="I537" s="32" t="e">
        <x:f>IF(A537=1,Dashboard!$F$14,M536)</x:f>
      </x:c>
      <x:c r="J537" s="32" t="e">
        <x:f>IF(A537&lt;=Dashboard!$F$17,MIN(I537,$B$5),0)</x:f>
      </x:c>
      <x:c r="K537" s="32" t="e">
        <x:f>IF(A537&lt;=Dashboard!$F$17,MAX(0,I537-J537)*Dashboard!$F$6,0)</x:f>
      </x:c>
      <x:c r="L537" s="32" t="e">
        <x:f>IF(A537&lt;=Dashboard!$F$17,MIN(Dashboard!$F$10,MAX(0,I537-J537)+K537),0)</x:f>
      </x:c>
      <x:c r="M537" s="32" t="e">
        <x:f>IF(A537&lt;=Dashboard!$F$17,MAX(0,I537-J537-MAX(0,L537-K537)),0)</x:f>
      </x:c>
      <x:c r="N537" s="32" t="e">
        <x:f>IF(A537=1,K537,N536+K537)</x:f>
      </x:c>
      <x:c r="O537" s="32"/>
      <x:c r="P537" s="32" t="e">
        <x:f>IF(A537=1,Dashboard!$F$14,T536)</x:f>
      </x:c>
      <x:c r="Q537" s="32" t="e">
        <x:f>IF(A537&lt;=Dashboard!$F$17,MIN(P537,$B$6*52/12),0)</x:f>
      </x:c>
      <x:c r="R537" s="32" t="e">
        <x:f>IF(A537&lt;=Dashboard!$F$17,MAX(0,P537-Q537)*Dashboard!$F$6,0)</x:f>
      </x:c>
      <x:c r="S537" s="32" t="e">
        <x:f>IF(A537&lt;=Dashboard!$F$17,MIN(Dashboard!$F$10,MAX(0,P537-Q537)+R537),0)</x:f>
      </x:c>
      <x:c r="T537" s="32" t="e">
        <x:f>IF(A537&lt;=Dashboard!$F$17,MAX(0,P537-Q537-MAX(0,S537-R537)),0)</x:f>
      </x:c>
      <x:c r="U537" s="32" t="e">
        <x:f>IF(A537=1,R537,U536+R537)</x:f>
      </x:c>
      <x:c r="V537" s="32"/>
      <x:c r="W537" s="32" t="e">
        <x:f>IF(A537=1,Dashboard!$F$14,AA536)</x:f>
      </x:c>
      <x:c r="X537" s="32" t="e">
        <x:f>IF(AND(A537&lt;=Dashboard!$F$17,MOD(A537-1,12)=0),MIN(W537,$B$7),0)</x:f>
      </x:c>
      <x:c r="Y537" s="32" t="e">
        <x:f>IF(A537&lt;=Dashboard!$F$17,MAX(0,W537-X537)*Dashboard!$F$6,0)</x:f>
      </x:c>
      <x:c r="Z537" s="32" t="e">
        <x:f>IF(A537&lt;=Dashboard!$F$17,MIN(Dashboard!$F$10,MAX(0,W537-X537)+Y537),0)</x:f>
      </x:c>
      <x:c r="AA537" s="32" t="e">
        <x:f>IF(A537&lt;=Dashboard!$F$17,MAX(0,W537-X537-MAX(0,Z537-Y537)),0)</x:f>
      </x:c>
      <x:c r="AB537" s="32" t="e">
        <x:f>IF(A537=1,Y537,AB536+Y537)</x:f>
      </x:c>
      <x:c r="AC537" s="32"/>
      <x:c r="AD537" s="32" t="e">
        <x:f>IF(A537=1,MAX(0,Dashboard!$F$14-$B$8),AG536)</x:f>
      </x:c>
      <x:c r="AE537" s="32" t="n">
        <x:f>0</x:f>
        <x:v>0</x:v>
      </x:c>
      <x:c r="AF537" s="32" t="e">
        <x:f>IF(A537&lt;=Dashboard!$F$17,AD537*Dashboard!$F$6,0)</x:f>
      </x:c>
      <x:c r="AG537" s="32" t="e">
        <x:f>IF(A537&lt;=Dashboard!$F$17,MIN(Dashboard!$F$10,AD537+AF537),0)</x:f>
      </x:c>
      <x:c r="AH537" s="32" t="e">
        <x:f>IF(A537&lt;=Dashboard!$F$17,MAX(0,AD537-MAX(0,AG537-AF537)),0)</x:f>
      </x:c>
      <x:c r="AI537" s="32" t="e">
        <x:f>IF(A537=1,AF537,AI536+AF537)</x:f>
      </x:c>
      <x:c r="AJ537" s="33"/>
      <x:c r="AK537" s="33"/>
      <x:c r="AL537" s="33"/>
      <x:c r="AM537" s="33"/>
    </x:row>
    <x:row r="538">
      <x:c r="A538" s="33" t="n">
        <x:v>526</x:v>
      </x:c>
      <x:c r="B538" s="32" t="e">
        <x:f>IF(A538=1,Dashboard!$F$14,F537)</x:f>
      </x:c>
      <x:c r="C538" s="32" t="n">
        <x:f>0</x:f>
        <x:v>0</x:v>
      </x:c>
      <x:c r="D538" s="32" t="e">
        <x:f>IF(A538&lt;=Dashboard!$F$15,B538*Dashboard!$F$6,0)</x:f>
      </x:c>
      <x:c r="E538" s="32" t="e">
        <x:f>IF(A538&lt;=Dashboard!$F$15,MIN(Dashboard!$F$10,B538+D538),0)</x:f>
      </x:c>
      <x:c r="F538" s="32" t="e">
        <x:f>IF(A538&lt;=Dashboard!$F$15,MAX(0,B538-MAX(0,E538-D538)),0)</x:f>
      </x:c>
      <x:c r="G538" s="32" t="e">
        <x:f>IF(A538=1,D538,G537+D538)</x:f>
      </x:c>
      <x:c r="H538" s="32"/>
      <x:c r="I538" s="32" t="e">
        <x:f>IF(A538=1,Dashboard!$F$14,M537)</x:f>
      </x:c>
      <x:c r="J538" s="32" t="e">
        <x:f>IF(A538&lt;=Dashboard!$F$17,MIN(I538,$B$5),0)</x:f>
      </x:c>
      <x:c r="K538" s="32" t="e">
        <x:f>IF(A538&lt;=Dashboard!$F$17,MAX(0,I538-J538)*Dashboard!$F$6,0)</x:f>
      </x:c>
      <x:c r="L538" s="32" t="e">
        <x:f>IF(A538&lt;=Dashboard!$F$17,MIN(Dashboard!$F$10,MAX(0,I538-J538)+K538),0)</x:f>
      </x:c>
      <x:c r="M538" s="32" t="e">
        <x:f>IF(A538&lt;=Dashboard!$F$17,MAX(0,I538-J538-MAX(0,L538-K538)),0)</x:f>
      </x:c>
      <x:c r="N538" s="32" t="e">
        <x:f>IF(A538=1,K538,N537+K538)</x:f>
      </x:c>
      <x:c r="O538" s="32"/>
      <x:c r="P538" s="32" t="e">
        <x:f>IF(A538=1,Dashboard!$F$14,T537)</x:f>
      </x:c>
      <x:c r="Q538" s="32" t="e">
        <x:f>IF(A538&lt;=Dashboard!$F$17,MIN(P538,$B$6*52/12),0)</x:f>
      </x:c>
      <x:c r="R538" s="32" t="e">
        <x:f>IF(A538&lt;=Dashboard!$F$17,MAX(0,P538-Q538)*Dashboard!$F$6,0)</x:f>
      </x:c>
      <x:c r="S538" s="32" t="e">
        <x:f>IF(A538&lt;=Dashboard!$F$17,MIN(Dashboard!$F$10,MAX(0,P538-Q538)+R538),0)</x:f>
      </x:c>
      <x:c r="T538" s="32" t="e">
        <x:f>IF(A538&lt;=Dashboard!$F$17,MAX(0,P538-Q538-MAX(0,S538-R538)),0)</x:f>
      </x:c>
      <x:c r="U538" s="32" t="e">
        <x:f>IF(A538=1,R538,U537+R538)</x:f>
      </x:c>
      <x:c r="V538" s="32"/>
      <x:c r="W538" s="32" t="e">
        <x:f>IF(A538=1,Dashboard!$F$14,AA537)</x:f>
      </x:c>
      <x:c r="X538" s="32" t="e">
        <x:f>IF(AND(A538&lt;=Dashboard!$F$17,MOD(A538-1,12)=0),MIN(W538,$B$7),0)</x:f>
      </x:c>
      <x:c r="Y538" s="32" t="e">
        <x:f>IF(A538&lt;=Dashboard!$F$17,MAX(0,W538-X538)*Dashboard!$F$6,0)</x:f>
      </x:c>
      <x:c r="Z538" s="32" t="e">
        <x:f>IF(A538&lt;=Dashboard!$F$17,MIN(Dashboard!$F$10,MAX(0,W538-X538)+Y538),0)</x:f>
      </x:c>
      <x:c r="AA538" s="32" t="e">
        <x:f>IF(A538&lt;=Dashboard!$F$17,MAX(0,W538-X538-MAX(0,Z538-Y538)),0)</x:f>
      </x:c>
      <x:c r="AB538" s="32" t="e">
        <x:f>IF(A538=1,Y538,AB537+Y538)</x:f>
      </x:c>
      <x:c r="AC538" s="32"/>
      <x:c r="AD538" s="32" t="e">
        <x:f>IF(A538=1,MAX(0,Dashboard!$F$14-$B$8),AG537)</x:f>
      </x:c>
      <x:c r="AE538" s="32" t="n">
        <x:f>0</x:f>
        <x:v>0</x:v>
      </x:c>
      <x:c r="AF538" s="32" t="e">
        <x:f>IF(A538&lt;=Dashboard!$F$17,AD538*Dashboard!$F$6,0)</x:f>
      </x:c>
      <x:c r="AG538" s="32" t="e">
        <x:f>IF(A538&lt;=Dashboard!$F$17,MIN(Dashboard!$F$10,AD538+AF538),0)</x:f>
      </x:c>
      <x:c r="AH538" s="32" t="e">
        <x:f>IF(A538&lt;=Dashboard!$F$17,MAX(0,AD538-MAX(0,AG538-AF538)),0)</x:f>
      </x:c>
      <x:c r="AI538" s="32" t="e">
        <x:f>IF(A538=1,AF538,AI537+AF538)</x:f>
      </x:c>
      <x:c r="AJ538" s="33"/>
      <x:c r="AK538" s="33"/>
      <x:c r="AL538" s="33"/>
      <x:c r="AM538" s="33"/>
    </x:row>
    <x:row r="539">
      <x:c r="A539" s="33" t="n">
        <x:v>527</x:v>
      </x:c>
      <x:c r="B539" s="32" t="e">
        <x:f>IF(A539=1,Dashboard!$F$14,F538)</x:f>
      </x:c>
      <x:c r="C539" s="32" t="n">
        <x:f>0</x:f>
        <x:v>0</x:v>
      </x:c>
      <x:c r="D539" s="32" t="e">
        <x:f>IF(A539&lt;=Dashboard!$F$15,B539*Dashboard!$F$6,0)</x:f>
      </x:c>
      <x:c r="E539" s="32" t="e">
        <x:f>IF(A539&lt;=Dashboard!$F$15,MIN(Dashboard!$F$10,B539+D539),0)</x:f>
      </x:c>
      <x:c r="F539" s="32" t="e">
        <x:f>IF(A539&lt;=Dashboard!$F$15,MAX(0,B539-MAX(0,E539-D539)),0)</x:f>
      </x:c>
      <x:c r="G539" s="32" t="e">
        <x:f>IF(A539=1,D539,G538+D539)</x:f>
      </x:c>
      <x:c r="H539" s="32"/>
      <x:c r="I539" s="32" t="e">
        <x:f>IF(A539=1,Dashboard!$F$14,M538)</x:f>
      </x:c>
      <x:c r="J539" s="32" t="e">
        <x:f>IF(A539&lt;=Dashboard!$F$17,MIN(I539,$B$5),0)</x:f>
      </x:c>
      <x:c r="K539" s="32" t="e">
        <x:f>IF(A539&lt;=Dashboard!$F$17,MAX(0,I539-J539)*Dashboard!$F$6,0)</x:f>
      </x:c>
      <x:c r="L539" s="32" t="e">
        <x:f>IF(A539&lt;=Dashboard!$F$17,MIN(Dashboard!$F$10,MAX(0,I539-J539)+K539),0)</x:f>
      </x:c>
      <x:c r="M539" s="32" t="e">
        <x:f>IF(A539&lt;=Dashboard!$F$17,MAX(0,I539-J539-MAX(0,L539-K539)),0)</x:f>
      </x:c>
      <x:c r="N539" s="32" t="e">
        <x:f>IF(A539=1,K539,N538+K539)</x:f>
      </x:c>
      <x:c r="O539" s="32"/>
      <x:c r="P539" s="32" t="e">
        <x:f>IF(A539=1,Dashboard!$F$14,T538)</x:f>
      </x:c>
      <x:c r="Q539" s="32" t="e">
        <x:f>IF(A539&lt;=Dashboard!$F$17,MIN(P539,$B$6*52/12),0)</x:f>
      </x:c>
      <x:c r="R539" s="32" t="e">
        <x:f>IF(A539&lt;=Dashboard!$F$17,MAX(0,P539-Q539)*Dashboard!$F$6,0)</x:f>
      </x:c>
      <x:c r="S539" s="32" t="e">
        <x:f>IF(A539&lt;=Dashboard!$F$17,MIN(Dashboard!$F$10,MAX(0,P539-Q539)+R539),0)</x:f>
      </x:c>
      <x:c r="T539" s="32" t="e">
        <x:f>IF(A539&lt;=Dashboard!$F$17,MAX(0,P539-Q539-MAX(0,S539-R539)),0)</x:f>
      </x:c>
      <x:c r="U539" s="32" t="e">
        <x:f>IF(A539=1,R539,U538+R539)</x:f>
      </x:c>
      <x:c r="V539" s="32"/>
      <x:c r="W539" s="32" t="e">
        <x:f>IF(A539=1,Dashboard!$F$14,AA538)</x:f>
      </x:c>
      <x:c r="X539" s="32" t="e">
        <x:f>IF(AND(A539&lt;=Dashboard!$F$17,MOD(A539-1,12)=0),MIN(W539,$B$7),0)</x:f>
      </x:c>
      <x:c r="Y539" s="32" t="e">
        <x:f>IF(A539&lt;=Dashboard!$F$17,MAX(0,W539-X539)*Dashboard!$F$6,0)</x:f>
      </x:c>
      <x:c r="Z539" s="32" t="e">
        <x:f>IF(A539&lt;=Dashboard!$F$17,MIN(Dashboard!$F$10,MAX(0,W539-X539)+Y539),0)</x:f>
      </x:c>
      <x:c r="AA539" s="32" t="e">
        <x:f>IF(A539&lt;=Dashboard!$F$17,MAX(0,W539-X539-MAX(0,Z539-Y539)),0)</x:f>
      </x:c>
      <x:c r="AB539" s="32" t="e">
        <x:f>IF(A539=1,Y539,AB538+Y539)</x:f>
      </x:c>
      <x:c r="AC539" s="32"/>
      <x:c r="AD539" s="32" t="e">
        <x:f>IF(A539=1,MAX(0,Dashboard!$F$14-$B$8),AG538)</x:f>
      </x:c>
      <x:c r="AE539" s="32" t="n">
        <x:f>0</x:f>
        <x:v>0</x:v>
      </x:c>
      <x:c r="AF539" s="32" t="e">
        <x:f>IF(A539&lt;=Dashboard!$F$17,AD539*Dashboard!$F$6,0)</x:f>
      </x:c>
      <x:c r="AG539" s="32" t="e">
        <x:f>IF(A539&lt;=Dashboard!$F$17,MIN(Dashboard!$F$10,AD539+AF539),0)</x:f>
      </x:c>
      <x:c r="AH539" s="32" t="e">
        <x:f>IF(A539&lt;=Dashboard!$F$17,MAX(0,AD539-MAX(0,AG539-AF539)),0)</x:f>
      </x:c>
      <x:c r="AI539" s="32" t="e">
        <x:f>IF(A539=1,AF539,AI538+AF539)</x:f>
      </x:c>
      <x:c r="AJ539" s="33"/>
      <x:c r="AK539" s="33"/>
      <x:c r="AL539" s="33"/>
      <x:c r="AM539" s="33"/>
    </x:row>
    <x:row r="540">
      <x:c r="A540" s="33" t="n">
        <x:v>528</x:v>
      </x:c>
      <x:c r="B540" s="32" t="e">
        <x:f>IF(A540=1,Dashboard!$F$14,F539)</x:f>
      </x:c>
      <x:c r="C540" s="32" t="n">
        <x:f>0</x:f>
        <x:v>0</x:v>
      </x:c>
      <x:c r="D540" s="32" t="e">
        <x:f>IF(A540&lt;=Dashboard!$F$15,B540*Dashboard!$F$6,0)</x:f>
      </x:c>
      <x:c r="E540" s="32" t="e">
        <x:f>IF(A540&lt;=Dashboard!$F$15,MIN(Dashboard!$F$10,B540+D540),0)</x:f>
      </x:c>
      <x:c r="F540" s="32" t="e">
        <x:f>IF(A540&lt;=Dashboard!$F$15,MAX(0,B540-MAX(0,E540-D540)),0)</x:f>
      </x:c>
      <x:c r="G540" s="32" t="e">
        <x:f>IF(A540=1,D540,G539+D540)</x:f>
      </x:c>
      <x:c r="H540" s="32"/>
      <x:c r="I540" s="32" t="e">
        <x:f>IF(A540=1,Dashboard!$F$14,M539)</x:f>
      </x:c>
      <x:c r="J540" s="32" t="e">
        <x:f>IF(A540&lt;=Dashboard!$F$17,MIN(I540,$B$5),0)</x:f>
      </x:c>
      <x:c r="K540" s="32" t="e">
        <x:f>IF(A540&lt;=Dashboard!$F$17,MAX(0,I540-J540)*Dashboard!$F$6,0)</x:f>
      </x:c>
      <x:c r="L540" s="32" t="e">
        <x:f>IF(A540&lt;=Dashboard!$F$17,MIN(Dashboard!$F$10,MAX(0,I540-J540)+K540),0)</x:f>
      </x:c>
      <x:c r="M540" s="32" t="e">
        <x:f>IF(A540&lt;=Dashboard!$F$17,MAX(0,I540-J540-MAX(0,L540-K540)),0)</x:f>
      </x:c>
      <x:c r="N540" s="32" t="e">
        <x:f>IF(A540=1,K540,N539+K540)</x:f>
      </x:c>
      <x:c r="O540" s="32"/>
      <x:c r="P540" s="32" t="e">
        <x:f>IF(A540=1,Dashboard!$F$14,T539)</x:f>
      </x:c>
      <x:c r="Q540" s="32" t="e">
        <x:f>IF(A540&lt;=Dashboard!$F$17,MIN(P540,$B$6*52/12),0)</x:f>
      </x:c>
      <x:c r="R540" s="32" t="e">
        <x:f>IF(A540&lt;=Dashboard!$F$17,MAX(0,P540-Q540)*Dashboard!$F$6,0)</x:f>
      </x:c>
      <x:c r="S540" s="32" t="e">
        <x:f>IF(A540&lt;=Dashboard!$F$17,MIN(Dashboard!$F$10,MAX(0,P540-Q540)+R540),0)</x:f>
      </x:c>
      <x:c r="T540" s="32" t="e">
        <x:f>IF(A540&lt;=Dashboard!$F$17,MAX(0,P540-Q540-MAX(0,S540-R540)),0)</x:f>
      </x:c>
      <x:c r="U540" s="32" t="e">
        <x:f>IF(A540=1,R540,U539+R540)</x:f>
      </x:c>
      <x:c r="V540" s="32"/>
      <x:c r="W540" s="32" t="e">
        <x:f>IF(A540=1,Dashboard!$F$14,AA539)</x:f>
      </x:c>
      <x:c r="X540" s="32" t="e">
        <x:f>IF(AND(A540&lt;=Dashboard!$F$17,MOD(A540-1,12)=0),MIN(W540,$B$7),0)</x:f>
      </x:c>
      <x:c r="Y540" s="32" t="e">
        <x:f>IF(A540&lt;=Dashboard!$F$17,MAX(0,W540-X540)*Dashboard!$F$6,0)</x:f>
      </x:c>
      <x:c r="Z540" s="32" t="e">
        <x:f>IF(A540&lt;=Dashboard!$F$17,MIN(Dashboard!$F$10,MAX(0,W540-X540)+Y540),0)</x:f>
      </x:c>
      <x:c r="AA540" s="32" t="e">
        <x:f>IF(A540&lt;=Dashboard!$F$17,MAX(0,W540-X540-MAX(0,Z540-Y540)),0)</x:f>
      </x:c>
      <x:c r="AB540" s="32" t="e">
        <x:f>IF(A540=1,Y540,AB539+Y540)</x:f>
      </x:c>
      <x:c r="AC540" s="32"/>
      <x:c r="AD540" s="32" t="e">
        <x:f>IF(A540=1,MAX(0,Dashboard!$F$14-$B$8),AG539)</x:f>
      </x:c>
      <x:c r="AE540" s="32" t="n">
        <x:f>0</x:f>
        <x:v>0</x:v>
      </x:c>
      <x:c r="AF540" s="32" t="e">
        <x:f>IF(A540&lt;=Dashboard!$F$17,AD540*Dashboard!$F$6,0)</x:f>
      </x:c>
      <x:c r="AG540" s="32" t="e">
        <x:f>IF(A540&lt;=Dashboard!$F$17,MIN(Dashboard!$F$10,AD540+AF540),0)</x:f>
      </x:c>
      <x:c r="AH540" s="32" t="e">
        <x:f>IF(A540&lt;=Dashboard!$F$17,MAX(0,AD540-MAX(0,AG540-AF540)),0)</x:f>
      </x:c>
      <x:c r="AI540" s="32" t="e">
        <x:f>IF(A540=1,AF540,AI539+AF540)</x:f>
      </x:c>
      <x:c r="AJ540" s="33"/>
      <x:c r="AK540" s="33"/>
      <x:c r="AL540" s="33"/>
      <x:c r="AM540" s="33"/>
    </x:row>
    <x:row r="541">
      <x:c r="A541" s="33" t="n">
        <x:v>529</x:v>
      </x:c>
      <x:c r="B541" s="32" t="e">
        <x:f>IF(A541=1,Dashboard!$F$14,F540)</x:f>
      </x:c>
      <x:c r="C541" s="32" t="n">
        <x:f>0</x:f>
        <x:v>0</x:v>
      </x:c>
      <x:c r="D541" s="32" t="e">
        <x:f>IF(A541&lt;=Dashboard!$F$15,B541*Dashboard!$F$6,0)</x:f>
      </x:c>
      <x:c r="E541" s="32" t="e">
        <x:f>IF(A541&lt;=Dashboard!$F$15,MIN(Dashboard!$F$10,B541+D541),0)</x:f>
      </x:c>
      <x:c r="F541" s="32" t="e">
        <x:f>IF(A541&lt;=Dashboard!$F$15,MAX(0,B541-MAX(0,E541-D541)),0)</x:f>
      </x:c>
      <x:c r="G541" s="32" t="e">
        <x:f>IF(A541=1,D541,G540+D541)</x:f>
      </x:c>
      <x:c r="H541" s="32"/>
      <x:c r="I541" s="32" t="e">
        <x:f>IF(A541=1,Dashboard!$F$14,M540)</x:f>
      </x:c>
      <x:c r="J541" s="32" t="e">
        <x:f>IF(A541&lt;=Dashboard!$F$17,MIN(I541,$B$5),0)</x:f>
      </x:c>
      <x:c r="K541" s="32" t="e">
        <x:f>IF(A541&lt;=Dashboard!$F$17,MAX(0,I541-J541)*Dashboard!$F$6,0)</x:f>
      </x:c>
      <x:c r="L541" s="32" t="e">
        <x:f>IF(A541&lt;=Dashboard!$F$17,MIN(Dashboard!$F$10,MAX(0,I541-J541)+K541),0)</x:f>
      </x:c>
      <x:c r="M541" s="32" t="e">
        <x:f>IF(A541&lt;=Dashboard!$F$17,MAX(0,I541-J541-MAX(0,L541-K541)),0)</x:f>
      </x:c>
      <x:c r="N541" s="32" t="e">
        <x:f>IF(A541=1,K541,N540+K541)</x:f>
      </x:c>
      <x:c r="O541" s="32"/>
      <x:c r="P541" s="32" t="e">
        <x:f>IF(A541=1,Dashboard!$F$14,T540)</x:f>
      </x:c>
      <x:c r="Q541" s="32" t="e">
        <x:f>IF(A541&lt;=Dashboard!$F$17,MIN(P541,$B$6*52/12),0)</x:f>
      </x:c>
      <x:c r="R541" s="32" t="e">
        <x:f>IF(A541&lt;=Dashboard!$F$17,MAX(0,P541-Q541)*Dashboard!$F$6,0)</x:f>
      </x:c>
      <x:c r="S541" s="32" t="e">
        <x:f>IF(A541&lt;=Dashboard!$F$17,MIN(Dashboard!$F$10,MAX(0,P541-Q541)+R541),0)</x:f>
      </x:c>
      <x:c r="T541" s="32" t="e">
        <x:f>IF(A541&lt;=Dashboard!$F$17,MAX(0,P541-Q541-MAX(0,S541-R541)),0)</x:f>
      </x:c>
      <x:c r="U541" s="32" t="e">
        <x:f>IF(A541=1,R541,U540+R541)</x:f>
      </x:c>
      <x:c r="V541" s="32"/>
      <x:c r="W541" s="32" t="e">
        <x:f>IF(A541=1,Dashboard!$F$14,AA540)</x:f>
      </x:c>
      <x:c r="X541" s="32" t="e">
        <x:f>IF(AND(A541&lt;=Dashboard!$F$17,MOD(A541-1,12)=0),MIN(W541,$B$7),0)</x:f>
      </x:c>
      <x:c r="Y541" s="32" t="e">
        <x:f>IF(A541&lt;=Dashboard!$F$17,MAX(0,W541-X541)*Dashboard!$F$6,0)</x:f>
      </x:c>
      <x:c r="Z541" s="32" t="e">
        <x:f>IF(A541&lt;=Dashboard!$F$17,MIN(Dashboard!$F$10,MAX(0,W541-X541)+Y541),0)</x:f>
      </x:c>
      <x:c r="AA541" s="32" t="e">
        <x:f>IF(A541&lt;=Dashboard!$F$17,MAX(0,W541-X541-MAX(0,Z541-Y541)),0)</x:f>
      </x:c>
      <x:c r="AB541" s="32" t="e">
        <x:f>IF(A541=1,Y541,AB540+Y541)</x:f>
      </x:c>
      <x:c r="AC541" s="32"/>
      <x:c r="AD541" s="32" t="e">
        <x:f>IF(A541=1,MAX(0,Dashboard!$F$14-$B$8),AG540)</x:f>
      </x:c>
      <x:c r="AE541" s="32" t="n">
        <x:f>0</x:f>
        <x:v>0</x:v>
      </x:c>
      <x:c r="AF541" s="32" t="e">
        <x:f>IF(A541&lt;=Dashboard!$F$17,AD541*Dashboard!$F$6,0)</x:f>
      </x:c>
      <x:c r="AG541" s="32" t="e">
        <x:f>IF(A541&lt;=Dashboard!$F$17,MIN(Dashboard!$F$10,AD541+AF541),0)</x:f>
      </x:c>
      <x:c r="AH541" s="32" t="e">
        <x:f>IF(A541&lt;=Dashboard!$F$17,MAX(0,AD541-MAX(0,AG541-AF541)),0)</x:f>
      </x:c>
      <x:c r="AI541" s="32" t="e">
        <x:f>IF(A541=1,AF541,AI540+AF541)</x:f>
      </x:c>
      <x:c r="AJ541" s="33"/>
      <x:c r="AK541" s="33"/>
      <x:c r="AL541" s="33"/>
      <x:c r="AM541" s="33"/>
    </x:row>
    <x:row r="542">
      <x:c r="A542" s="33" t="n">
        <x:v>530</x:v>
      </x:c>
      <x:c r="B542" s="32" t="e">
        <x:f>IF(A542=1,Dashboard!$F$14,F541)</x:f>
      </x:c>
      <x:c r="C542" s="32" t="n">
        <x:f>0</x:f>
        <x:v>0</x:v>
      </x:c>
      <x:c r="D542" s="32" t="e">
        <x:f>IF(A542&lt;=Dashboard!$F$15,B542*Dashboard!$F$6,0)</x:f>
      </x:c>
      <x:c r="E542" s="32" t="e">
        <x:f>IF(A542&lt;=Dashboard!$F$15,MIN(Dashboard!$F$10,B542+D542),0)</x:f>
      </x:c>
      <x:c r="F542" s="32" t="e">
        <x:f>IF(A542&lt;=Dashboard!$F$15,MAX(0,B542-MAX(0,E542-D542)),0)</x:f>
      </x:c>
      <x:c r="G542" s="32" t="e">
        <x:f>IF(A542=1,D542,G541+D542)</x:f>
      </x:c>
      <x:c r="H542" s="32"/>
      <x:c r="I542" s="32" t="e">
        <x:f>IF(A542=1,Dashboard!$F$14,M541)</x:f>
      </x:c>
      <x:c r="J542" s="32" t="e">
        <x:f>IF(A542&lt;=Dashboard!$F$17,MIN(I542,$B$5),0)</x:f>
      </x:c>
      <x:c r="K542" s="32" t="e">
        <x:f>IF(A542&lt;=Dashboard!$F$17,MAX(0,I542-J542)*Dashboard!$F$6,0)</x:f>
      </x:c>
      <x:c r="L542" s="32" t="e">
        <x:f>IF(A542&lt;=Dashboard!$F$17,MIN(Dashboard!$F$10,MAX(0,I542-J542)+K542),0)</x:f>
      </x:c>
      <x:c r="M542" s="32" t="e">
        <x:f>IF(A542&lt;=Dashboard!$F$17,MAX(0,I542-J542-MAX(0,L542-K542)),0)</x:f>
      </x:c>
      <x:c r="N542" s="32" t="e">
        <x:f>IF(A542=1,K542,N541+K542)</x:f>
      </x:c>
      <x:c r="O542" s="32"/>
      <x:c r="P542" s="32" t="e">
        <x:f>IF(A542=1,Dashboard!$F$14,T541)</x:f>
      </x:c>
      <x:c r="Q542" s="32" t="e">
        <x:f>IF(A542&lt;=Dashboard!$F$17,MIN(P542,$B$6*52/12),0)</x:f>
      </x:c>
      <x:c r="R542" s="32" t="e">
        <x:f>IF(A542&lt;=Dashboard!$F$17,MAX(0,P542-Q542)*Dashboard!$F$6,0)</x:f>
      </x:c>
      <x:c r="S542" s="32" t="e">
        <x:f>IF(A542&lt;=Dashboard!$F$17,MIN(Dashboard!$F$10,MAX(0,P542-Q542)+R542),0)</x:f>
      </x:c>
      <x:c r="T542" s="32" t="e">
        <x:f>IF(A542&lt;=Dashboard!$F$17,MAX(0,P542-Q542-MAX(0,S542-R542)),0)</x:f>
      </x:c>
      <x:c r="U542" s="32" t="e">
        <x:f>IF(A542=1,R542,U541+R542)</x:f>
      </x:c>
      <x:c r="V542" s="32"/>
      <x:c r="W542" s="32" t="e">
        <x:f>IF(A542=1,Dashboard!$F$14,AA541)</x:f>
      </x:c>
      <x:c r="X542" s="32" t="e">
        <x:f>IF(AND(A542&lt;=Dashboard!$F$17,MOD(A542-1,12)=0),MIN(W542,$B$7),0)</x:f>
      </x:c>
      <x:c r="Y542" s="32" t="e">
        <x:f>IF(A542&lt;=Dashboard!$F$17,MAX(0,W542-X542)*Dashboard!$F$6,0)</x:f>
      </x:c>
      <x:c r="Z542" s="32" t="e">
        <x:f>IF(A542&lt;=Dashboard!$F$17,MIN(Dashboard!$F$10,MAX(0,W542-X542)+Y542),0)</x:f>
      </x:c>
      <x:c r="AA542" s="32" t="e">
        <x:f>IF(A542&lt;=Dashboard!$F$17,MAX(0,W542-X542-MAX(0,Z542-Y542)),0)</x:f>
      </x:c>
      <x:c r="AB542" s="32" t="e">
        <x:f>IF(A542=1,Y542,AB541+Y542)</x:f>
      </x:c>
      <x:c r="AC542" s="32"/>
      <x:c r="AD542" s="32" t="e">
        <x:f>IF(A542=1,MAX(0,Dashboard!$F$14-$B$8),AG541)</x:f>
      </x:c>
      <x:c r="AE542" s="32" t="n">
        <x:f>0</x:f>
        <x:v>0</x:v>
      </x:c>
      <x:c r="AF542" s="32" t="e">
        <x:f>IF(A542&lt;=Dashboard!$F$17,AD542*Dashboard!$F$6,0)</x:f>
      </x:c>
      <x:c r="AG542" s="32" t="e">
        <x:f>IF(A542&lt;=Dashboard!$F$17,MIN(Dashboard!$F$10,AD542+AF542),0)</x:f>
      </x:c>
      <x:c r="AH542" s="32" t="e">
        <x:f>IF(A542&lt;=Dashboard!$F$17,MAX(0,AD542-MAX(0,AG542-AF542)),0)</x:f>
      </x:c>
      <x:c r="AI542" s="32" t="e">
        <x:f>IF(A542=1,AF542,AI541+AF542)</x:f>
      </x:c>
      <x:c r="AJ542" s="33"/>
      <x:c r="AK542" s="33"/>
      <x:c r="AL542" s="33"/>
      <x:c r="AM542" s="33"/>
    </x:row>
    <x:row r="543">
      <x:c r="A543" s="33" t="n">
        <x:v>531</x:v>
      </x:c>
      <x:c r="B543" s="32" t="e">
        <x:f>IF(A543=1,Dashboard!$F$14,F542)</x:f>
      </x:c>
      <x:c r="C543" s="32" t="n">
        <x:f>0</x:f>
        <x:v>0</x:v>
      </x:c>
      <x:c r="D543" s="32" t="e">
        <x:f>IF(A543&lt;=Dashboard!$F$15,B543*Dashboard!$F$6,0)</x:f>
      </x:c>
      <x:c r="E543" s="32" t="e">
        <x:f>IF(A543&lt;=Dashboard!$F$15,MIN(Dashboard!$F$10,B543+D543),0)</x:f>
      </x:c>
      <x:c r="F543" s="32" t="e">
        <x:f>IF(A543&lt;=Dashboard!$F$15,MAX(0,B543-MAX(0,E543-D543)),0)</x:f>
      </x:c>
      <x:c r="G543" s="32" t="e">
        <x:f>IF(A543=1,D543,G542+D543)</x:f>
      </x:c>
      <x:c r="H543" s="32"/>
      <x:c r="I543" s="32" t="e">
        <x:f>IF(A543=1,Dashboard!$F$14,M542)</x:f>
      </x:c>
      <x:c r="J543" s="32" t="e">
        <x:f>IF(A543&lt;=Dashboard!$F$17,MIN(I543,$B$5),0)</x:f>
      </x:c>
      <x:c r="K543" s="32" t="e">
        <x:f>IF(A543&lt;=Dashboard!$F$17,MAX(0,I543-J543)*Dashboard!$F$6,0)</x:f>
      </x:c>
      <x:c r="L543" s="32" t="e">
        <x:f>IF(A543&lt;=Dashboard!$F$17,MIN(Dashboard!$F$10,MAX(0,I543-J543)+K543),0)</x:f>
      </x:c>
      <x:c r="M543" s="32" t="e">
        <x:f>IF(A543&lt;=Dashboard!$F$17,MAX(0,I543-J543-MAX(0,L543-K543)),0)</x:f>
      </x:c>
      <x:c r="N543" s="32" t="e">
        <x:f>IF(A543=1,K543,N542+K543)</x:f>
      </x:c>
      <x:c r="O543" s="32"/>
      <x:c r="P543" s="32" t="e">
        <x:f>IF(A543=1,Dashboard!$F$14,T542)</x:f>
      </x:c>
      <x:c r="Q543" s="32" t="e">
        <x:f>IF(A543&lt;=Dashboard!$F$17,MIN(P543,$B$6*52/12),0)</x:f>
      </x:c>
      <x:c r="R543" s="32" t="e">
        <x:f>IF(A543&lt;=Dashboard!$F$17,MAX(0,P543-Q543)*Dashboard!$F$6,0)</x:f>
      </x:c>
      <x:c r="S543" s="32" t="e">
        <x:f>IF(A543&lt;=Dashboard!$F$17,MIN(Dashboard!$F$10,MAX(0,P543-Q543)+R543),0)</x:f>
      </x:c>
      <x:c r="T543" s="32" t="e">
        <x:f>IF(A543&lt;=Dashboard!$F$17,MAX(0,P543-Q543-MAX(0,S543-R543)),0)</x:f>
      </x:c>
      <x:c r="U543" s="32" t="e">
        <x:f>IF(A543=1,R543,U542+R543)</x:f>
      </x:c>
      <x:c r="V543" s="32"/>
      <x:c r="W543" s="32" t="e">
        <x:f>IF(A543=1,Dashboard!$F$14,AA542)</x:f>
      </x:c>
      <x:c r="X543" s="32" t="e">
        <x:f>IF(AND(A543&lt;=Dashboard!$F$17,MOD(A543-1,12)=0),MIN(W543,$B$7),0)</x:f>
      </x:c>
      <x:c r="Y543" s="32" t="e">
        <x:f>IF(A543&lt;=Dashboard!$F$17,MAX(0,W543-X543)*Dashboard!$F$6,0)</x:f>
      </x:c>
      <x:c r="Z543" s="32" t="e">
        <x:f>IF(A543&lt;=Dashboard!$F$17,MIN(Dashboard!$F$10,MAX(0,W543-X543)+Y543),0)</x:f>
      </x:c>
      <x:c r="AA543" s="32" t="e">
        <x:f>IF(A543&lt;=Dashboard!$F$17,MAX(0,W543-X543-MAX(0,Z543-Y543)),0)</x:f>
      </x:c>
      <x:c r="AB543" s="32" t="e">
        <x:f>IF(A543=1,Y543,AB542+Y543)</x:f>
      </x:c>
      <x:c r="AC543" s="32"/>
      <x:c r="AD543" s="32" t="e">
        <x:f>IF(A543=1,MAX(0,Dashboard!$F$14-$B$8),AG542)</x:f>
      </x:c>
      <x:c r="AE543" s="32" t="n">
        <x:f>0</x:f>
        <x:v>0</x:v>
      </x:c>
      <x:c r="AF543" s="32" t="e">
        <x:f>IF(A543&lt;=Dashboard!$F$17,AD543*Dashboard!$F$6,0)</x:f>
      </x:c>
      <x:c r="AG543" s="32" t="e">
        <x:f>IF(A543&lt;=Dashboard!$F$17,MIN(Dashboard!$F$10,AD543+AF543),0)</x:f>
      </x:c>
      <x:c r="AH543" s="32" t="e">
        <x:f>IF(A543&lt;=Dashboard!$F$17,MAX(0,AD543-MAX(0,AG543-AF543)),0)</x:f>
      </x:c>
      <x:c r="AI543" s="32" t="e">
        <x:f>IF(A543=1,AF543,AI542+AF543)</x:f>
      </x:c>
      <x:c r="AJ543" s="33"/>
      <x:c r="AK543" s="33"/>
      <x:c r="AL543" s="33"/>
      <x:c r="AM543" s="33"/>
    </x:row>
    <x:row r="544">
      <x:c r="A544" s="33" t="n">
        <x:v>532</x:v>
      </x:c>
      <x:c r="B544" s="32" t="e">
        <x:f>IF(A544=1,Dashboard!$F$14,F543)</x:f>
      </x:c>
      <x:c r="C544" s="32" t="n">
        <x:f>0</x:f>
        <x:v>0</x:v>
      </x:c>
      <x:c r="D544" s="32" t="e">
        <x:f>IF(A544&lt;=Dashboard!$F$15,B544*Dashboard!$F$6,0)</x:f>
      </x:c>
      <x:c r="E544" s="32" t="e">
        <x:f>IF(A544&lt;=Dashboard!$F$15,MIN(Dashboard!$F$10,B544+D544),0)</x:f>
      </x:c>
      <x:c r="F544" s="32" t="e">
        <x:f>IF(A544&lt;=Dashboard!$F$15,MAX(0,B544-MAX(0,E544-D544)),0)</x:f>
      </x:c>
      <x:c r="G544" s="32" t="e">
        <x:f>IF(A544=1,D544,G543+D544)</x:f>
      </x:c>
      <x:c r="H544" s="32"/>
      <x:c r="I544" s="32" t="e">
        <x:f>IF(A544=1,Dashboard!$F$14,M543)</x:f>
      </x:c>
      <x:c r="J544" s="32" t="e">
        <x:f>IF(A544&lt;=Dashboard!$F$17,MIN(I544,$B$5),0)</x:f>
      </x:c>
      <x:c r="K544" s="32" t="e">
        <x:f>IF(A544&lt;=Dashboard!$F$17,MAX(0,I544-J544)*Dashboard!$F$6,0)</x:f>
      </x:c>
      <x:c r="L544" s="32" t="e">
        <x:f>IF(A544&lt;=Dashboard!$F$17,MIN(Dashboard!$F$10,MAX(0,I544-J544)+K544),0)</x:f>
      </x:c>
      <x:c r="M544" s="32" t="e">
        <x:f>IF(A544&lt;=Dashboard!$F$17,MAX(0,I544-J544-MAX(0,L544-K544)),0)</x:f>
      </x:c>
      <x:c r="N544" s="32" t="e">
        <x:f>IF(A544=1,K544,N543+K544)</x:f>
      </x:c>
      <x:c r="O544" s="32"/>
      <x:c r="P544" s="32" t="e">
        <x:f>IF(A544=1,Dashboard!$F$14,T543)</x:f>
      </x:c>
      <x:c r="Q544" s="32" t="e">
        <x:f>IF(A544&lt;=Dashboard!$F$17,MIN(P544,$B$6*52/12),0)</x:f>
      </x:c>
      <x:c r="R544" s="32" t="e">
        <x:f>IF(A544&lt;=Dashboard!$F$17,MAX(0,P544-Q544)*Dashboard!$F$6,0)</x:f>
      </x:c>
      <x:c r="S544" s="32" t="e">
        <x:f>IF(A544&lt;=Dashboard!$F$17,MIN(Dashboard!$F$10,MAX(0,P544-Q544)+R544),0)</x:f>
      </x:c>
      <x:c r="T544" s="32" t="e">
        <x:f>IF(A544&lt;=Dashboard!$F$17,MAX(0,P544-Q544-MAX(0,S544-R544)),0)</x:f>
      </x:c>
      <x:c r="U544" s="32" t="e">
        <x:f>IF(A544=1,R544,U543+R544)</x:f>
      </x:c>
      <x:c r="V544" s="32"/>
      <x:c r="W544" s="32" t="e">
        <x:f>IF(A544=1,Dashboard!$F$14,AA543)</x:f>
      </x:c>
      <x:c r="X544" s="32" t="e">
        <x:f>IF(AND(A544&lt;=Dashboard!$F$17,MOD(A544-1,12)=0),MIN(W544,$B$7),0)</x:f>
      </x:c>
      <x:c r="Y544" s="32" t="e">
        <x:f>IF(A544&lt;=Dashboard!$F$17,MAX(0,W544-X544)*Dashboard!$F$6,0)</x:f>
      </x:c>
      <x:c r="Z544" s="32" t="e">
        <x:f>IF(A544&lt;=Dashboard!$F$17,MIN(Dashboard!$F$10,MAX(0,W544-X544)+Y544),0)</x:f>
      </x:c>
      <x:c r="AA544" s="32" t="e">
        <x:f>IF(A544&lt;=Dashboard!$F$17,MAX(0,W544-X544-MAX(0,Z544-Y544)),0)</x:f>
      </x:c>
      <x:c r="AB544" s="32" t="e">
        <x:f>IF(A544=1,Y544,AB543+Y544)</x:f>
      </x:c>
      <x:c r="AC544" s="32"/>
      <x:c r="AD544" s="32" t="e">
        <x:f>IF(A544=1,MAX(0,Dashboard!$F$14-$B$8),AG543)</x:f>
      </x:c>
      <x:c r="AE544" s="32" t="n">
        <x:f>0</x:f>
        <x:v>0</x:v>
      </x:c>
      <x:c r="AF544" s="32" t="e">
        <x:f>IF(A544&lt;=Dashboard!$F$17,AD544*Dashboard!$F$6,0)</x:f>
      </x:c>
      <x:c r="AG544" s="32" t="e">
        <x:f>IF(A544&lt;=Dashboard!$F$17,MIN(Dashboard!$F$10,AD544+AF544),0)</x:f>
      </x:c>
      <x:c r="AH544" s="32" t="e">
        <x:f>IF(A544&lt;=Dashboard!$F$17,MAX(0,AD544-MAX(0,AG544-AF544)),0)</x:f>
      </x:c>
      <x:c r="AI544" s="32" t="e">
        <x:f>IF(A544=1,AF544,AI543+AF544)</x:f>
      </x:c>
      <x:c r="AJ544" s="33"/>
      <x:c r="AK544" s="33"/>
      <x:c r="AL544" s="33"/>
      <x:c r="AM544" s="33"/>
    </x:row>
    <x:row r="545">
      <x:c r="A545" s="33" t="n">
        <x:v>533</x:v>
      </x:c>
      <x:c r="B545" s="32" t="e">
        <x:f>IF(A545=1,Dashboard!$F$14,F544)</x:f>
      </x:c>
      <x:c r="C545" s="32" t="n">
        <x:f>0</x:f>
        <x:v>0</x:v>
      </x:c>
      <x:c r="D545" s="32" t="e">
        <x:f>IF(A545&lt;=Dashboard!$F$15,B545*Dashboard!$F$6,0)</x:f>
      </x:c>
      <x:c r="E545" s="32" t="e">
        <x:f>IF(A545&lt;=Dashboard!$F$15,MIN(Dashboard!$F$10,B545+D545),0)</x:f>
      </x:c>
      <x:c r="F545" s="32" t="e">
        <x:f>IF(A545&lt;=Dashboard!$F$15,MAX(0,B545-MAX(0,E545-D545)),0)</x:f>
      </x:c>
      <x:c r="G545" s="32" t="e">
        <x:f>IF(A545=1,D545,G544+D545)</x:f>
      </x:c>
      <x:c r="H545" s="32"/>
      <x:c r="I545" s="32" t="e">
        <x:f>IF(A545=1,Dashboard!$F$14,M544)</x:f>
      </x:c>
      <x:c r="J545" s="32" t="e">
        <x:f>IF(A545&lt;=Dashboard!$F$17,MIN(I545,$B$5),0)</x:f>
      </x:c>
      <x:c r="K545" s="32" t="e">
        <x:f>IF(A545&lt;=Dashboard!$F$17,MAX(0,I545-J545)*Dashboard!$F$6,0)</x:f>
      </x:c>
      <x:c r="L545" s="32" t="e">
        <x:f>IF(A545&lt;=Dashboard!$F$17,MIN(Dashboard!$F$10,MAX(0,I545-J545)+K545),0)</x:f>
      </x:c>
      <x:c r="M545" s="32" t="e">
        <x:f>IF(A545&lt;=Dashboard!$F$17,MAX(0,I545-J545-MAX(0,L545-K545)),0)</x:f>
      </x:c>
      <x:c r="N545" s="32" t="e">
        <x:f>IF(A545=1,K545,N544+K545)</x:f>
      </x:c>
      <x:c r="O545" s="32"/>
      <x:c r="P545" s="32" t="e">
        <x:f>IF(A545=1,Dashboard!$F$14,T544)</x:f>
      </x:c>
      <x:c r="Q545" s="32" t="e">
        <x:f>IF(A545&lt;=Dashboard!$F$17,MIN(P545,$B$6*52/12),0)</x:f>
      </x:c>
      <x:c r="R545" s="32" t="e">
        <x:f>IF(A545&lt;=Dashboard!$F$17,MAX(0,P545-Q545)*Dashboard!$F$6,0)</x:f>
      </x:c>
      <x:c r="S545" s="32" t="e">
        <x:f>IF(A545&lt;=Dashboard!$F$17,MIN(Dashboard!$F$10,MAX(0,P545-Q545)+R545),0)</x:f>
      </x:c>
      <x:c r="T545" s="32" t="e">
        <x:f>IF(A545&lt;=Dashboard!$F$17,MAX(0,P545-Q545-MAX(0,S545-R545)),0)</x:f>
      </x:c>
      <x:c r="U545" s="32" t="e">
        <x:f>IF(A545=1,R545,U544+R545)</x:f>
      </x:c>
      <x:c r="V545" s="32"/>
      <x:c r="W545" s="32" t="e">
        <x:f>IF(A545=1,Dashboard!$F$14,AA544)</x:f>
      </x:c>
      <x:c r="X545" s="32" t="e">
        <x:f>IF(AND(A545&lt;=Dashboard!$F$17,MOD(A545-1,12)=0),MIN(W545,$B$7),0)</x:f>
      </x:c>
      <x:c r="Y545" s="32" t="e">
        <x:f>IF(A545&lt;=Dashboard!$F$17,MAX(0,W545-X545)*Dashboard!$F$6,0)</x:f>
      </x:c>
      <x:c r="Z545" s="32" t="e">
        <x:f>IF(A545&lt;=Dashboard!$F$17,MIN(Dashboard!$F$10,MAX(0,W545-X545)+Y545),0)</x:f>
      </x:c>
      <x:c r="AA545" s="32" t="e">
        <x:f>IF(A545&lt;=Dashboard!$F$17,MAX(0,W545-X545-MAX(0,Z545-Y545)),0)</x:f>
      </x:c>
      <x:c r="AB545" s="32" t="e">
        <x:f>IF(A545=1,Y545,AB544+Y545)</x:f>
      </x:c>
      <x:c r="AC545" s="32"/>
      <x:c r="AD545" s="32" t="e">
        <x:f>IF(A545=1,MAX(0,Dashboard!$F$14-$B$8),AG544)</x:f>
      </x:c>
      <x:c r="AE545" s="32" t="n">
        <x:f>0</x:f>
        <x:v>0</x:v>
      </x:c>
      <x:c r="AF545" s="32" t="e">
        <x:f>IF(A545&lt;=Dashboard!$F$17,AD545*Dashboard!$F$6,0)</x:f>
      </x:c>
      <x:c r="AG545" s="32" t="e">
        <x:f>IF(A545&lt;=Dashboard!$F$17,MIN(Dashboard!$F$10,AD545+AF545),0)</x:f>
      </x:c>
      <x:c r="AH545" s="32" t="e">
        <x:f>IF(A545&lt;=Dashboard!$F$17,MAX(0,AD545-MAX(0,AG545-AF545)),0)</x:f>
      </x:c>
      <x:c r="AI545" s="32" t="e">
        <x:f>IF(A545=1,AF545,AI544+AF545)</x:f>
      </x:c>
      <x:c r="AJ545" s="33"/>
      <x:c r="AK545" s="33"/>
      <x:c r="AL545" s="33"/>
      <x:c r="AM545" s="33"/>
    </x:row>
    <x:row r="546">
      <x:c r="A546" s="33" t="n">
        <x:v>534</x:v>
      </x:c>
      <x:c r="B546" s="32" t="e">
        <x:f>IF(A546=1,Dashboard!$F$14,F545)</x:f>
      </x:c>
      <x:c r="C546" s="32" t="n">
        <x:f>0</x:f>
        <x:v>0</x:v>
      </x:c>
      <x:c r="D546" s="32" t="e">
        <x:f>IF(A546&lt;=Dashboard!$F$15,B546*Dashboard!$F$6,0)</x:f>
      </x:c>
      <x:c r="E546" s="32" t="e">
        <x:f>IF(A546&lt;=Dashboard!$F$15,MIN(Dashboard!$F$10,B546+D546),0)</x:f>
      </x:c>
      <x:c r="F546" s="32" t="e">
        <x:f>IF(A546&lt;=Dashboard!$F$15,MAX(0,B546-MAX(0,E546-D546)),0)</x:f>
      </x:c>
      <x:c r="G546" s="32" t="e">
        <x:f>IF(A546=1,D546,G545+D546)</x:f>
      </x:c>
      <x:c r="H546" s="32"/>
      <x:c r="I546" s="32" t="e">
        <x:f>IF(A546=1,Dashboard!$F$14,M545)</x:f>
      </x:c>
      <x:c r="J546" s="32" t="e">
        <x:f>IF(A546&lt;=Dashboard!$F$17,MIN(I546,$B$5),0)</x:f>
      </x:c>
      <x:c r="K546" s="32" t="e">
        <x:f>IF(A546&lt;=Dashboard!$F$17,MAX(0,I546-J546)*Dashboard!$F$6,0)</x:f>
      </x:c>
      <x:c r="L546" s="32" t="e">
        <x:f>IF(A546&lt;=Dashboard!$F$17,MIN(Dashboard!$F$10,MAX(0,I546-J546)+K546),0)</x:f>
      </x:c>
      <x:c r="M546" s="32" t="e">
        <x:f>IF(A546&lt;=Dashboard!$F$17,MAX(0,I546-J546-MAX(0,L546-K546)),0)</x:f>
      </x:c>
      <x:c r="N546" s="32" t="e">
        <x:f>IF(A546=1,K546,N545+K546)</x:f>
      </x:c>
      <x:c r="O546" s="32"/>
      <x:c r="P546" s="32" t="e">
        <x:f>IF(A546=1,Dashboard!$F$14,T545)</x:f>
      </x:c>
      <x:c r="Q546" s="32" t="e">
        <x:f>IF(A546&lt;=Dashboard!$F$17,MIN(P546,$B$6*52/12),0)</x:f>
      </x:c>
      <x:c r="R546" s="32" t="e">
        <x:f>IF(A546&lt;=Dashboard!$F$17,MAX(0,P546-Q546)*Dashboard!$F$6,0)</x:f>
      </x:c>
      <x:c r="S546" s="32" t="e">
        <x:f>IF(A546&lt;=Dashboard!$F$17,MIN(Dashboard!$F$10,MAX(0,P546-Q546)+R546),0)</x:f>
      </x:c>
      <x:c r="T546" s="32" t="e">
        <x:f>IF(A546&lt;=Dashboard!$F$17,MAX(0,P546-Q546-MAX(0,S546-R546)),0)</x:f>
      </x:c>
      <x:c r="U546" s="32" t="e">
        <x:f>IF(A546=1,R546,U545+R546)</x:f>
      </x:c>
      <x:c r="V546" s="32"/>
      <x:c r="W546" s="32" t="e">
        <x:f>IF(A546=1,Dashboard!$F$14,AA545)</x:f>
      </x:c>
      <x:c r="X546" s="32" t="e">
        <x:f>IF(AND(A546&lt;=Dashboard!$F$17,MOD(A546-1,12)=0),MIN(W546,$B$7),0)</x:f>
      </x:c>
      <x:c r="Y546" s="32" t="e">
        <x:f>IF(A546&lt;=Dashboard!$F$17,MAX(0,W546-X546)*Dashboard!$F$6,0)</x:f>
      </x:c>
      <x:c r="Z546" s="32" t="e">
        <x:f>IF(A546&lt;=Dashboard!$F$17,MIN(Dashboard!$F$10,MAX(0,W546-X546)+Y546),0)</x:f>
      </x:c>
      <x:c r="AA546" s="32" t="e">
        <x:f>IF(A546&lt;=Dashboard!$F$17,MAX(0,W546-X546-MAX(0,Z546-Y546)),0)</x:f>
      </x:c>
      <x:c r="AB546" s="32" t="e">
        <x:f>IF(A546=1,Y546,AB545+Y546)</x:f>
      </x:c>
      <x:c r="AC546" s="32"/>
      <x:c r="AD546" s="32" t="e">
        <x:f>IF(A546=1,MAX(0,Dashboard!$F$14-$B$8),AG545)</x:f>
      </x:c>
      <x:c r="AE546" s="32" t="n">
        <x:f>0</x:f>
        <x:v>0</x:v>
      </x:c>
      <x:c r="AF546" s="32" t="e">
        <x:f>IF(A546&lt;=Dashboard!$F$17,AD546*Dashboard!$F$6,0)</x:f>
      </x:c>
      <x:c r="AG546" s="32" t="e">
        <x:f>IF(A546&lt;=Dashboard!$F$17,MIN(Dashboard!$F$10,AD546+AF546),0)</x:f>
      </x:c>
      <x:c r="AH546" s="32" t="e">
        <x:f>IF(A546&lt;=Dashboard!$F$17,MAX(0,AD546-MAX(0,AG546-AF546)),0)</x:f>
      </x:c>
      <x:c r="AI546" s="32" t="e">
        <x:f>IF(A546=1,AF546,AI545+AF546)</x:f>
      </x:c>
      <x:c r="AJ546" s="33"/>
      <x:c r="AK546" s="33"/>
      <x:c r="AL546" s="33"/>
      <x:c r="AM546" s="33"/>
    </x:row>
    <x:row r="547">
      <x:c r="A547" s="33" t="n">
        <x:v>535</x:v>
      </x:c>
      <x:c r="B547" s="32" t="e">
        <x:f>IF(A547=1,Dashboard!$F$14,F546)</x:f>
      </x:c>
      <x:c r="C547" s="32" t="n">
        <x:f>0</x:f>
        <x:v>0</x:v>
      </x:c>
      <x:c r="D547" s="32" t="e">
        <x:f>IF(A547&lt;=Dashboard!$F$15,B547*Dashboard!$F$6,0)</x:f>
      </x:c>
      <x:c r="E547" s="32" t="e">
        <x:f>IF(A547&lt;=Dashboard!$F$15,MIN(Dashboard!$F$10,B547+D547),0)</x:f>
      </x:c>
      <x:c r="F547" s="32" t="e">
        <x:f>IF(A547&lt;=Dashboard!$F$15,MAX(0,B547-MAX(0,E547-D547)),0)</x:f>
      </x:c>
      <x:c r="G547" s="32" t="e">
        <x:f>IF(A547=1,D547,G546+D547)</x:f>
      </x:c>
      <x:c r="H547" s="32"/>
      <x:c r="I547" s="32" t="e">
        <x:f>IF(A547=1,Dashboard!$F$14,M546)</x:f>
      </x:c>
      <x:c r="J547" s="32" t="e">
        <x:f>IF(A547&lt;=Dashboard!$F$17,MIN(I547,$B$5),0)</x:f>
      </x:c>
      <x:c r="K547" s="32" t="e">
        <x:f>IF(A547&lt;=Dashboard!$F$17,MAX(0,I547-J547)*Dashboard!$F$6,0)</x:f>
      </x:c>
      <x:c r="L547" s="32" t="e">
        <x:f>IF(A547&lt;=Dashboard!$F$17,MIN(Dashboard!$F$10,MAX(0,I547-J547)+K547),0)</x:f>
      </x:c>
      <x:c r="M547" s="32" t="e">
        <x:f>IF(A547&lt;=Dashboard!$F$17,MAX(0,I547-J547-MAX(0,L547-K547)),0)</x:f>
      </x:c>
      <x:c r="N547" s="32" t="e">
        <x:f>IF(A547=1,K547,N546+K547)</x:f>
      </x:c>
      <x:c r="O547" s="32"/>
      <x:c r="P547" s="32" t="e">
        <x:f>IF(A547=1,Dashboard!$F$14,T546)</x:f>
      </x:c>
      <x:c r="Q547" s="32" t="e">
        <x:f>IF(A547&lt;=Dashboard!$F$17,MIN(P547,$B$6*52/12),0)</x:f>
      </x:c>
      <x:c r="R547" s="32" t="e">
        <x:f>IF(A547&lt;=Dashboard!$F$17,MAX(0,P547-Q547)*Dashboard!$F$6,0)</x:f>
      </x:c>
      <x:c r="S547" s="32" t="e">
        <x:f>IF(A547&lt;=Dashboard!$F$17,MIN(Dashboard!$F$10,MAX(0,P547-Q547)+R547),0)</x:f>
      </x:c>
      <x:c r="T547" s="32" t="e">
        <x:f>IF(A547&lt;=Dashboard!$F$17,MAX(0,P547-Q547-MAX(0,S547-R547)),0)</x:f>
      </x:c>
      <x:c r="U547" s="32" t="e">
        <x:f>IF(A547=1,R547,U546+R547)</x:f>
      </x:c>
      <x:c r="V547" s="32"/>
      <x:c r="W547" s="32" t="e">
        <x:f>IF(A547=1,Dashboard!$F$14,AA546)</x:f>
      </x:c>
      <x:c r="X547" s="32" t="e">
        <x:f>IF(AND(A547&lt;=Dashboard!$F$17,MOD(A547-1,12)=0),MIN(W547,$B$7),0)</x:f>
      </x:c>
      <x:c r="Y547" s="32" t="e">
        <x:f>IF(A547&lt;=Dashboard!$F$17,MAX(0,W547-X547)*Dashboard!$F$6,0)</x:f>
      </x:c>
      <x:c r="Z547" s="32" t="e">
        <x:f>IF(A547&lt;=Dashboard!$F$17,MIN(Dashboard!$F$10,MAX(0,W547-X547)+Y547),0)</x:f>
      </x:c>
      <x:c r="AA547" s="32" t="e">
        <x:f>IF(A547&lt;=Dashboard!$F$17,MAX(0,W547-X547-MAX(0,Z547-Y547)),0)</x:f>
      </x:c>
      <x:c r="AB547" s="32" t="e">
        <x:f>IF(A547=1,Y547,AB546+Y547)</x:f>
      </x:c>
      <x:c r="AC547" s="32"/>
      <x:c r="AD547" s="32" t="e">
        <x:f>IF(A547=1,MAX(0,Dashboard!$F$14-$B$8),AG546)</x:f>
      </x:c>
      <x:c r="AE547" s="32" t="n">
        <x:f>0</x:f>
        <x:v>0</x:v>
      </x:c>
      <x:c r="AF547" s="32" t="e">
        <x:f>IF(A547&lt;=Dashboard!$F$17,AD547*Dashboard!$F$6,0)</x:f>
      </x:c>
      <x:c r="AG547" s="32" t="e">
        <x:f>IF(A547&lt;=Dashboard!$F$17,MIN(Dashboard!$F$10,AD547+AF547),0)</x:f>
      </x:c>
      <x:c r="AH547" s="32" t="e">
        <x:f>IF(A547&lt;=Dashboard!$F$17,MAX(0,AD547-MAX(0,AG547-AF547)),0)</x:f>
      </x:c>
      <x:c r="AI547" s="32" t="e">
        <x:f>IF(A547=1,AF547,AI546+AF547)</x:f>
      </x:c>
      <x:c r="AJ547" s="33"/>
      <x:c r="AK547" s="33"/>
      <x:c r="AL547" s="33"/>
      <x:c r="AM547" s="33"/>
    </x:row>
    <x:row r="548">
      <x:c r="A548" s="33" t="n">
        <x:v>536</x:v>
      </x:c>
      <x:c r="B548" s="32" t="e">
        <x:f>IF(A548=1,Dashboard!$F$14,F547)</x:f>
      </x:c>
      <x:c r="C548" s="32" t="n">
        <x:f>0</x:f>
        <x:v>0</x:v>
      </x:c>
      <x:c r="D548" s="32" t="e">
        <x:f>IF(A548&lt;=Dashboard!$F$15,B548*Dashboard!$F$6,0)</x:f>
      </x:c>
      <x:c r="E548" s="32" t="e">
        <x:f>IF(A548&lt;=Dashboard!$F$15,MIN(Dashboard!$F$10,B548+D548),0)</x:f>
      </x:c>
      <x:c r="F548" s="32" t="e">
        <x:f>IF(A548&lt;=Dashboard!$F$15,MAX(0,B548-MAX(0,E548-D548)),0)</x:f>
      </x:c>
      <x:c r="G548" s="32" t="e">
        <x:f>IF(A548=1,D548,G547+D548)</x:f>
      </x:c>
      <x:c r="H548" s="32"/>
      <x:c r="I548" s="32" t="e">
        <x:f>IF(A548=1,Dashboard!$F$14,M547)</x:f>
      </x:c>
      <x:c r="J548" s="32" t="e">
        <x:f>IF(A548&lt;=Dashboard!$F$17,MIN(I548,$B$5),0)</x:f>
      </x:c>
      <x:c r="K548" s="32" t="e">
        <x:f>IF(A548&lt;=Dashboard!$F$17,MAX(0,I548-J548)*Dashboard!$F$6,0)</x:f>
      </x:c>
      <x:c r="L548" s="32" t="e">
        <x:f>IF(A548&lt;=Dashboard!$F$17,MIN(Dashboard!$F$10,MAX(0,I548-J548)+K548),0)</x:f>
      </x:c>
      <x:c r="M548" s="32" t="e">
        <x:f>IF(A548&lt;=Dashboard!$F$17,MAX(0,I548-J548-MAX(0,L548-K548)),0)</x:f>
      </x:c>
      <x:c r="N548" s="32" t="e">
        <x:f>IF(A548=1,K548,N547+K548)</x:f>
      </x:c>
      <x:c r="O548" s="32"/>
      <x:c r="P548" s="32" t="e">
        <x:f>IF(A548=1,Dashboard!$F$14,T547)</x:f>
      </x:c>
      <x:c r="Q548" s="32" t="e">
        <x:f>IF(A548&lt;=Dashboard!$F$17,MIN(P548,$B$6*52/12),0)</x:f>
      </x:c>
      <x:c r="R548" s="32" t="e">
        <x:f>IF(A548&lt;=Dashboard!$F$17,MAX(0,P548-Q548)*Dashboard!$F$6,0)</x:f>
      </x:c>
      <x:c r="S548" s="32" t="e">
        <x:f>IF(A548&lt;=Dashboard!$F$17,MIN(Dashboard!$F$10,MAX(0,P548-Q548)+R548),0)</x:f>
      </x:c>
      <x:c r="T548" s="32" t="e">
        <x:f>IF(A548&lt;=Dashboard!$F$17,MAX(0,P548-Q548-MAX(0,S548-R548)),0)</x:f>
      </x:c>
      <x:c r="U548" s="32" t="e">
        <x:f>IF(A548=1,R548,U547+R548)</x:f>
      </x:c>
      <x:c r="V548" s="32"/>
      <x:c r="W548" s="32" t="e">
        <x:f>IF(A548=1,Dashboard!$F$14,AA547)</x:f>
      </x:c>
      <x:c r="X548" s="32" t="e">
        <x:f>IF(AND(A548&lt;=Dashboard!$F$17,MOD(A548-1,12)=0),MIN(W548,$B$7),0)</x:f>
      </x:c>
      <x:c r="Y548" s="32" t="e">
        <x:f>IF(A548&lt;=Dashboard!$F$17,MAX(0,W548-X548)*Dashboard!$F$6,0)</x:f>
      </x:c>
      <x:c r="Z548" s="32" t="e">
        <x:f>IF(A548&lt;=Dashboard!$F$17,MIN(Dashboard!$F$10,MAX(0,W548-X548)+Y548),0)</x:f>
      </x:c>
      <x:c r="AA548" s="32" t="e">
        <x:f>IF(A548&lt;=Dashboard!$F$17,MAX(0,W548-X548-MAX(0,Z548-Y548)),0)</x:f>
      </x:c>
      <x:c r="AB548" s="32" t="e">
        <x:f>IF(A548=1,Y548,AB547+Y548)</x:f>
      </x:c>
      <x:c r="AC548" s="32"/>
      <x:c r="AD548" s="32" t="e">
        <x:f>IF(A548=1,MAX(0,Dashboard!$F$14-$B$8),AG547)</x:f>
      </x:c>
      <x:c r="AE548" s="32" t="n">
        <x:f>0</x:f>
        <x:v>0</x:v>
      </x:c>
      <x:c r="AF548" s="32" t="e">
        <x:f>IF(A548&lt;=Dashboard!$F$17,AD548*Dashboard!$F$6,0)</x:f>
      </x:c>
      <x:c r="AG548" s="32" t="e">
        <x:f>IF(A548&lt;=Dashboard!$F$17,MIN(Dashboard!$F$10,AD548+AF548),0)</x:f>
      </x:c>
      <x:c r="AH548" s="32" t="e">
        <x:f>IF(A548&lt;=Dashboard!$F$17,MAX(0,AD548-MAX(0,AG548-AF548)),0)</x:f>
      </x:c>
      <x:c r="AI548" s="32" t="e">
        <x:f>IF(A548=1,AF548,AI547+AF548)</x:f>
      </x:c>
      <x:c r="AJ548" s="33"/>
      <x:c r="AK548" s="33"/>
      <x:c r="AL548" s="33"/>
      <x:c r="AM548" s="33"/>
    </x:row>
    <x:row r="549">
      <x:c r="A549" s="33" t="n">
        <x:v>537</x:v>
      </x:c>
      <x:c r="B549" s="32" t="e">
        <x:f>IF(A549=1,Dashboard!$F$14,F548)</x:f>
      </x:c>
      <x:c r="C549" s="32" t="n">
        <x:f>0</x:f>
        <x:v>0</x:v>
      </x:c>
      <x:c r="D549" s="32" t="e">
        <x:f>IF(A549&lt;=Dashboard!$F$15,B549*Dashboard!$F$6,0)</x:f>
      </x:c>
      <x:c r="E549" s="32" t="e">
        <x:f>IF(A549&lt;=Dashboard!$F$15,MIN(Dashboard!$F$10,B549+D549),0)</x:f>
      </x:c>
      <x:c r="F549" s="32" t="e">
        <x:f>IF(A549&lt;=Dashboard!$F$15,MAX(0,B549-MAX(0,E549-D549)),0)</x:f>
      </x:c>
      <x:c r="G549" s="32" t="e">
        <x:f>IF(A549=1,D549,G548+D549)</x:f>
      </x:c>
      <x:c r="H549" s="32"/>
      <x:c r="I549" s="32" t="e">
        <x:f>IF(A549=1,Dashboard!$F$14,M548)</x:f>
      </x:c>
      <x:c r="J549" s="32" t="e">
        <x:f>IF(A549&lt;=Dashboard!$F$17,MIN(I549,$B$5),0)</x:f>
      </x:c>
      <x:c r="K549" s="32" t="e">
        <x:f>IF(A549&lt;=Dashboard!$F$17,MAX(0,I549-J549)*Dashboard!$F$6,0)</x:f>
      </x:c>
      <x:c r="L549" s="32" t="e">
        <x:f>IF(A549&lt;=Dashboard!$F$17,MIN(Dashboard!$F$10,MAX(0,I549-J549)+K549),0)</x:f>
      </x:c>
      <x:c r="M549" s="32" t="e">
        <x:f>IF(A549&lt;=Dashboard!$F$17,MAX(0,I549-J549-MAX(0,L549-K549)),0)</x:f>
      </x:c>
      <x:c r="N549" s="32" t="e">
        <x:f>IF(A549=1,K549,N548+K549)</x:f>
      </x:c>
      <x:c r="O549" s="32"/>
      <x:c r="P549" s="32" t="e">
        <x:f>IF(A549=1,Dashboard!$F$14,T548)</x:f>
      </x:c>
      <x:c r="Q549" s="32" t="e">
        <x:f>IF(A549&lt;=Dashboard!$F$17,MIN(P549,$B$6*52/12),0)</x:f>
      </x:c>
      <x:c r="R549" s="32" t="e">
        <x:f>IF(A549&lt;=Dashboard!$F$17,MAX(0,P549-Q549)*Dashboard!$F$6,0)</x:f>
      </x:c>
      <x:c r="S549" s="32" t="e">
        <x:f>IF(A549&lt;=Dashboard!$F$17,MIN(Dashboard!$F$10,MAX(0,P549-Q549)+R549),0)</x:f>
      </x:c>
      <x:c r="T549" s="32" t="e">
        <x:f>IF(A549&lt;=Dashboard!$F$17,MAX(0,P549-Q549-MAX(0,S549-R549)),0)</x:f>
      </x:c>
      <x:c r="U549" s="32" t="e">
        <x:f>IF(A549=1,R549,U548+R549)</x:f>
      </x:c>
      <x:c r="V549" s="32"/>
      <x:c r="W549" s="32" t="e">
        <x:f>IF(A549=1,Dashboard!$F$14,AA548)</x:f>
      </x:c>
      <x:c r="X549" s="32" t="e">
        <x:f>IF(AND(A549&lt;=Dashboard!$F$17,MOD(A549-1,12)=0),MIN(W549,$B$7),0)</x:f>
      </x:c>
      <x:c r="Y549" s="32" t="e">
        <x:f>IF(A549&lt;=Dashboard!$F$17,MAX(0,W549-X549)*Dashboard!$F$6,0)</x:f>
      </x:c>
      <x:c r="Z549" s="32" t="e">
        <x:f>IF(A549&lt;=Dashboard!$F$17,MIN(Dashboard!$F$10,MAX(0,W549-X549)+Y549),0)</x:f>
      </x:c>
      <x:c r="AA549" s="32" t="e">
        <x:f>IF(A549&lt;=Dashboard!$F$17,MAX(0,W549-X549-MAX(0,Z549-Y549)),0)</x:f>
      </x:c>
      <x:c r="AB549" s="32" t="e">
        <x:f>IF(A549=1,Y549,AB548+Y549)</x:f>
      </x:c>
      <x:c r="AC549" s="32"/>
      <x:c r="AD549" s="32" t="e">
        <x:f>IF(A549=1,MAX(0,Dashboard!$F$14-$B$8),AG548)</x:f>
      </x:c>
      <x:c r="AE549" s="32" t="n">
        <x:f>0</x:f>
        <x:v>0</x:v>
      </x:c>
      <x:c r="AF549" s="32" t="e">
        <x:f>IF(A549&lt;=Dashboard!$F$17,AD549*Dashboard!$F$6,0)</x:f>
      </x:c>
      <x:c r="AG549" s="32" t="e">
        <x:f>IF(A549&lt;=Dashboard!$F$17,MIN(Dashboard!$F$10,AD549+AF549),0)</x:f>
      </x:c>
      <x:c r="AH549" s="32" t="e">
        <x:f>IF(A549&lt;=Dashboard!$F$17,MAX(0,AD549-MAX(0,AG549-AF549)),0)</x:f>
      </x:c>
      <x:c r="AI549" s="32" t="e">
        <x:f>IF(A549=1,AF549,AI548+AF549)</x:f>
      </x:c>
      <x:c r="AJ549" s="33"/>
      <x:c r="AK549" s="33"/>
      <x:c r="AL549" s="33"/>
      <x:c r="AM549" s="33"/>
    </x:row>
    <x:row r="550">
      <x:c r="A550" s="33" t="n">
        <x:v>538</x:v>
      </x:c>
      <x:c r="B550" s="32" t="e">
        <x:f>IF(A550=1,Dashboard!$F$14,F549)</x:f>
      </x:c>
      <x:c r="C550" s="32" t="n">
        <x:f>0</x:f>
        <x:v>0</x:v>
      </x:c>
      <x:c r="D550" s="32" t="e">
        <x:f>IF(A550&lt;=Dashboard!$F$15,B550*Dashboard!$F$6,0)</x:f>
      </x:c>
      <x:c r="E550" s="32" t="e">
        <x:f>IF(A550&lt;=Dashboard!$F$15,MIN(Dashboard!$F$10,B550+D550),0)</x:f>
      </x:c>
      <x:c r="F550" s="32" t="e">
        <x:f>IF(A550&lt;=Dashboard!$F$15,MAX(0,B550-MAX(0,E550-D550)),0)</x:f>
      </x:c>
      <x:c r="G550" s="32" t="e">
        <x:f>IF(A550=1,D550,G549+D550)</x:f>
      </x:c>
      <x:c r="H550" s="32"/>
      <x:c r="I550" s="32" t="e">
        <x:f>IF(A550=1,Dashboard!$F$14,M549)</x:f>
      </x:c>
      <x:c r="J550" s="32" t="e">
        <x:f>IF(A550&lt;=Dashboard!$F$17,MIN(I550,$B$5),0)</x:f>
      </x:c>
      <x:c r="K550" s="32" t="e">
        <x:f>IF(A550&lt;=Dashboard!$F$17,MAX(0,I550-J550)*Dashboard!$F$6,0)</x:f>
      </x:c>
      <x:c r="L550" s="32" t="e">
        <x:f>IF(A550&lt;=Dashboard!$F$17,MIN(Dashboard!$F$10,MAX(0,I550-J550)+K550),0)</x:f>
      </x:c>
      <x:c r="M550" s="32" t="e">
        <x:f>IF(A550&lt;=Dashboard!$F$17,MAX(0,I550-J550-MAX(0,L550-K550)),0)</x:f>
      </x:c>
      <x:c r="N550" s="32" t="e">
        <x:f>IF(A550=1,K550,N549+K550)</x:f>
      </x:c>
      <x:c r="O550" s="32"/>
      <x:c r="P550" s="32" t="e">
        <x:f>IF(A550=1,Dashboard!$F$14,T549)</x:f>
      </x:c>
      <x:c r="Q550" s="32" t="e">
        <x:f>IF(A550&lt;=Dashboard!$F$17,MIN(P550,$B$6*52/12),0)</x:f>
      </x:c>
      <x:c r="R550" s="32" t="e">
        <x:f>IF(A550&lt;=Dashboard!$F$17,MAX(0,P550-Q550)*Dashboard!$F$6,0)</x:f>
      </x:c>
      <x:c r="S550" s="32" t="e">
        <x:f>IF(A550&lt;=Dashboard!$F$17,MIN(Dashboard!$F$10,MAX(0,P550-Q550)+R550),0)</x:f>
      </x:c>
      <x:c r="T550" s="32" t="e">
        <x:f>IF(A550&lt;=Dashboard!$F$17,MAX(0,P550-Q550-MAX(0,S550-R550)),0)</x:f>
      </x:c>
      <x:c r="U550" s="32" t="e">
        <x:f>IF(A550=1,R550,U549+R550)</x:f>
      </x:c>
      <x:c r="V550" s="32"/>
      <x:c r="W550" s="32" t="e">
        <x:f>IF(A550=1,Dashboard!$F$14,AA549)</x:f>
      </x:c>
      <x:c r="X550" s="32" t="e">
        <x:f>IF(AND(A550&lt;=Dashboard!$F$17,MOD(A550-1,12)=0),MIN(W550,$B$7),0)</x:f>
      </x:c>
      <x:c r="Y550" s="32" t="e">
        <x:f>IF(A550&lt;=Dashboard!$F$17,MAX(0,W550-X550)*Dashboard!$F$6,0)</x:f>
      </x:c>
      <x:c r="Z550" s="32" t="e">
        <x:f>IF(A550&lt;=Dashboard!$F$17,MIN(Dashboard!$F$10,MAX(0,W550-X550)+Y550),0)</x:f>
      </x:c>
      <x:c r="AA550" s="32" t="e">
        <x:f>IF(A550&lt;=Dashboard!$F$17,MAX(0,W550-X550-MAX(0,Z550-Y550)),0)</x:f>
      </x:c>
      <x:c r="AB550" s="32" t="e">
        <x:f>IF(A550=1,Y550,AB549+Y550)</x:f>
      </x:c>
      <x:c r="AC550" s="32"/>
      <x:c r="AD550" s="32" t="e">
        <x:f>IF(A550=1,MAX(0,Dashboard!$F$14-$B$8),AG549)</x:f>
      </x:c>
      <x:c r="AE550" s="32" t="n">
        <x:f>0</x:f>
        <x:v>0</x:v>
      </x:c>
      <x:c r="AF550" s="32" t="e">
        <x:f>IF(A550&lt;=Dashboard!$F$17,AD550*Dashboard!$F$6,0)</x:f>
      </x:c>
      <x:c r="AG550" s="32" t="e">
        <x:f>IF(A550&lt;=Dashboard!$F$17,MIN(Dashboard!$F$10,AD550+AF550),0)</x:f>
      </x:c>
      <x:c r="AH550" s="32" t="e">
        <x:f>IF(A550&lt;=Dashboard!$F$17,MAX(0,AD550-MAX(0,AG550-AF550)),0)</x:f>
      </x:c>
      <x:c r="AI550" s="32" t="e">
        <x:f>IF(A550=1,AF550,AI549+AF550)</x:f>
      </x:c>
      <x:c r="AJ550" s="33"/>
      <x:c r="AK550" s="33"/>
      <x:c r="AL550" s="33"/>
      <x:c r="AM550" s="33"/>
    </x:row>
    <x:row r="551">
      <x:c r="A551" s="33" t="n">
        <x:v>539</x:v>
      </x:c>
      <x:c r="B551" s="32" t="e">
        <x:f>IF(A551=1,Dashboard!$F$14,F550)</x:f>
      </x:c>
      <x:c r="C551" s="32" t="n">
        <x:f>0</x:f>
        <x:v>0</x:v>
      </x:c>
      <x:c r="D551" s="32" t="e">
        <x:f>IF(A551&lt;=Dashboard!$F$15,B551*Dashboard!$F$6,0)</x:f>
      </x:c>
      <x:c r="E551" s="32" t="e">
        <x:f>IF(A551&lt;=Dashboard!$F$15,MIN(Dashboard!$F$10,B551+D551),0)</x:f>
      </x:c>
      <x:c r="F551" s="32" t="e">
        <x:f>IF(A551&lt;=Dashboard!$F$15,MAX(0,B551-MAX(0,E551-D551)),0)</x:f>
      </x:c>
      <x:c r="G551" s="32" t="e">
        <x:f>IF(A551=1,D551,G550+D551)</x:f>
      </x:c>
      <x:c r="H551" s="32"/>
      <x:c r="I551" s="32" t="e">
        <x:f>IF(A551=1,Dashboard!$F$14,M550)</x:f>
      </x:c>
      <x:c r="J551" s="32" t="e">
        <x:f>IF(A551&lt;=Dashboard!$F$17,MIN(I551,$B$5),0)</x:f>
      </x:c>
      <x:c r="K551" s="32" t="e">
        <x:f>IF(A551&lt;=Dashboard!$F$17,MAX(0,I551-J551)*Dashboard!$F$6,0)</x:f>
      </x:c>
      <x:c r="L551" s="32" t="e">
        <x:f>IF(A551&lt;=Dashboard!$F$17,MIN(Dashboard!$F$10,MAX(0,I551-J551)+K551),0)</x:f>
      </x:c>
      <x:c r="M551" s="32" t="e">
        <x:f>IF(A551&lt;=Dashboard!$F$17,MAX(0,I551-J551-MAX(0,L551-K551)),0)</x:f>
      </x:c>
      <x:c r="N551" s="32" t="e">
        <x:f>IF(A551=1,K551,N550+K551)</x:f>
      </x:c>
      <x:c r="O551" s="32"/>
      <x:c r="P551" s="32" t="e">
        <x:f>IF(A551=1,Dashboard!$F$14,T550)</x:f>
      </x:c>
      <x:c r="Q551" s="32" t="e">
        <x:f>IF(A551&lt;=Dashboard!$F$17,MIN(P551,$B$6*52/12),0)</x:f>
      </x:c>
      <x:c r="R551" s="32" t="e">
        <x:f>IF(A551&lt;=Dashboard!$F$17,MAX(0,P551-Q551)*Dashboard!$F$6,0)</x:f>
      </x:c>
      <x:c r="S551" s="32" t="e">
        <x:f>IF(A551&lt;=Dashboard!$F$17,MIN(Dashboard!$F$10,MAX(0,P551-Q551)+R551),0)</x:f>
      </x:c>
      <x:c r="T551" s="32" t="e">
        <x:f>IF(A551&lt;=Dashboard!$F$17,MAX(0,P551-Q551-MAX(0,S551-R551)),0)</x:f>
      </x:c>
      <x:c r="U551" s="32" t="e">
        <x:f>IF(A551=1,R551,U550+R551)</x:f>
      </x:c>
      <x:c r="V551" s="32"/>
      <x:c r="W551" s="32" t="e">
        <x:f>IF(A551=1,Dashboard!$F$14,AA550)</x:f>
      </x:c>
      <x:c r="X551" s="32" t="e">
        <x:f>IF(AND(A551&lt;=Dashboard!$F$17,MOD(A551-1,12)=0),MIN(W551,$B$7),0)</x:f>
      </x:c>
      <x:c r="Y551" s="32" t="e">
        <x:f>IF(A551&lt;=Dashboard!$F$17,MAX(0,W551-X551)*Dashboard!$F$6,0)</x:f>
      </x:c>
      <x:c r="Z551" s="32" t="e">
        <x:f>IF(A551&lt;=Dashboard!$F$17,MIN(Dashboard!$F$10,MAX(0,W551-X551)+Y551),0)</x:f>
      </x:c>
      <x:c r="AA551" s="32" t="e">
        <x:f>IF(A551&lt;=Dashboard!$F$17,MAX(0,W551-X551-MAX(0,Z551-Y551)),0)</x:f>
      </x:c>
      <x:c r="AB551" s="32" t="e">
        <x:f>IF(A551=1,Y551,AB550+Y551)</x:f>
      </x:c>
      <x:c r="AC551" s="32"/>
      <x:c r="AD551" s="32" t="e">
        <x:f>IF(A551=1,MAX(0,Dashboard!$F$14-$B$8),AG550)</x:f>
      </x:c>
      <x:c r="AE551" s="32" t="n">
        <x:f>0</x:f>
        <x:v>0</x:v>
      </x:c>
      <x:c r="AF551" s="32" t="e">
        <x:f>IF(A551&lt;=Dashboard!$F$17,AD551*Dashboard!$F$6,0)</x:f>
      </x:c>
      <x:c r="AG551" s="32" t="e">
        <x:f>IF(A551&lt;=Dashboard!$F$17,MIN(Dashboard!$F$10,AD551+AF551),0)</x:f>
      </x:c>
      <x:c r="AH551" s="32" t="e">
        <x:f>IF(A551&lt;=Dashboard!$F$17,MAX(0,AD551-MAX(0,AG551-AF551)),0)</x:f>
      </x:c>
      <x:c r="AI551" s="32" t="e">
        <x:f>IF(A551=1,AF551,AI550+AF551)</x:f>
      </x:c>
      <x:c r="AJ551" s="33"/>
      <x:c r="AK551" s="33"/>
      <x:c r="AL551" s="33"/>
      <x:c r="AM551" s="33"/>
    </x:row>
    <x:row r="552">
      <x:c r="A552" s="33" t="n">
        <x:v>540</x:v>
      </x:c>
      <x:c r="B552" s="32" t="e">
        <x:f>IF(A552=1,Dashboard!$F$14,F551)</x:f>
      </x:c>
      <x:c r="C552" s="32" t="n">
        <x:f>0</x:f>
        <x:v>0</x:v>
      </x:c>
      <x:c r="D552" s="32" t="e">
        <x:f>IF(A552&lt;=Dashboard!$F$15,B552*Dashboard!$F$6,0)</x:f>
      </x:c>
      <x:c r="E552" s="32" t="e">
        <x:f>IF(A552&lt;=Dashboard!$F$15,MIN(Dashboard!$F$10,B552+D552),0)</x:f>
      </x:c>
      <x:c r="F552" s="32" t="e">
        <x:f>IF(A552&lt;=Dashboard!$F$15,MAX(0,B552-MAX(0,E552-D552)),0)</x:f>
      </x:c>
      <x:c r="G552" s="32" t="e">
        <x:f>IF(A552=1,D552,G551+D552)</x:f>
      </x:c>
      <x:c r="H552" s="32"/>
      <x:c r="I552" s="32" t="e">
        <x:f>IF(A552=1,Dashboard!$F$14,M551)</x:f>
      </x:c>
      <x:c r="J552" s="32" t="e">
        <x:f>IF(A552&lt;=Dashboard!$F$17,MIN(I552,$B$5),0)</x:f>
      </x:c>
      <x:c r="K552" s="32" t="e">
        <x:f>IF(A552&lt;=Dashboard!$F$17,MAX(0,I552-J552)*Dashboard!$F$6,0)</x:f>
      </x:c>
      <x:c r="L552" s="32" t="e">
        <x:f>IF(A552&lt;=Dashboard!$F$17,MIN(Dashboard!$F$10,MAX(0,I552-J552)+K552),0)</x:f>
      </x:c>
      <x:c r="M552" s="32" t="e">
        <x:f>IF(A552&lt;=Dashboard!$F$17,MAX(0,I552-J552-MAX(0,L552-K552)),0)</x:f>
      </x:c>
      <x:c r="N552" s="32" t="e">
        <x:f>IF(A552=1,K552,N551+K552)</x:f>
      </x:c>
      <x:c r="O552" s="32"/>
      <x:c r="P552" s="32" t="e">
        <x:f>IF(A552=1,Dashboard!$F$14,T551)</x:f>
      </x:c>
      <x:c r="Q552" s="32" t="e">
        <x:f>IF(A552&lt;=Dashboard!$F$17,MIN(P552,$B$6*52/12),0)</x:f>
      </x:c>
      <x:c r="R552" s="32" t="e">
        <x:f>IF(A552&lt;=Dashboard!$F$17,MAX(0,P552-Q552)*Dashboard!$F$6,0)</x:f>
      </x:c>
      <x:c r="S552" s="32" t="e">
        <x:f>IF(A552&lt;=Dashboard!$F$17,MIN(Dashboard!$F$10,MAX(0,P552-Q552)+R552),0)</x:f>
      </x:c>
      <x:c r="T552" s="32" t="e">
        <x:f>IF(A552&lt;=Dashboard!$F$17,MAX(0,P552-Q552-MAX(0,S552-R552)),0)</x:f>
      </x:c>
      <x:c r="U552" s="32" t="e">
        <x:f>IF(A552=1,R552,U551+R552)</x:f>
      </x:c>
      <x:c r="V552" s="32"/>
      <x:c r="W552" s="32" t="e">
        <x:f>IF(A552=1,Dashboard!$F$14,AA551)</x:f>
      </x:c>
      <x:c r="X552" s="32" t="e">
        <x:f>IF(AND(A552&lt;=Dashboard!$F$17,MOD(A552-1,12)=0),MIN(W552,$B$7),0)</x:f>
      </x:c>
      <x:c r="Y552" s="32" t="e">
        <x:f>IF(A552&lt;=Dashboard!$F$17,MAX(0,W552-X552)*Dashboard!$F$6,0)</x:f>
      </x:c>
      <x:c r="Z552" s="32" t="e">
        <x:f>IF(A552&lt;=Dashboard!$F$17,MIN(Dashboard!$F$10,MAX(0,W552-X552)+Y552),0)</x:f>
      </x:c>
      <x:c r="AA552" s="32" t="e">
        <x:f>IF(A552&lt;=Dashboard!$F$17,MAX(0,W552-X552-MAX(0,Z552-Y552)),0)</x:f>
      </x:c>
      <x:c r="AB552" s="32" t="e">
        <x:f>IF(A552=1,Y552,AB551+Y552)</x:f>
      </x:c>
      <x:c r="AC552" s="32"/>
      <x:c r="AD552" s="32" t="e">
        <x:f>IF(A552=1,MAX(0,Dashboard!$F$14-$B$8),AG551)</x:f>
      </x:c>
      <x:c r="AE552" s="32" t="n">
        <x:f>0</x:f>
        <x:v>0</x:v>
      </x:c>
      <x:c r="AF552" s="32" t="e">
        <x:f>IF(A552&lt;=Dashboard!$F$17,AD552*Dashboard!$F$6,0)</x:f>
      </x:c>
      <x:c r="AG552" s="32" t="e">
        <x:f>IF(A552&lt;=Dashboard!$F$17,MIN(Dashboard!$F$10,AD552+AF552),0)</x:f>
      </x:c>
      <x:c r="AH552" s="32" t="e">
        <x:f>IF(A552&lt;=Dashboard!$F$17,MAX(0,AD552-MAX(0,AG552-AF552)),0)</x:f>
      </x:c>
      <x:c r="AI552" s="32" t="e">
        <x:f>IF(A552=1,AF552,AI551+AF552)</x:f>
      </x:c>
      <x:c r="AJ552" s="33"/>
      <x:c r="AK552" s="33"/>
      <x:c r="AL552" s="33"/>
      <x:c r="AM552" s="33"/>
    </x:row>
    <x:row r="553">
      <x:c r="A553" s="33" t="n">
        <x:v>541</x:v>
      </x:c>
      <x:c r="B553" s="32" t="e">
        <x:f>IF(A553=1,Dashboard!$F$14,F552)</x:f>
      </x:c>
      <x:c r="C553" s="32" t="n">
        <x:f>0</x:f>
        <x:v>0</x:v>
      </x:c>
      <x:c r="D553" s="32" t="e">
        <x:f>IF(A553&lt;=Dashboard!$F$15,B553*Dashboard!$F$6,0)</x:f>
      </x:c>
      <x:c r="E553" s="32" t="e">
        <x:f>IF(A553&lt;=Dashboard!$F$15,MIN(Dashboard!$F$10,B553+D553),0)</x:f>
      </x:c>
      <x:c r="F553" s="32" t="e">
        <x:f>IF(A553&lt;=Dashboard!$F$15,MAX(0,B553-MAX(0,E553-D553)),0)</x:f>
      </x:c>
      <x:c r="G553" s="32" t="e">
        <x:f>IF(A553=1,D553,G552+D553)</x:f>
      </x:c>
      <x:c r="H553" s="32"/>
      <x:c r="I553" s="32" t="e">
        <x:f>IF(A553=1,Dashboard!$F$14,M552)</x:f>
      </x:c>
      <x:c r="J553" s="32" t="e">
        <x:f>IF(A553&lt;=Dashboard!$F$17,MIN(I553,$B$5),0)</x:f>
      </x:c>
      <x:c r="K553" s="32" t="e">
        <x:f>IF(A553&lt;=Dashboard!$F$17,MAX(0,I553-J553)*Dashboard!$F$6,0)</x:f>
      </x:c>
      <x:c r="L553" s="32" t="e">
        <x:f>IF(A553&lt;=Dashboard!$F$17,MIN(Dashboard!$F$10,MAX(0,I553-J553)+K553),0)</x:f>
      </x:c>
      <x:c r="M553" s="32" t="e">
        <x:f>IF(A553&lt;=Dashboard!$F$17,MAX(0,I553-J553-MAX(0,L553-K553)),0)</x:f>
      </x:c>
      <x:c r="N553" s="32" t="e">
        <x:f>IF(A553=1,K553,N552+K553)</x:f>
      </x:c>
      <x:c r="O553" s="32"/>
      <x:c r="P553" s="32" t="e">
        <x:f>IF(A553=1,Dashboard!$F$14,T552)</x:f>
      </x:c>
      <x:c r="Q553" s="32" t="e">
        <x:f>IF(A553&lt;=Dashboard!$F$17,MIN(P553,$B$6*52/12),0)</x:f>
      </x:c>
      <x:c r="R553" s="32" t="e">
        <x:f>IF(A553&lt;=Dashboard!$F$17,MAX(0,P553-Q553)*Dashboard!$F$6,0)</x:f>
      </x:c>
      <x:c r="S553" s="32" t="e">
        <x:f>IF(A553&lt;=Dashboard!$F$17,MIN(Dashboard!$F$10,MAX(0,P553-Q553)+R553),0)</x:f>
      </x:c>
      <x:c r="T553" s="32" t="e">
        <x:f>IF(A553&lt;=Dashboard!$F$17,MAX(0,P553-Q553-MAX(0,S553-R553)),0)</x:f>
      </x:c>
      <x:c r="U553" s="32" t="e">
        <x:f>IF(A553=1,R553,U552+R553)</x:f>
      </x:c>
      <x:c r="V553" s="32"/>
      <x:c r="W553" s="32" t="e">
        <x:f>IF(A553=1,Dashboard!$F$14,AA552)</x:f>
      </x:c>
      <x:c r="X553" s="32" t="e">
        <x:f>IF(AND(A553&lt;=Dashboard!$F$17,MOD(A553-1,12)=0),MIN(W553,$B$7),0)</x:f>
      </x:c>
      <x:c r="Y553" s="32" t="e">
        <x:f>IF(A553&lt;=Dashboard!$F$17,MAX(0,W553-X553)*Dashboard!$F$6,0)</x:f>
      </x:c>
      <x:c r="Z553" s="32" t="e">
        <x:f>IF(A553&lt;=Dashboard!$F$17,MIN(Dashboard!$F$10,MAX(0,W553-X553)+Y553),0)</x:f>
      </x:c>
      <x:c r="AA553" s="32" t="e">
        <x:f>IF(A553&lt;=Dashboard!$F$17,MAX(0,W553-X553-MAX(0,Z553-Y553)),0)</x:f>
      </x:c>
      <x:c r="AB553" s="32" t="e">
        <x:f>IF(A553=1,Y553,AB552+Y553)</x:f>
      </x:c>
      <x:c r="AC553" s="32"/>
      <x:c r="AD553" s="32" t="e">
        <x:f>IF(A553=1,MAX(0,Dashboard!$F$14-$B$8),AG552)</x:f>
      </x:c>
      <x:c r="AE553" s="32" t="n">
        <x:f>0</x:f>
        <x:v>0</x:v>
      </x:c>
      <x:c r="AF553" s="32" t="e">
        <x:f>IF(A553&lt;=Dashboard!$F$17,AD553*Dashboard!$F$6,0)</x:f>
      </x:c>
      <x:c r="AG553" s="32" t="e">
        <x:f>IF(A553&lt;=Dashboard!$F$17,MIN(Dashboard!$F$10,AD553+AF553),0)</x:f>
      </x:c>
      <x:c r="AH553" s="32" t="e">
        <x:f>IF(A553&lt;=Dashboard!$F$17,MAX(0,AD553-MAX(0,AG553-AF553)),0)</x:f>
      </x:c>
      <x:c r="AI553" s="32" t="e">
        <x:f>IF(A553=1,AF553,AI552+AF553)</x:f>
      </x:c>
      <x:c r="AJ553" s="33"/>
      <x:c r="AK553" s="33"/>
      <x:c r="AL553" s="33"/>
      <x:c r="AM553" s="33"/>
    </x:row>
    <x:row r="554">
      <x:c r="A554" s="33" t="n">
        <x:v>542</x:v>
      </x:c>
      <x:c r="B554" s="32" t="e">
        <x:f>IF(A554=1,Dashboard!$F$14,F553)</x:f>
      </x:c>
      <x:c r="C554" s="32" t="n">
        <x:f>0</x:f>
        <x:v>0</x:v>
      </x:c>
      <x:c r="D554" s="32" t="e">
        <x:f>IF(A554&lt;=Dashboard!$F$15,B554*Dashboard!$F$6,0)</x:f>
      </x:c>
      <x:c r="E554" s="32" t="e">
        <x:f>IF(A554&lt;=Dashboard!$F$15,MIN(Dashboard!$F$10,B554+D554),0)</x:f>
      </x:c>
      <x:c r="F554" s="32" t="e">
        <x:f>IF(A554&lt;=Dashboard!$F$15,MAX(0,B554-MAX(0,E554-D554)),0)</x:f>
      </x:c>
      <x:c r="G554" s="32" t="e">
        <x:f>IF(A554=1,D554,G553+D554)</x:f>
      </x:c>
      <x:c r="H554" s="32"/>
      <x:c r="I554" s="32" t="e">
        <x:f>IF(A554=1,Dashboard!$F$14,M553)</x:f>
      </x:c>
      <x:c r="J554" s="32" t="e">
        <x:f>IF(A554&lt;=Dashboard!$F$17,MIN(I554,$B$5),0)</x:f>
      </x:c>
      <x:c r="K554" s="32" t="e">
        <x:f>IF(A554&lt;=Dashboard!$F$17,MAX(0,I554-J554)*Dashboard!$F$6,0)</x:f>
      </x:c>
      <x:c r="L554" s="32" t="e">
        <x:f>IF(A554&lt;=Dashboard!$F$17,MIN(Dashboard!$F$10,MAX(0,I554-J554)+K554),0)</x:f>
      </x:c>
      <x:c r="M554" s="32" t="e">
        <x:f>IF(A554&lt;=Dashboard!$F$17,MAX(0,I554-J554-MAX(0,L554-K554)),0)</x:f>
      </x:c>
      <x:c r="N554" s="32" t="e">
        <x:f>IF(A554=1,K554,N553+K554)</x:f>
      </x:c>
      <x:c r="O554" s="32"/>
      <x:c r="P554" s="32" t="e">
        <x:f>IF(A554=1,Dashboard!$F$14,T553)</x:f>
      </x:c>
      <x:c r="Q554" s="32" t="e">
        <x:f>IF(A554&lt;=Dashboard!$F$17,MIN(P554,$B$6*52/12),0)</x:f>
      </x:c>
      <x:c r="R554" s="32" t="e">
        <x:f>IF(A554&lt;=Dashboard!$F$17,MAX(0,P554-Q554)*Dashboard!$F$6,0)</x:f>
      </x:c>
      <x:c r="S554" s="32" t="e">
        <x:f>IF(A554&lt;=Dashboard!$F$17,MIN(Dashboard!$F$10,MAX(0,P554-Q554)+R554),0)</x:f>
      </x:c>
      <x:c r="T554" s="32" t="e">
        <x:f>IF(A554&lt;=Dashboard!$F$17,MAX(0,P554-Q554-MAX(0,S554-R554)),0)</x:f>
      </x:c>
      <x:c r="U554" s="32" t="e">
        <x:f>IF(A554=1,R554,U553+R554)</x:f>
      </x:c>
      <x:c r="V554" s="32"/>
      <x:c r="W554" s="32" t="e">
        <x:f>IF(A554=1,Dashboard!$F$14,AA553)</x:f>
      </x:c>
      <x:c r="X554" s="32" t="e">
        <x:f>IF(AND(A554&lt;=Dashboard!$F$17,MOD(A554-1,12)=0),MIN(W554,$B$7),0)</x:f>
      </x:c>
      <x:c r="Y554" s="32" t="e">
        <x:f>IF(A554&lt;=Dashboard!$F$17,MAX(0,W554-X554)*Dashboard!$F$6,0)</x:f>
      </x:c>
      <x:c r="Z554" s="32" t="e">
        <x:f>IF(A554&lt;=Dashboard!$F$17,MIN(Dashboard!$F$10,MAX(0,W554-X554)+Y554),0)</x:f>
      </x:c>
      <x:c r="AA554" s="32" t="e">
        <x:f>IF(A554&lt;=Dashboard!$F$17,MAX(0,W554-X554-MAX(0,Z554-Y554)),0)</x:f>
      </x:c>
      <x:c r="AB554" s="32" t="e">
        <x:f>IF(A554=1,Y554,AB553+Y554)</x:f>
      </x:c>
      <x:c r="AC554" s="32"/>
      <x:c r="AD554" s="32" t="e">
        <x:f>IF(A554=1,MAX(0,Dashboard!$F$14-$B$8),AG553)</x:f>
      </x:c>
      <x:c r="AE554" s="32" t="n">
        <x:f>0</x:f>
        <x:v>0</x:v>
      </x:c>
      <x:c r="AF554" s="32" t="e">
        <x:f>IF(A554&lt;=Dashboard!$F$17,AD554*Dashboard!$F$6,0)</x:f>
      </x:c>
      <x:c r="AG554" s="32" t="e">
        <x:f>IF(A554&lt;=Dashboard!$F$17,MIN(Dashboard!$F$10,AD554+AF554),0)</x:f>
      </x:c>
      <x:c r="AH554" s="32" t="e">
        <x:f>IF(A554&lt;=Dashboard!$F$17,MAX(0,AD554-MAX(0,AG554-AF554)),0)</x:f>
      </x:c>
      <x:c r="AI554" s="32" t="e">
        <x:f>IF(A554=1,AF554,AI553+AF554)</x:f>
      </x:c>
      <x:c r="AJ554" s="33"/>
      <x:c r="AK554" s="33"/>
      <x:c r="AL554" s="33"/>
      <x:c r="AM554" s="33"/>
    </x:row>
    <x:row r="555">
      <x:c r="A555" s="33" t="n">
        <x:v>543</x:v>
      </x:c>
      <x:c r="B555" s="32" t="e">
        <x:f>IF(A555=1,Dashboard!$F$14,F554)</x:f>
      </x:c>
      <x:c r="C555" s="32" t="n">
        <x:f>0</x:f>
        <x:v>0</x:v>
      </x:c>
      <x:c r="D555" s="32" t="e">
        <x:f>IF(A555&lt;=Dashboard!$F$15,B555*Dashboard!$F$6,0)</x:f>
      </x:c>
      <x:c r="E555" s="32" t="e">
        <x:f>IF(A555&lt;=Dashboard!$F$15,MIN(Dashboard!$F$10,B555+D555),0)</x:f>
      </x:c>
      <x:c r="F555" s="32" t="e">
        <x:f>IF(A555&lt;=Dashboard!$F$15,MAX(0,B555-MAX(0,E555-D555)),0)</x:f>
      </x:c>
      <x:c r="G555" s="32" t="e">
        <x:f>IF(A555=1,D555,G554+D555)</x:f>
      </x:c>
      <x:c r="H555" s="32"/>
      <x:c r="I555" s="32" t="e">
        <x:f>IF(A555=1,Dashboard!$F$14,M554)</x:f>
      </x:c>
      <x:c r="J555" s="32" t="e">
        <x:f>IF(A555&lt;=Dashboard!$F$17,MIN(I555,$B$5),0)</x:f>
      </x:c>
      <x:c r="K555" s="32" t="e">
        <x:f>IF(A555&lt;=Dashboard!$F$17,MAX(0,I555-J555)*Dashboard!$F$6,0)</x:f>
      </x:c>
      <x:c r="L555" s="32" t="e">
        <x:f>IF(A555&lt;=Dashboard!$F$17,MIN(Dashboard!$F$10,MAX(0,I555-J555)+K555),0)</x:f>
      </x:c>
      <x:c r="M555" s="32" t="e">
        <x:f>IF(A555&lt;=Dashboard!$F$17,MAX(0,I555-J555-MAX(0,L555-K555)),0)</x:f>
      </x:c>
      <x:c r="N555" s="32" t="e">
        <x:f>IF(A555=1,K555,N554+K555)</x:f>
      </x:c>
      <x:c r="O555" s="32"/>
      <x:c r="P555" s="32" t="e">
        <x:f>IF(A555=1,Dashboard!$F$14,T554)</x:f>
      </x:c>
      <x:c r="Q555" s="32" t="e">
        <x:f>IF(A555&lt;=Dashboard!$F$17,MIN(P555,$B$6*52/12),0)</x:f>
      </x:c>
      <x:c r="R555" s="32" t="e">
        <x:f>IF(A555&lt;=Dashboard!$F$17,MAX(0,P555-Q555)*Dashboard!$F$6,0)</x:f>
      </x:c>
      <x:c r="S555" s="32" t="e">
        <x:f>IF(A555&lt;=Dashboard!$F$17,MIN(Dashboard!$F$10,MAX(0,P555-Q555)+R555),0)</x:f>
      </x:c>
      <x:c r="T555" s="32" t="e">
        <x:f>IF(A555&lt;=Dashboard!$F$17,MAX(0,P555-Q555-MAX(0,S555-R555)),0)</x:f>
      </x:c>
      <x:c r="U555" s="32" t="e">
        <x:f>IF(A555=1,R555,U554+R555)</x:f>
      </x:c>
      <x:c r="V555" s="32"/>
      <x:c r="W555" s="32" t="e">
        <x:f>IF(A555=1,Dashboard!$F$14,AA554)</x:f>
      </x:c>
      <x:c r="X555" s="32" t="e">
        <x:f>IF(AND(A555&lt;=Dashboard!$F$17,MOD(A555-1,12)=0),MIN(W555,$B$7),0)</x:f>
      </x:c>
      <x:c r="Y555" s="32" t="e">
        <x:f>IF(A555&lt;=Dashboard!$F$17,MAX(0,W555-X555)*Dashboard!$F$6,0)</x:f>
      </x:c>
      <x:c r="Z555" s="32" t="e">
        <x:f>IF(A555&lt;=Dashboard!$F$17,MIN(Dashboard!$F$10,MAX(0,W555-X555)+Y555),0)</x:f>
      </x:c>
      <x:c r="AA555" s="32" t="e">
        <x:f>IF(A555&lt;=Dashboard!$F$17,MAX(0,W555-X555-MAX(0,Z555-Y555)),0)</x:f>
      </x:c>
      <x:c r="AB555" s="32" t="e">
        <x:f>IF(A555=1,Y555,AB554+Y555)</x:f>
      </x:c>
      <x:c r="AC555" s="32"/>
      <x:c r="AD555" s="32" t="e">
        <x:f>IF(A555=1,MAX(0,Dashboard!$F$14-$B$8),AG554)</x:f>
      </x:c>
      <x:c r="AE555" s="32" t="n">
        <x:f>0</x:f>
        <x:v>0</x:v>
      </x:c>
      <x:c r="AF555" s="32" t="e">
        <x:f>IF(A555&lt;=Dashboard!$F$17,AD555*Dashboard!$F$6,0)</x:f>
      </x:c>
      <x:c r="AG555" s="32" t="e">
        <x:f>IF(A555&lt;=Dashboard!$F$17,MIN(Dashboard!$F$10,AD555+AF555),0)</x:f>
      </x:c>
      <x:c r="AH555" s="32" t="e">
        <x:f>IF(A555&lt;=Dashboard!$F$17,MAX(0,AD555-MAX(0,AG555-AF555)),0)</x:f>
      </x:c>
      <x:c r="AI555" s="32" t="e">
        <x:f>IF(A555=1,AF555,AI554+AF555)</x:f>
      </x:c>
      <x:c r="AJ555" s="33"/>
      <x:c r="AK555" s="33"/>
      <x:c r="AL555" s="33"/>
      <x:c r="AM555" s="33"/>
    </x:row>
    <x:row r="556">
      <x:c r="A556" s="33" t="n">
        <x:v>544</x:v>
      </x:c>
      <x:c r="B556" s="32" t="e">
        <x:f>IF(A556=1,Dashboard!$F$14,F555)</x:f>
      </x:c>
      <x:c r="C556" s="32" t="n">
        <x:f>0</x:f>
        <x:v>0</x:v>
      </x:c>
      <x:c r="D556" s="32" t="e">
        <x:f>IF(A556&lt;=Dashboard!$F$15,B556*Dashboard!$F$6,0)</x:f>
      </x:c>
      <x:c r="E556" s="32" t="e">
        <x:f>IF(A556&lt;=Dashboard!$F$15,MIN(Dashboard!$F$10,B556+D556),0)</x:f>
      </x:c>
      <x:c r="F556" s="32" t="e">
        <x:f>IF(A556&lt;=Dashboard!$F$15,MAX(0,B556-MAX(0,E556-D556)),0)</x:f>
      </x:c>
      <x:c r="G556" s="32" t="e">
        <x:f>IF(A556=1,D556,G555+D556)</x:f>
      </x:c>
      <x:c r="H556" s="32"/>
      <x:c r="I556" s="32" t="e">
        <x:f>IF(A556=1,Dashboard!$F$14,M555)</x:f>
      </x:c>
      <x:c r="J556" s="32" t="e">
        <x:f>IF(A556&lt;=Dashboard!$F$17,MIN(I556,$B$5),0)</x:f>
      </x:c>
      <x:c r="K556" s="32" t="e">
        <x:f>IF(A556&lt;=Dashboard!$F$17,MAX(0,I556-J556)*Dashboard!$F$6,0)</x:f>
      </x:c>
      <x:c r="L556" s="32" t="e">
        <x:f>IF(A556&lt;=Dashboard!$F$17,MIN(Dashboard!$F$10,MAX(0,I556-J556)+K556),0)</x:f>
      </x:c>
      <x:c r="M556" s="32" t="e">
        <x:f>IF(A556&lt;=Dashboard!$F$17,MAX(0,I556-J556-MAX(0,L556-K556)),0)</x:f>
      </x:c>
      <x:c r="N556" s="32" t="e">
        <x:f>IF(A556=1,K556,N555+K556)</x:f>
      </x:c>
      <x:c r="O556" s="32"/>
      <x:c r="P556" s="32" t="e">
        <x:f>IF(A556=1,Dashboard!$F$14,T555)</x:f>
      </x:c>
      <x:c r="Q556" s="32" t="e">
        <x:f>IF(A556&lt;=Dashboard!$F$17,MIN(P556,$B$6*52/12),0)</x:f>
      </x:c>
      <x:c r="R556" s="32" t="e">
        <x:f>IF(A556&lt;=Dashboard!$F$17,MAX(0,P556-Q556)*Dashboard!$F$6,0)</x:f>
      </x:c>
      <x:c r="S556" s="32" t="e">
        <x:f>IF(A556&lt;=Dashboard!$F$17,MIN(Dashboard!$F$10,MAX(0,P556-Q556)+R556),0)</x:f>
      </x:c>
      <x:c r="T556" s="32" t="e">
        <x:f>IF(A556&lt;=Dashboard!$F$17,MAX(0,P556-Q556-MAX(0,S556-R556)),0)</x:f>
      </x:c>
      <x:c r="U556" s="32" t="e">
        <x:f>IF(A556=1,R556,U555+R556)</x:f>
      </x:c>
      <x:c r="V556" s="32"/>
      <x:c r="W556" s="32" t="e">
        <x:f>IF(A556=1,Dashboard!$F$14,AA555)</x:f>
      </x:c>
      <x:c r="X556" s="32" t="e">
        <x:f>IF(AND(A556&lt;=Dashboard!$F$17,MOD(A556-1,12)=0),MIN(W556,$B$7),0)</x:f>
      </x:c>
      <x:c r="Y556" s="32" t="e">
        <x:f>IF(A556&lt;=Dashboard!$F$17,MAX(0,W556-X556)*Dashboard!$F$6,0)</x:f>
      </x:c>
      <x:c r="Z556" s="32" t="e">
        <x:f>IF(A556&lt;=Dashboard!$F$17,MIN(Dashboard!$F$10,MAX(0,W556-X556)+Y556),0)</x:f>
      </x:c>
      <x:c r="AA556" s="32" t="e">
        <x:f>IF(A556&lt;=Dashboard!$F$17,MAX(0,W556-X556-MAX(0,Z556-Y556)),0)</x:f>
      </x:c>
      <x:c r="AB556" s="32" t="e">
        <x:f>IF(A556=1,Y556,AB555+Y556)</x:f>
      </x:c>
      <x:c r="AC556" s="32"/>
      <x:c r="AD556" s="32" t="e">
        <x:f>IF(A556=1,MAX(0,Dashboard!$F$14-$B$8),AG555)</x:f>
      </x:c>
      <x:c r="AE556" s="32" t="n">
        <x:f>0</x:f>
        <x:v>0</x:v>
      </x:c>
      <x:c r="AF556" s="32" t="e">
        <x:f>IF(A556&lt;=Dashboard!$F$17,AD556*Dashboard!$F$6,0)</x:f>
      </x:c>
      <x:c r="AG556" s="32" t="e">
        <x:f>IF(A556&lt;=Dashboard!$F$17,MIN(Dashboard!$F$10,AD556+AF556),0)</x:f>
      </x:c>
      <x:c r="AH556" s="32" t="e">
        <x:f>IF(A556&lt;=Dashboard!$F$17,MAX(0,AD556-MAX(0,AG556-AF556)),0)</x:f>
      </x:c>
      <x:c r="AI556" s="32" t="e">
        <x:f>IF(A556=1,AF556,AI555+AF556)</x:f>
      </x:c>
      <x:c r="AJ556" s="33"/>
      <x:c r="AK556" s="33"/>
      <x:c r="AL556" s="33"/>
      <x:c r="AM556" s="33"/>
    </x:row>
    <x:row r="557">
      <x:c r="A557" s="33" t="n">
        <x:v>545</x:v>
      </x:c>
      <x:c r="B557" s="32" t="e">
        <x:f>IF(A557=1,Dashboard!$F$14,F556)</x:f>
      </x:c>
      <x:c r="C557" s="32" t="n">
        <x:f>0</x:f>
        <x:v>0</x:v>
      </x:c>
      <x:c r="D557" s="32" t="e">
        <x:f>IF(A557&lt;=Dashboard!$F$15,B557*Dashboard!$F$6,0)</x:f>
      </x:c>
      <x:c r="E557" s="32" t="e">
        <x:f>IF(A557&lt;=Dashboard!$F$15,MIN(Dashboard!$F$10,B557+D557),0)</x:f>
      </x:c>
      <x:c r="F557" s="32" t="e">
        <x:f>IF(A557&lt;=Dashboard!$F$15,MAX(0,B557-MAX(0,E557-D557)),0)</x:f>
      </x:c>
      <x:c r="G557" s="32" t="e">
        <x:f>IF(A557=1,D557,G556+D557)</x:f>
      </x:c>
      <x:c r="H557" s="32"/>
      <x:c r="I557" s="32" t="e">
        <x:f>IF(A557=1,Dashboard!$F$14,M556)</x:f>
      </x:c>
      <x:c r="J557" s="32" t="e">
        <x:f>IF(A557&lt;=Dashboard!$F$17,MIN(I557,$B$5),0)</x:f>
      </x:c>
      <x:c r="K557" s="32" t="e">
        <x:f>IF(A557&lt;=Dashboard!$F$17,MAX(0,I557-J557)*Dashboard!$F$6,0)</x:f>
      </x:c>
      <x:c r="L557" s="32" t="e">
        <x:f>IF(A557&lt;=Dashboard!$F$17,MIN(Dashboard!$F$10,MAX(0,I557-J557)+K557),0)</x:f>
      </x:c>
      <x:c r="M557" s="32" t="e">
        <x:f>IF(A557&lt;=Dashboard!$F$17,MAX(0,I557-J557-MAX(0,L557-K557)),0)</x:f>
      </x:c>
      <x:c r="N557" s="32" t="e">
        <x:f>IF(A557=1,K557,N556+K557)</x:f>
      </x:c>
      <x:c r="O557" s="32"/>
      <x:c r="P557" s="32" t="e">
        <x:f>IF(A557=1,Dashboard!$F$14,T556)</x:f>
      </x:c>
      <x:c r="Q557" s="32" t="e">
        <x:f>IF(A557&lt;=Dashboard!$F$17,MIN(P557,$B$6*52/12),0)</x:f>
      </x:c>
      <x:c r="R557" s="32" t="e">
        <x:f>IF(A557&lt;=Dashboard!$F$17,MAX(0,P557-Q557)*Dashboard!$F$6,0)</x:f>
      </x:c>
      <x:c r="S557" s="32" t="e">
        <x:f>IF(A557&lt;=Dashboard!$F$17,MIN(Dashboard!$F$10,MAX(0,P557-Q557)+R557),0)</x:f>
      </x:c>
      <x:c r="T557" s="32" t="e">
        <x:f>IF(A557&lt;=Dashboard!$F$17,MAX(0,P557-Q557-MAX(0,S557-R557)),0)</x:f>
      </x:c>
      <x:c r="U557" s="32" t="e">
        <x:f>IF(A557=1,R557,U556+R557)</x:f>
      </x:c>
      <x:c r="V557" s="32"/>
      <x:c r="W557" s="32" t="e">
        <x:f>IF(A557=1,Dashboard!$F$14,AA556)</x:f>
      </x:c>
      <x:c r="X557" s="32" t="e">
        <x:f>IF(AND(A557&lt;=Dashboard!$F$17,MOD(A557-1,12)=0),MIN(W557,$B$7),0)</x:f>
      </x:c>
      <x:c r="Y557" s="32" t="e">
        <x:f>IF(A557&lt;=Dashboard!$F$17,MAX(0,W557-X557)*Dashboard!$F$6,0)</x:f>
      </x:c>
      <x:c r="Z557" s="32" t="e">
        <x:f>IF(A557&lt;=Dashboard!$F$17,MIN(Dashboard!$F$10,MAX(0,W557-X557)+Y557),0)</x:f>
      </x:c>
      <x:c r="AA557" s="32" t="e">
        <x:f>IF(A557&lt;=Dashboard!$F$17,MAX(0,W557-X557-MAX(0,Z557-Y557)),0)</x:f>
      </x:c>
      <x:c r="AB557" s="32" t="e">
        <x:f>IF(A557=1,Y557,AB556+Y557)</x:f>
      </x:c>
      <x:c r="AC557" s="32"/>
      <x:c r="AD557" s="32" t="e">
        <x:f>IF(A557=1,MAX(0,Dashboard!$F$14-$B$8),AG556)</x:f>
      </x:c>
      <x:c r="AE557" s="32" t="n">
        <x:f>0</x:f>
        <x:v>0</x:v>
      </x:c>
      <x:c r="AF557" s="32" t="e">
        <x:f>IF(A557&lt;=Dashboard!$F$17,AD557*Dashboard!$F$6,0)</x:f>
      </x:c>
      <x:c r="AG557" s="32" t="e">
        <x:f>IF(A557&lt;=Dashboard!$F$17,MIN(Dashboard!$F$10,AD557+AF557),0)</x:f>
      </x:c>
      <x:c r="AH557" s="32" t="e">
        <x:f>IF(A557&lt;=Dashboard!$F$17,MAX(0,AD557-MAX(0,AG557-AF557)),0)</x:f>
      </x:c>
      <x:c r="AI557" s="32" t="e">
        <x:f>IF(A557=1,AF557,AI556+AF557)</x:f>
      </x:c>
      <x:c r="AJ557" s="33"/>
      <x:c r="AK557" s="33"/>
      <x:c r="AL557" s="33"/>
      <x:c r="AM557" s="33"/>
    </x:row>
    <x:row r="558">
      <x:c r="A558" s="33" t="n">
        <x:v>546</x:v>
      </x:c>
      <x:c r="B558" s="32" t="e">
        <x:f>IF(A558=1,Dashboard!$F$14,F557)</x:f>
      </x:c>
      <x:c r="C558" s="32" t="n">
        <x:f>0</x:f>
        <x:v>0</x:v>
      </x:c>
      <x:c r="D558" s="32" t="e">
        <x:f>IF(A558&lt;=Dashboard!$F$15,B558*Dashboard!$F$6,0)</x:f>
      </x:c>
      <x:c r="E558" s="32" t="e">
        <x:f>IF(A558&lt;=Dashboard!$F$15,MIN(Dashboard!$F$10,B558+D558),0)</x:f>
      </x:c>
      <x:c r="F558" s="32" t="e">
        <x:f>IF(A558&lt;=Dashboard!$F$15,MAX(0,B558-MAX(0,E558-D558)),0)</x:f>
      </x:c>
      <x:c r="G558" s="32" t="e">
        <x:f>IF(A558=1,D558,G557+D558)</x:f>
      </x:c>
      <x:c r="H558" s="32"/>
      <x:c r="I558" s="32" t="e">
        <x:f>IF(A558=1,Dashboard!$F$14,M557)</x:f>
      </x:c>
      <x:c r="J558" s="32" t="e">
        <x:f>IF(A558&lt;=Dashboard!$F$17,MIN(I558,$B$5),0)</x:f>
      </x:c>
      <x:c r="K558" s="32" t="e">
        <x:f>IF(A558&lt;=Dashboard!$F$17,MAX(0,I558-J558)*Dashboard!$F$6,0)</x:f>
      </x:c>
      <x:c r="L558" s="32" t="e">
        <x:f>IF(A558&lt;=Dashboard!$F$17,MIN(Dashboard!$F$10,MAX(0,I558-J558)+K558),0)</x:f>
      </x:c>
      <x:c r="M558" s="32" t="e">
        <x:f>IF(A558&lt;=Dashboard!$F$17,MAX(0,I558-J558-MAX(0,L558-K558)),0)</x:f>
      </x:c>
      <x:c r="N558" s="32" t="e">
        <x:f>IF(A558=1,K558,N557+K558)</x:f>
      </x:c>
      <x:c r="O558" s="32"/>
      <x:c r="P558" s="32" t="e">
        <x:f>IF(A558=1,Dashboard!$F$14,T557)</x:f>
      </x:c>
      <x:c r="Q558" s="32" t="e">
        <x:f>IF(A558&lt;=Dashboard!$F$17,MIN(P558,$B$6*52/12),0)</x:f>
      </x:c>
      <x:c r="R558" s="32" t="e">
        <x:f>IF(A558&lt;=Dashboard!$F$17,MAX(0,P558-Q558)*Dashboard!$F$6,0)</x:f>
      </x:c>
      <x:c r="S558" s="32" t="e">
        <x:f>IF(A558&lt;=Dashboard!$F$17,MIN(Dashboard!$F$10,MAX(0,P558-Q558)+R558),0)</x:f>
      </x:c>
      <x:c r="T558" s="32" t="e">
        <x:f>IF(A558&lt;=Dashboard!$F$17,MAX(0,P558-Q558-MAX(0,S558-R558)),0)</x:f>
      </x:c>
      <x:c r="U558" s="32" t="e">
        <x:f>IF(A558=1,R558,U557+R558)</x:f>
      </x:c>
      <x:c r="V558" s="32"/>
      <x:c r="W558" s="32" t="e">
        <x:f>IF(A558=1,Dashboard!$F$14,AA557)</x:f>
      </x:c>
      <x:c r="X558" s="32" t="e">
        <x:f>IF(AND(A558&lt;=Dashboard!$F$17,MOD(A558-1,12)=0),MIN(W558,$B$7),0)</x:f>
      </x:c>
      <x:c r="Y558" s="32" t="e">
        <x:f>IF(A558&lt;=Dashboard!$F$17,MAX(0,W558-X558)*Dashboard!$F$6,0)</x:f>
      </x:c>
      <x:c r="Z558" s="32" t="e">
        <x:f>IF(A558&lt;=Dashboard!$F$17,MIN(Dashboard!$F$10,MAX(0,W558-X558)+Y558),0)</x:f>
      </x:c>
      <x:c r="AA558" s="32" t="e">
        <x:f>IF(A558&lt;=Dashboard!$F$17,MAX(0,W558-X558-MAX(0,Z558-Y558)),0)</x:f>
      </x:c>
      <x:c r="AB558" s="32" t="e">
        <x:f>IF(A558=1,Y558,AB557+Y558)</x:f>
      </x:c>
      <x:c r="AC558" s="32"/>
      <x:c r="AD558" s="32" t="e">
        <x:f>IF(A558=1,MAX(0,Dashboard!$F$14-$B$8),AG557)</x:f>
      </x:c>
      <x:c r="AE558" s="32" t="n">
        <x:f>0</x:f>
        <x:v>0</x:v>
      </x:c>
      <x:c r="AF558" s="32" t="e">
        <x:f>IF(A558&lt;=Dashboard!$F$17,AD558*Dashboard!$F$6,0)</x:f>
      </x:c>
      <x:c r="AG558" s="32" t="e">
        <x:f>IF(A558&lt;=Dashboard!$F$17,MIN(Dashboard!$F$10,AD558+AF558),0)</x:f>
      </x:c>
      <x:c r="AH558" s="32" t="e">
        <x:f>IF(A558&lt;=Dashboard!$F$17,MAX(0,AD558-MAX(0,AG558-AF558)),0)</x:f>
      </x:c>
      <x:c r="AI558" s="32" t="e">
        <x:f>IF(A558=1,AF558,AI557+AF558)</x:f>
      </x:c>
      <x:c r="AJ558" s="33"/>
      <x:c r="AK558" s="33"/>
      <x:c r="AL558" s="33"/>
      <x:c r="AM558" s="33"/>
    </x:row>
    <x:row r="559">
      <x:c r="A559" s="33" t="n">
        <x:v>547</x:v>
      </x:c>
      <x:c r="B559" s="32" t="e">
        <x:f>IF(A559=1,Dashboard!$F$14,F558)</x:f>
      </x:c>
      <x:c r="C559" s="32" t="n">
        <x:f>0</x:f>
        <x:v>0</x:v>
      </x:c>
      <x:c r="D559" s="32" t="e">
        <x:f>IF(A559&lt;=Dashboard!$F$15,B559*Dashboard!$F$6,0)</x:f>
      </x:c>
      <x:c r="E559" s="32" t="e">
        <x:f>IF(A559&lt;=Dashboard!$F$15,MIN(Dashboard!$F$10,B559+D559),0)</x:f>
      </x:c>
      <x:c r="F559" s="32" t="e">
        <x:f>IF(A559&lt;=Dashboard!$F$15,MAX(0,B559-MAX(0,E559-D559)),0)</x:f>
      </x:c>
      <x:c r="G559" s="32" t="e">
        <x:f>IF(A559=1,D559,G558+D559)</x:f>
      </x:c>
      <x:c r="H559" s="32"/>
      <x:c r="I559" s="32" t="e">
        <x:f>IF(A559=1,Dashboard!$F$14,M558)</x:f>
      </x:c>
      <x:c r="J559" s="32" t="e">
        <x:f>IF(A559&lt;=Dashboard!$F$17,MIN(I559,$B$5),0)</x:f>
      </x:c>
      <x:c r="K559" s="32" t="e">
        <x:f>IF(A559&lt;=Dashboard!$F$17,MAX(0,I559-J559)*Dashboard!$F$6,0)</x:f>
      </x:c>
      <x:c r="L559" s="32" t="e">
        <x:f>IF(A559&lt;=Dashboard!$F$17,MIN(Dashboard!$F$10,MAX(0,I559-J559)+K559),0)</x:f>
      </x:c>
      <x:c r="M559" s="32" t="e">
        <x:f>IF(A559&lt;=Dashboard!$F$17,MAX(0,I559-J559-MAX(0,L559-K559)),0)</x:f>
      </x:c>
      <x:c r="N559" s="32" t="e">
        <x:f>IF(A559=1,K559,N558+K559)</x:f>
      </x:c>
      <x:c r="O559" s="32"/>
      <x:c r="P559" s="32" t="e">
        <x:f>IF(A559=1,Dashboard!$F$14,T558)</x:f>
      </x:c>
      <x:c r="Q559" s="32" t="e">
        <x:f>IF(A559&lt;=Dashboard!$F$17,MIN(P559,$B$6*52/12),0)</x:f>
      </x:c>
      <x:c r="R559" s="32" t="e">
        <x:f>IF(A559&lt;=Dashboard!$F$17,MAX(0,P559-Q559)*Dashboard!$F$6,0)</x:f>
      </x:c>
      <x:c r="S559" s="32" t="e">
        <x:f>IF(A559&lt;=Dashboard!$F$17,MIN(Dashboard!$F$10,MAX(0,P559-Q559)+R559),0)</x:f>
      </x:c>
      <x:c r="T559" s="32" t="e">
        <x:f>IF(A559&lt;=Dashboard!$F$17,MAX(0,P559-Q559-MAX(0,S559-R559)),0)</x:f>
      </x:c>
      <x:c r="U559" s="32" t="e">
        <x:f>IF(A559=1,R559,U558+R559)</x:f>
      </x:c>
      <x:c r="V559" s="32"/>
      <x:c r="W559" s="32" t="e">
        <x:f>IF(A559=1,Dashboard!$F$14,AA558)</x:f>
      </x:c>
      <x:c r="X559" s="32" t="e">
        <x:f>IF(AND(A559&lt;=Dashboard!$F$17,MOD(A559-1,12)=0),MIN(W559,$B$7),0)</x:f>
      </x:c>
      <x:c r="Y559" s="32" t="e">
        <x:f>IF(A559&lt;=Dashboard!$F$17,MAX(0,W559-X559)*Dashboard!$F$6,0)</x:f>
      </x:c>
      <x:c r="Z559" s="32" t="e">
        <x:f>IF(A559&lt;=Dashboard!$F$17,MIN(Dashboard!$F$10,MAX(0,W559-X559)+Y559),0)</x:f>
      </x:c>
      <x:c r="AA559" s="32" t="e">
        <x:f>IF(A559&lt;=Dashboard!$F$17,MAX(0,W559-X559-MAX(0,Z559-Y559)),0)</x:f>
      </x:c>
      <x:c r="AB559" s="32" t="e">
        <x:f>IF(A559=1,Y559,AB558+Y559)</x:f>
      </x:c>
      <x:c r="AC559" s="32"/>
      <x:c r="AD559" s="32" t="e">
        <x:f>IF(A559=1,MAX(0,Dashboard!$F$14-$B$8),AG558)</x:f>
      </x:c>
      <x:c r="AE559" s="32" t="n">
        <x:f>0</x:f>
        <x:v>0</x:v>
      </x:c>
      <x:c r="AF559" s="32" t="e">
        <x:f>IF(A559&lt;=Dashboard!$F$17,AD559*Dashboard!$F$6,0)</x:f>
      </x:c>
      <x:c r="AG559" s="32" t="e">
        <x:f>IF(A559&lt;=Dashboard!$F$17,MIN(Dashboard!$F$10,AD559+AF559),0)</x:f>
      </x:c>
      <x:c r="AH559" s="32" t="e">
        <x:f>IF(A559&lt;=Dashboard!$F$17,MAX(0,AD559-MAX(0,AG559-AF559)),0)</x:f>
      </x:c>
      <x:c r="AI559" s="32" t="e">
        <x:f>IF(A559=1,AF559,AI558+AF559)</x:f>
      </x:c>
      <x:c r="AJ559" s="33"/>
      <x:c r="AK559" s="33"/>
      <x:c r="AL559" s="33"/>
      <x:c r="AM559" s="33"/>
    </x:row>
    <x:row r="560">
      <x:c r="A560" s="33" t="n">
        <x:v>548</x:v>
      </x:c>
      <x:c r="B560" s="32" t="e">
        <x:f>IF(A560=1,Dashboard!$F$14,F559)</x:f>
      </x:c>
      <x:c r="C560" s="32" t="n">
        <x:f>0</x:f>
        <x:v>0</x:v>
      </x:c>
      <x:c r="D560" s="32" t="e">
        <x:f>IF(A560&lt;=Dashboard!$F$15,B560*Dashboard!$F$6,0)</x:f>
      </x:c>
      <x:c r="E560" s="32" t="e">
        <x:f>IF(A560&lt;=Dashboard!$F$15,MIN(Dashboard!$F$10,B560+D560),0)</x:f>
      </x:c>
      <x:c r="F560" s="32" t="e">
        <x:f>IF(A560&lt;=Dashboard!$F$15,MAX(0,B560-MAX(0,E560-D560)),0)</x:f>
      </x:c>
      <x:c r="G560" s="32" t="e">
        <x:f>IF(A560=1,D560,G559+D560)</x:f>
      </x:c>
      <x:c r="H560" s="32"/>
      <x:c r="I560" s="32" t="e">
        <x:f>IF(A560=1,Dashboard!$F$14,M559)</x:f>
      </x:c>
      <x:c r="J560" s="32" t="e">
        <x:f>IF(A560&lt;=Dashboard!$F$17,MIN(I560,$B$5),0)</x:f>
      </x:c>
      <x:c r="K560" s="32" t="e">
        <x:f>IF(A560&lt;=Dashboard!$F$17,MAX(0,I560-J560)*Dashboard!$F$6,0)</x:f>
      </x:c>
      <x:c r="L560" s="32" t="e">
        <x:f>IF(A560&lt;=Dashboard!$F$17,MIN(Dashboard!$F$10,MAX(0,I560-J560)+K560),0)</x:f>
      </x:c>
      <x:c r="M560" s="32" t="e">
        <x:f>IF(A560&lt;=Dashboard!$F$17,MAX(0,I560-J560-MAX(0,L560-K560)),0)</x:f>
      </x:c>
      <x:c r="N560" s="32" t="e">
        <x:f>IF(A560=1,K560,N559+K560)</x:f>
      </x:c>
      <x:c r="O560" s="32"/>
      <x:c r="P560" s="32" t="e">
        <x:f>IF(A560=1,Dashboard!$F$14,T559)</x:f>
      </x:c>
      <x:c r="Q560" s="32" t="e">
        <x:f>IF(A560&lt;=Dashboard!$F$17,MIN(P560,$B$6*52/12),0)</x:f>
      </x:c>
      <x:c r="R560" s="32" t="e">
        <x:f>IF(A560&lt;=Dashboard!$F$17,MAX(0,P560-Q560)*Dashboard!$F$6,0)</x:f>
      </x:c>
      <x:c r="S560" s="32" t="e">
        <x:f>IF(A560&lt;=Dashboard!$F$17,MIN(Dashboard!$F$10,MAX(0,P560-Q560)+R560),0)</x:f>
      </x:c>
      <x:c r="T560" s="32" t="e">
        <x:f>IF(A560&lt;=Dashboard!$F$17,MAX(0,P560-Q560-MAX(0,S560-R560)),0)</x:f>
      </x:c>
      <x:c r="U560" s="32" t="e">
        <x:f>IF(A560=1,R560,U559+R560)</x:f>
      </x:c>
      <x:c r="V560" s="32"/>
      <x:c r="W560" s="32" t="e">
        <x:f>IF(A560=1,Dashboard!$F$14,AA559)</x:f>
      </x:c>
      <x:c r="X560" s="32" t="e">
        <x:f>IF(AND(A560&lt;=Dashboard!$F$17,MOD(A560-1,12)=0),MIN(W560,$B$7),0)</x:f>
      </x:c>
      <x:c r="Y560" s="32" t="e">
        <x:f>IF(A560&lt;=Dashboard!$F$17,MAX(0,W560-X560)*Dashboard!$F$6,0)</x:f>
      </x:c>
      <x:c r="Z560" s="32" t="e">
        <x:f>IF(A560&lt;=Dashboard!$F$17,MIN(Dashboard!$F$10,MAX(0,W560-X560)+Y560),0)</x:f>
      </x:c>
      <x:c r="AA560" s="32" t="e">
        <x:f>IF(A560&lt;=Dashboard!$F$17,MAX(0,W560-X560-MAX(0,Z560-Y560)),0)</x:f>
      </x:c>
      <x:c r="AB560" s="32" t="e">
        <x:f>IF(A560=1,Y560,AB559+Y560)</x:f>
      </x:c>
      <x:c r="AC560" s="32"/>
      <x:c r="AD560" s="32" t="e">
        <x:f>IF(A560=1,MAX(0,Dashboard!$F$14-$B$8),AG559)</x:f>
      </x:c>
      <x:c r="AE560" s="32" t="n">
        <x:f>0</x:f>
        <x:v>0</x:v>
      </x:c>
      <x:c r="AF560" s="32" t="e">
        <x:f>IF(A560&lt;=Dashboard!$F$17,AD560*Dashboard!$F$6,0)</x:f>
      </x:c>
      <x:c r="AG560" s="32" t="e">
        <x:f>IF(A560&lt;=Dashboard!$F$17,MIN(Dashboard!$F$10,AD560+AF560),0)</x:f>
      </x:c>
      <x:c r="AH560" s="32" t="e">
        <x:f>IF(A560&lt;=Dashboard!$F$17,MAX(0,AD560-MAX(0,AG560-AF560)),0)</x:f>
      </x:c>
      <x:c r="AI560" s="32" t="e">
        <x:f>IF(A560=1,AF560,AI559+AF560)</x:f>
      </x:c>
      <x:c r="AJ560" s="33"/>
      <x:c r="AK560" s="33"/>
      <x:c r="AL560" s="33"/>
      <x:c r="AM560" s="33"/>
    </x:row>
    <x:row r="561">
      <x:c r="A561" s="33" t="n">
        <x:v>549</x:v>
      </x:c>
      <x:c r="B561" s="32" t="e">
        <x:f>IF(A561=1,Dashboard!$F$14,F560)</x:f>
      </x:c>
      <x:c r="C561" s="32" t="n">
        <x:f>0</x:f>
        <x:v>0</x:v>
      </x:c>
      <x:c r="D561" s="32" t="e">
        <x:f>IF(A561&lt;=Dashboard!$F$15,B561*Dashboard!$F$6,0)</x:f>
      </x:c>
      <x:c r="E561" s="32" t="e">
        <x:f>IF(A561&lt;=Dashboard!$F$15,MIN(Dashboard!$F$10,B561+D561),0)</x:f>
      </x:c>
      <x:c r="F561" s="32" t="e">
        <x:f>IF(A561&lt;=Dashboard!$F$15,MAX(0,B561-MAX(0,E561-D561)),0)</x:f>
      </x:c>
      <x:c r="G561" s="32" t="e">
        <x:f>IF(A561=1,D561,G560+D561)</x:f>
      </x:c>
      <x:c r="H561" s="32"/>
      <x:c r="I561" s="32" t="e">
        <x:f>IF(A561=1,Dashboard!$F$14,M560)</x:f>
      </x:c>
      <x:c r="J561" s="32" t="e">
        <x:f>IF(A561&lt;=Dashboard!$F$17,MIN(I561,$B$5),0)</x:f>
      </x:c>
      <x:c r="K561" s="32" t="e">
        <x:f>IF(A561&lt;=Dashboard!$F$17,MAX(0,I561-J561)*Dashboard!$F$6,0)</x:f>
      </x:c>
      <x:c r="L561" s="32" t="e">
        <x:f>IF(A561&lt;=Dashboard!$F$17,MIN(Dashboard!$F$10,MAX(0,I561-J561)+K561),0)</x:f>
      </x:c>
      <x:c r="M561" s="32" t="e">
        <x:f>IF(A561&lt;=Dashboard!$F$17,MAX(0,I561-J561-MAX(0,L561-K561)),0)</x:f>
      </x:c>
      <x:c r="N561" s="32" t="e">
        <x:f>IF(A561=1,K561,N560+K561)</x:f>
      </x:c>
      <x:c r="O561" s="32"/>
      <x:c r="P561" s="32" t="e">
        <x:f>IF(A561=1,Dashboard!$F$14,T560)</x:f>
      </x:c>
      <x:c r="Q561" s="32" t="e">
        <x:f>IF(A561&lt;=Dashboard!$F$17,MIN(P561,$B$6*52/12),0)</x:f>
      </x:c>
      <x:c r="R561" s="32" t="e">
        <x:f>IF(A561&lt;=Dashboard!$F$17,MAX(0,P561-Q561)*Dashboard!$F$6,0)</x:f>
      </x:c>
      <x:c r="S561" s="32" t="e">
        <x:f>IF(A561&lt;=Dashboard!$F$17,MIN(Dashboard!$F$10,MAX(0,P561-Q561)+R561),0)</x:f>
      </x:c>
      <x:c r="T561" s="32" t="e">
        <x:f>IF(A561&lt;=Dashboard!$F$17,MAX(0,P561-Q561-MAX(0,S561-R561)),0)</x:f>
      </x:c>
      <x:c r="U561" s="32" t="e">
        <x:f>IF(A561=1,R561,U560+R561)</x:f>
      </x:c>
      <x:c r="V561" s="32"/>
      <x:c r="W561" s="32" t="e">
        <x:f>IF(A561=1,Dashboard!$F$14,AA560)</x:f>
      </x:c>
      <x:c r="X561" s="32" t="e">
        <x:f>IF(AND(A561&lt;=Dashboard!$F$17,MOD(A561-1,12)=0),MIN(W561,$B$7),0)</x:f>
      </x:c>
      <x:c r="Y561" s="32" t="e">
        <x:f>IF(A561&lt;=Dashboard!$F$17,MAX(0,W561-X561)*Dashboard!$F$6,0)</x:f>
      </x:c>
      <x:c r="Z561" s="32" t="e">
        <x:f>IF(A561&lt;=Dashboard!$F$17,MIN(Dashboard!$F$10,MAX(0,W561-X561)+Y561),0)</x:f>
      </x:c>
      <x:c r="AA561" s="32" t="e">
        <x:f>IF(A561&lt;=Dashboard!$F$17,MAX(0,W561-X561-MAX(0,Z561-Y561)),0)</x:f>
      </x:c>
      <x:c r="AB561" s="32" t="e">
        <x:f>IF(A561=1,Y561,AB560+Y561)</x:f>
      </x:c>
      <x:c r="AC561" s="32"/>
      <x:c r="AD561" s="32" t="e">
        <x:f>IF(A561=1,MAX(0,Dashboard!$F$14-$B$8),AG560)</x:f>
      </x:c>
      <x:c r="AE561" s="32" t="n">
        <x:f>0</x:f>
        <x:v>0</x:v>
      </x:c>
      <x:c r="AF561" s="32" t="e">
        <x:f>IF(A561&lt;=Dashboard!$F$17,AD561*Dashboard!$F$6,0)</x:f>
      </x:c>
      <x:c r="AG561" s="32" t="e">
        <x:f>IF(A561&lt;=Dashboard!$F$17,MIN(Dashboard!$F$10,AD561+AF561),0)</x:f>
      </x:c>
      <x:c r="AH561" s="32" t="e">
        <x:f>IF(A561&lt;=Dashboard!$F$17,MAX(0,AD561-MAX(0,AG561-AF561)),0)</x:f>
      </x:c>
      <x:c r="AI561" s="32" t="e">
        <x:f>IF(A561=1,AF561,AI560+AF561)</x:f>
      </x:c>
      <x:c r="AJ561" s="33"/>
      <x:c r="AK561" s="33"/>
      <x:c r="AL561" s="33"/>
      <x:c r="AM561" s="33"/>
    </x:row>
    <x:row r="562">
      <x:c r="A562" s="33" t="n">
        <x:v>550</x:v>
      </x:c>
      <x:c r="B562" s="32" t="e">
        <x:f>IF(A562=1,Dashboard!$F$14,F561)</x:f>
      </x:c>
      <x:c r="C562" s="32" t="n">
        <x:f>0</x:f>
        <x:v>0</x:v>
      </x:c>
      <x:c r="D562" s="32" t="e">
        <x:f>IF(A562&lt;=Dashboard!$F$15,B562*Dashboard!$F$6,0)</x:f>
      </x:c>
      <x:c r="E562" s="32" t="e">
        <x:f>IF(A562&lt;=Dashboard!$F$15,MIN(Dashboard!$F$10,B562+D562),0)</x:f>
      </x:c>
      <x:c r="F562" s="32" t="e">
        <x:f>IF(A562&lt;=Dashboard!$F$15,MAX(0,B562-MAX(0,E562-D562)),0)</x:f>
      </x:c>
      <x:c r="G562" s="32" t="e">
        <x:f>IF(A562=1,D562,G561+D562)</x:f>
      </x:c>
      <x:c r="H562" s="32"/>
      <x:c r="I562" s="32" t="e">
        <x:f>IF(A562=1,Dashboard!$F$14,M561)</x:f>
      </x:c>
      <x:c r="J562" s="32" t="e">
        <x:f>IF(A562&lt;=Dashboard!$F$17,MIN(I562,$B$5),0)</x:f>
      </x:c>
      <x:c r="K562" s="32" t="e">
        <x:f>IF(A562&lt;=Dashboard!$F$17,MAX(0,I562-J562)*Dashboard!$F$6,0)</x:f>
      </x:c>
      <x:c r="L562" s="32" t="e">
        <x:f>IF(A562&lt;=Dashboard!$F$17,MIN(Dashboard!$F$10,MAX(0,I562-J562)+K562),0)</x:f>
      </x:c>
      <x:c r="M562" s="32" t="e">
        <x:f>IF(A562&lt;=Dashboard!$F$17,MAX(0,I562-J562-MAX(0,L562-K562)),0)</x:f>
      </x:c>
      <x:c r="N562" s="32" t="e">
        <x:f>IF(A562=1,K562,N561+K562)</x:f>
      </x:c>
      <x:c r="O562" s="32"/>
      <x:c r="P562" s="32" t="e">
        <x:f>IF(A562=1,Dashboard!$F$14,T561)</x:f>
      </x:c>
      <x:c r="Q562" s="32" t="e">
        <x:f>IF(A562&lt;=Dashboard!$F$17,MIN(P562,$B$6*52/12),0)</x:f>
      </x:c>
      <x:c r="R562" s="32" t="e">
        <x:f>IF(A562&lt;=Dashboard!$F$17,MAX(0,P562-Q562)*Dashboard!$F$6,0)</x:f>
      </x:c>
      <x:c r="S562" s="32" t="e">
        <x:f>IF(A562&lt;=Dashboard!$F$17,MIN(Dashboard!$F$10,MAX(0,P562-Q562)+R562),0)</x:f>
      </x:c>
      <x:c r="T562" s="32" t="e">
        <x:f>IF(A562&lt;=Dashboard!$F$17,MAX(0,P562-Q562-MAX(0,S562-R562)),0)</x:f>
      </x:c>
      <x:c r="U562" s="32" t="e">
        <x:f>IF(A562=1,R562,U561+R562)</x:f>
      </x:c>
      <x:c r="V562" s="32"/>
      <x:c r="W562" s="32" t="e">
        <x:f>IF(A562=1,Dashboard!$F$14,AA561)</x:f>
      </x:c>
      <x:c r="X562" s="32" t="e">
        <x:f>IF(AND(A562&lt;=Dashboard!$F$17,MOD(A562-1,12)=0),MIN(W562,$B$7),0)</x:f>
      </x:c>
      <x:c r="Y562" s="32" t="e">
        <x:f>IF(A562&lt;=Dashboard!$F$17,MAX(0,W562-X562)*Dashboard!$F$6,0)</x:f>
      </x:c>
      <x:c r="Z562" s="32" t="e">
        <x:f>IF(A562&lt;=Dashboard!$F$17,MIN(Dashboard!$F$10,MAX(0,W562-X562)+Y562),0)</x:f>
      </x:c>
      <x:c r="AA562" s="32" t="e">
        <x:f>IF(A562&lt;=Dashboard!$F$17,MAX(0,W562-X562-MAX(0,Z562-Y562)),0)</x:f>
      </x:c>
      <x:c r="AB562" s="32" t="e">
        <x:f>IF(A562=1,Y562,AB561+Y562)</x:f>
      </x:c>
      <x:c r="AC562" s="32"/>
      <x:c r="AD562" s="32" t="e">
        <x:f>IF(A562=1,MAX(0,Dashboard!$F$14-$B$8),AG561)</x:f>
      </x:c>
      <x:c r="AE562" s="32" t="n">
        <x:f>0</x:f>
        <x:v>0</x:v>
      </x:c>
      <x:c r="AF562" s="32" t="e">
        <x:f>IF(A562&lt;=Dashboard!$F$17,AD562*Dashboard!$F$6,0)</x:f>
      </x:c>
      <x:c r="AG562" s="32" t="e">
        <x:f>IF(A562&lt;=Dashboard!$F$17,MIN(Dashboard!$F$10,AD562+AF562),0)</x:f>
      </x:c>
      <x:c r="AH562" s="32" t="e">
        <x:f>IF(A562&lt;=Dashboard!$F$17,MAX(0,AD562-MAX(0,AG562-AF562)),0)</x:f>
      </x:c>
      <x:c r="AI562" s="32" t="e">
        <x:f>IF(A562=1,AF562,AI561+AF562)</x:f>
      </x:c>
      <x:c r="AJ562" s="33"/>
      <x:c r="AK562" s="33"/>
      <x:c r="AL562" s="33"/>
      <x:c r="AM562" s="33"/>
    </x:row>
    <x:row r="563">
      <x:c r="A563" s="33" t="n">
        <x:v>551</x:v>
      </x:c>
      <x:c r="B563" s="32" t="e">
        <x:f>IF(A563=1,Dashboard!$F$14,F562)</x:f>
      </x:c>
      <x:c r="C563" s="32" t="n">
        <x:f>0</x:f>
        <x:v>0</x:v>
      </x:c>
      <x:c r="D563" s="32" t="e">
        <x:f>IF(A563&lt;=Dashboard!$F$15,B563*Dashboard!$F$6,0)</x:f>
      </x:c>
      <x:c r="E563" s="32" t="e">
        <x:f>IF(A563&lt;=Dashboard!$F$15,MIN(Dashboard!$F$10,B563+D563),0)</x:f>
      </x:c>
      <x:c r="F563" s="32" t="e">
        <x:f>IF(A563&lt;=Dashboard!$F$15,MAX(0,B563-MAX(0,E563-D563)),0)</x:f>
      </x:c>
      <x:c r="G563" s="32" t="e">
        <x:f>IF(A563=1,D563,G562+D563)</x:f>
      </x:c>
      <x:c r="H563" s="32"/>
      <x:c r="I563" s="32" t="e">
        <x:f>IF(A563=1,Dashboard!$F$14,M562)</x:f>
      </x:c>
      <x:c r="J563" s="32" t="e">
        <x:f>IF(A563&lt;=Dashboard!$F$17,MIN(I563,$B$5),0)</x:f>
      </x:c>
      <x:c r="K563" s="32" t="e">
        <x:f>IF(A563&lt;=Dashboard!$F$17,MAX(0,I563-J563)*Dashboard!$F$6,0)</x:f>
      </x:c>
      <x:c r="L563" s="32" t="e">
        <x:f>IF(A563&lt;=Dashboard!$F$17,MIN(Dashboard!$F$10,MAX(0,I563-J563)+K563),0)</x:f>
      </x:c>
      <x:c r="M563" s="32" t="e">
        <x:f>IF(A563&lt;=Dashboard!$F$17,MAX(0,I563-J563-MAX(0,L563-K563)),0)</x:f>
      </x:c>
      <x:c r="N563" s="32" t="e">
        <x:f>IF(A563=1,K563,N562+K563)</x:f>
      </x:c>
      <x:c r="O563" s="32"/>
      <x:c r="P563" s="32" t="e">
        <x:f>IF(A563=1,Dashboard!$F$14,T562)</x:f>
      </x:c>
      <x:c r="Q563" s="32" t="e">
        <x:f>IF(A563&lt;=Dashboard!$F$17,MIN(P563,$B$6*52/12),0)</x:f>
      </x:c>
      <x:c r="R563" s="32" t="e">
        <x:f>IF(A563&lt;=Dashboard!$F$17,MAX(0,P563-Q563)*Dashboard!$F$6,0)</x:f>
      </x:c>
      <x:c r="S563" s="32" t="e">
        <x:f>IF(A563&lt;=Dashboard!$F$17,MIN(Dashboard!$F$10,MAX(0,P563-Q563)+R563),0)</x:f>
      </x:c>
      <x:c r="T563" s="32" t="e">
        <x:f>IF(A563&lt;=Dashboard!$F$17,MAX(0,P563-Q563-MAX(0,S563-R563)),0)</x:f>
      </x:c>
      <x:c r="U563" s="32" t="e">
        <x:f>IF(A563=1,R563,U562+R563)</x:f>
      </x:c>
      <x:c r="V563" s="32"/>
      <x:c r="W563" s="32" t="e">
        <x:f>IF(A563=1,Dashboard!$F$14,AA562)</x:f>
      </x:c>
      <x:c r="X563" s="32" t="e">
        <x:f>IF(AND(A563&lt;=Dashboard!$F$17,MOD(A563-1,12)=0),MIN(W563,$B$7),0)</x:f>
      </x:c>
      <x:c r="Y563" s="32" t="e">
        <x:f>IF(A563&lt;=Dashboard!$F$17,MAX(0,W563-X563)*Dashboard!$F$6,0)</x:f>
      </x:c>
      <x:c r="Z563" s="32" t="e">
        <x:f>IF(A563&lt;=Dashboard!$F$17,MIN(Dashboard!$F$10,MAX(0,W563-X563)+Y563),0)</x:f>
      </x:c>
      <x:c r="AA563" s="32" t="e">
        <x:f>IF(A563&lt;=Dashboard!$F$17,MAX(0,W563-X563-MAX(0,Z563-Y563)),0)</x:f>
      </x:c>
      <x:c r="AB563" s="32" t="e">
        <x:f>IF(A563=1,Y563,AB562+Y563)</x:f>
      </x:c>
      <x:c r="AC563" s="32"/>
      <x:c r="AD563" s="32" t="e">
        <x:f>IF(A563=1,MAX(0,Dashboard!$F$14-$B$8),AG562)</x:f>
      </x:c>
      <x:c r="AE563" s="32" t="n">
        <x:f>0</x:f>
        <x:v>0</x:v>
      </x:c>
      <x:c r="AF563" s="32" t="e">
        <x:f>IF(A563&lt;=Dashboard!$F$17,AD563*Dashboard!$F$6,0)</x:f>
      </x:c>
      <x:c r="AG563" s="32" t="e">
        <x:f>IF(A563&lt;=Dashboard!$F$17,MIN(Dashboard!$F$10,AD563+AF563),0)</x:f>
      </x:c>
      <x:c r="AH563" s="32" t="e">
        <x:f>IF(A563&lt;=Dashboard!$F$17,MAX(0,AD563-MAX(0,AG563-AF563)),0)</x:f>
      </x:c>
      <x:c r="AI563" s="32" t="e">
        <x:f>IF(A563=1,AF563,AI562+AF563)</x:f>
      </x:c>
      <x:c r="AJ563" s="33"/>
      <x:c r="AK563" s="33"/>
      <x:c r="AL563" s="33"/>
      <x:c r="AM563" s="33"/>
    </x:row>
    <x:row r="564">
      <x:c r="A564" s="33" t="n">
        <x:v>552</x:v>
      </x:c>
      <x:c r="B564" s="32" t="e">
        <x:f>IF(A564=1,Dashboard!$F$14,F563)</x:f>
      </x:c>
      <x:c r="C564" s="32" t="n">
        <x:f>0</x:f>
        <x:v>0</x:v>
      </x:c>
      <x:c r="D564" s="32" t="e">
        <x:f>IF(A564&lt;=Dashboard!$F$15,B564*Dashboard!$F$6,0)</x:f>
      </x:c>
      <x:c r="E564" s="32" t="e">
        <x:f>IF(A564&lt;=Dashboard!$F$15,MIN(Dashboard!$F$10,B564+D564),0)</x:f>
      </x:c>
      <x:c r="F564" s="32" t="e">
        <x:f>IF(A564&lt;=Dashboard!$F$15,MAX(0,B564-MAX(0,E564-D564)),0)</x:f>
      </x:c>
      <x:c r="G564" s="32" t="e">
        <x:f>IF(A564=1,D564,G563+D564)</x:f>
      </x:c>
      <x:c r="H564" s="32"/>
      <x:c r="I564" s="32" t="e">
        <x:f>IF(A564=1,Dashboard!$F$14,M563)</x:f>
      </x:c>
      <x:c r="J564" s="32" t="e">
        <x:f>IF(A564&lt;=Dashboard!$F$17,MIN(I564,$B$5),0)</x:f>
      </x:c>
      <x:c r="K564" s="32" t="e">
        <x:f>IF(A564&lt;=Dashboard!$F$17,MAX(0,I564-J564)*Dashboard!$F$6,0)</x:f>
      </x:c>
      <x:c r="L564" s="32" t="e">
        <x:f>IF(A564&lt;=Dashboard!$F$17,MIN(Dashboard!$F$10,MAX(0,I564-J564)+K564),0)</x:f>
      </x:c>
      <x:c r="M564" s="32" t="e">
        <x:f>IF(A564&lt;=Dashboard!$F$17,MAX(0,I564-J564-MAX(0,L564-K564)),0)</x:f>
      </x:c>
      <x:c r="N564" s="32" t="e">
        <x:f>IF(A564=1,K564,N563+K564)</x:f>
      </x:c>
      <x:c r="O564" s="32"/>
      <x:c r="P564" s="32" t="e">
        <x:f>IF(A564=1,Dashboard!$F$14,T563)</x:f>
      </x:c>
      <x:c r="Q564" s="32" t="e">
        <x:f>IF(A564&lt;=Dashboard!$F$17,MIN(P564,$B$6*52/12),0)</x:f>
      </x:c>
      <x:c r="R564" s="32" t="e">
        <x:f>IF(A564&lt;=Dashboard!$F$17,MAX(0,P564-Q564)*Dashboard!$F$6,0)</x:f>
      </x:c>
      <x:c r="S564" s="32" t="e">
        <x:f>IF(A564&lt;=Dashboard!$F$17,MIN(Dashboard!$F$10,MAX(0,P564-Q564)+R564),0)</x:f>
      </x:c>
      <x:c r="T564" s="32" t="e">
        <x:f>IF(A564&lt;=Dashboard!$F$17,MAX(0,P564-Q564-MAX(0,S564-R564)),0)</x:f>
      </x:c>
      <x:c r="U564" s="32" t="e">
        <x:f>IF(A564=1,R564,U563+R564)</x:f>
      </x:c>
      <x:c r="V564" s="32"/>
      <x:c r="W564" s="32" t="e">
        <x:f>IF(A564=1,Dashboard!$F$14,AA563)</x:f>
      </x:c>
      <x:c r="X564" s="32" t="e">
        <x:f>IF(AND(A564&lt;=Dashboard!$F$17,MOD(A564-1,12)=0),MIN(W564,$B$7),0)</x:f>
      </x:c>
      <x:c r="Y564" s="32" t="e">
        <x:f>IF(A564&lt;=Dashboard!$F$17,MAX(0,W564-X564)*Dashboard!$F$6,0)</x:f>
      </x:c>
      <x:c r="Z564" s="32" t="e">
        <x:f>IF(A564&lt;=Dashboard!$F$17,MIN(Dashboard!$F$10,MAX(0,W564-X564)+Y564),0)</x:f>
      </x:c>
      <x:c r="AA564" s="32" t="e">
        <x:f>IF(A564&lt;=Dashboard!$F$17,MAX(0,W564-X564-MAX(0,Z564-Y564)),0)</x:f>
      </x:c>
      <x:c r="AB564" s="32" t="e">
        <x:f>IF(A564=1,Y564,AB563+Y564)</x:f>
      </x:c>
      <x:c r="AC564" s="32"/>
      <x:c r="AD564" s="32" t="e">
        <x:f>IF(A564=1,MAX(0,Dashboard!$F$14-$B$8),AG563)</x:f>
      </x:c>
      <x:c r="AE564" s="32" t="n">
        <x:f>0</x:f>
        <x:v>0</x:v>
      </x:c>
      <x:c r="AF564" s="32" t="e">
        <x:f>IF(A564&lt;=Dashboard!$F$17,AD564*Dashboard!$F$6,0)</x:f>
      </x:c>
      <x:c r="AG564" s="32" t="e">
        <x:f>IF(A564&lt;=Dashboard!$F$17,MIN(Dashboard!$F$10,AD564+AF564),0)</x:f>
      </x:c>
      <x:c r="AH564" s="32" t="e">
        <x:f>IF(A564&lt;=Dashboard!$F$17,MAX(0,AD564-MAX(0,AG564-AF564)),0)</x:f>
      </x:c>
      <x:c r="AI564" s="32" t="e">
        <x:f>IF(A564=1,AF564,AI563+AF564)</x:f>
      </x:c>
      <x:c r="AJ564" s="33"/>
      <x:c r="AK564" s="33"/>
      <x:c r="AL564" s="33"/>
      <x:c r="AM564" s="33"/>
    </x:row>
    <x:row r="565">
      <x:c r="A565" s="33" t="n">
        <x:v>553</x:v>
      </x:c>
      <x:c r="B565" s="32" t="e">
        <x:f>IF(A565=1,Dashboard!$F$14,F564)</x:f>
      </x:c>
      <x:c r="C565" s="32" t="n">
        <x:f>0</x:f>
        <x:v>0</x:v>
      </x:c>
      <x:c r="D565" s="32" t="e">
        <x:f>IF(A565&lt;=Dashboard!$F$15,B565*Dashboard!$F$6,0)</x:f>
      </x:c>
      <x:c r="E565" s="32" t="e">
        <x:f>IF(A565&lt;=Dashboard!$F$15,MIN(Dashboard!$F$10,B565+D565),0)</x:f>
      </x:c>
      <x:c r="F565" s="32" t="e">
        <x:f>IF(A565&lt;=Dashboard!$F$15,MAX(0,B565-MAX(0,E565-D565)),0)</x:f>
      </x:c>
      <x:c r="G565" s="32" t="e">
        <x:f>IF(A565=1,D565,G564+D565)</x:f>
      </x:c>
      <x:c r="H565" s="32"/>
      <x:c r="I565" s="32" t="e">
        <x:f>IF(A565=1,Dashboard!$F$14,M564)</x:f>
      </x:c>
      <x:c r="J565" s="32" t="e">
        <x:f>IF(A565&lt;=Dashboard!$F$17,MIN(I565,$B$5),0)</x:f>
      </x:c>
      <x:c r="K565" s="32" t="e">
        <x:f>IF(A565&lt;=Dashboard!$F$17,MAX(0,I565-J565)*Dashboard!$F$6,0)</x:f>
      </x:c>
      <x:c r="L565" s="32" t="e">
        <x:f>IF(A565&lt;=Dashboard!$F$17,MIN(Dashboard!$F$10,MAX(0,I565-J565)+K565),0)</x:f>
      </x:c>
      <x:c r="M565" s="32" t="e">
        <x:f>IF(A565&lt;=Dashboard!$F$17,MAX(0,I565-J565-MAX(0,L565-K565)),0)</x:f>
      </x:c>
      <x:c r="N565" s="32" t="e">
        <x:f>IF(A565=1,K565,N564+K565)</x:f>
      </x:c>
      <x:c r="O565" s="32"/>
      <x:c r="P565" s="32" t="e">
        <x:f>IF(A565=1,Dashboard!$F$14,T564)</x:f>
      </x:c>
      <x:c r="Q565" s="32" t="e">
        <x:f>IF(A565&lt;=Dashboard!$F$17,MIN(P565,$B$6*52/12),0)</x:f>
      </x:c>
      <x:c r="R565" s="32" t="e">
        <x:f>IF(A565&lt;=Dashboard!$F$17,MAX(0,P565-Q565)*Dashboard!$F$6,0)</x:f>
      </x:c>
      <x:c r="S565" s="32" t="e">
        <x:f>IF(A565&lt;=Dashboard!$F$17,MIN(Dashboard!$F$10,MAX(0,P565-Q565)+R565),0)</x:f>
      </x:c>
      <x:c r="T565" s="32" t="e">
        <x:f>IF(A565&lt;=Dashboard!$F$17,MAX(0,P565-Q565-MAX(0,S565-R565)),0)</x:f>
      </x:c>
      <x:c r="U565" s="32" t="e">
        <x:f>IF(A565=1,R565,U564+R565)</x:f>
      </x:c>
      <x:c r="V565" s="32"/>
      <x:c r="W565" s="32" t="e">
        <x:f>IF(A565=1,Dashboard!$F$14,AA564)</x:f>
      </x:c>
      <x:c r="X565" s="32" t="e">
        <x:f>IF(AND(A565&lt;=Dashboard!$F$17,MOD(A565-1,12)=0),MIN(W565,$B$7),0)</x:f>
      </x:c>
      <x:c r="Y565" s="32" t="e">
        <x:f>IF(A565&lt;=Dashboard!$F$17,MAX(0,W565-X565)*Dashboard!$F$6,0)</x:f>
      </x:c>
      <x:c r="Z565" s="32" t="e">
        <x:f>IF(A565&lt;=Dashboard!$F$17,MIN(Dashboard!$F$10,MAX(0,W565-X565)+Y565),0)</x:f>
      </x:c>
      <x:c r="AA565" s="32" t="e">
        <x:f>IF(A565&lt;=Dashboard!$F$17,MAX(0,W565-X565-MAX(0,Z565-Y565)),0)</x:f>
      </x:c>
      <x:c r="AB565" s="32" t="e">
        <x:f>IF(A565=1,Y565,AB564+Y565)</x:f>
      </x:c>
      <x:c r="AC565" s="32"/>
      <x:c r="AD565" s="32" t="e">
        <x:f>IF(A565=1,MAX(0,Dashboard!$F$14-$B$8),AG564)</x:f>
      </x:c>
      <x:c r="AE565" s="32" t="n">
        <x:f>0</x:f>
        <x:v>0</x:v>
      </x:c>
      <x:c r="AF565" s="32" t="e">
        <x:f>IF(A565&lt;=Dashboard!$F$17,AD565*Dashboard!$F$6,0)</x:f>
      </x:c>
      <x:c r="AG565" s="32" t="e">
        <x:f>IF(A565&lt;=Dashboard!$F$17,MIN(Dashboard!$F$10,AD565+AF565),0)</x:f>
      </x:c>
      <x:c r="AH565" s="32" t="e">
        <x:f>IF(A565&lt;=Dashboard!$F$17,MAX(0,AD565-MAX(0,AG565-AF565)),0)</x:f>
      </x:c>
      <x:c r="AI565" s="32" t="e">
        <x:f>IF(A565=1,AF565,AI564+AF565)</x:f>
      </x:c>
      <x:c r="AJ565" s="33"/>
      <x:c r="AK565" s="33"/>
      <x:c r="AL565" s="33"/>
      <x:c r="AM565" s="33"/>
    </x:row>
    <x:row r="566">
      <x:c r="A566" s="33" t="n">
        <x:v>554</x:v>
      </x:c>
      <x:c r="B566" s="32" t="e">
        <x:f>IF(A566=1,Dashboard!$F$14,F565)</x:f>
      </x:c>
      <x:c r="C566" s="32" t="n">
        <x:f>0</x:f>
        <x:v>0</x:v>
      </x:c>
      <x:c r="D566" s="32" t="e">
        <x:f>IF(A566&lt;=Dashboard!$F$15,B566*Dashboard!$F$6,0)</x:f>
      </x:c>
      <x:c r="E566" s="32" t="e">
        <x:f>IF(A566&lt;=Dashboard!$F$15,MIN(Dashboard!$F$10,B566+D566),0)</x:f>
      </x:c>
      <x:c r="F566" s="32" t="e">
        <x:f>IF(A566&lt;=Dashboard!$F$15,MAX(0,B566-MAX(0,E566-D566)),0)</x:f>
      </x:c>
      <x:c r="G566" s="32" t="e">
        <x:f>IF(A566=1,D566,G565+D566)</x:f>
      </x:c>
      <x:c r="H566" s="32"/>
      <x:c r="I566" s="32" t="e">
        <x:f>IF(A566=1,Dashboard!$F$14,M565)</x:f>
      </x:c>
      <x:c r="J566" s="32" t="e">
        <x:f>IF(A566&lt;=Dashboard!$F$17,MIN(I566,$B$5),0)</x:f>
      </x:c>
      <x:c r="K566" s="32" t="e">
        <x:f>IF(A566&lt;=Dashboard!$F$17,MAX(0,I566-J566)*Dashboard!$F$6,0)</x:f>
      </x:c>
      <x:c r="L566" s="32" t="e">
        <x:f>IF(A566&lt;=Dashboard!$F$17,MIN(Dashboard!$F$10,MAX(0,I566-J566)+K566),0)</x:f>
      </x:c>
      <x:c r="M566" s="32" t="e">
        <x:f>IF(A566&lt;=Dashboard!$F$17,MAX(0,I566-J566-MAX(0,L566-K566)),0)</x:f>
      </x:c>
      <x:c r="N566" s="32" t="e">
        <x:f>IF(A566=1,K566,N565+K566)</x:f>
      </x:c>
      <x:c r="O566" s="32"/>
      <x:c r="P566" s="32" t="e">
        <x:f>IF(A566=1,Dashboard!$F$14,T565)</x:f>
      </x:c>
      <x:c r="Q566" s="32" t="e">
        <x:f>IF(A566&lt;=Dashboard!$F$17,MIN(P566,$B$6*52/12),0)</x:f>
      </x:c>
      <x:c r="R566" s="32" t="e">
        <x:f>IF(A566&lt;=Dashboard!$F$17,MAX(0,P566-Q566)*Dashboard!$F$6,0)</x:f>
      </x:c>
      <x:c r="S566" s="32" t="e">
        <x:f>IF(A566&lt;=Dashboard!$F$17,MIN(Dashboard!$F$10,MAX(0,P566-Q566)+R566),0)</x:f>
      </x:c>
      <x:c r="T566" s="32" t="e">
        <x:f>IF(A566&lt;=Dashboard!$F$17,MAX(0,P566-Q566-MAX(0,S566-R566)),0)</x:f>
      </x:c>
      <x:c r="U566" s="32" t="e">
        <x:f>IF(A566=1,R566,U565+R566)</x:f>
      </x:c>
      <x:c r="V566" s="32"/>
      <x:c r="W566" s="32" t="e">
        <x:f>IF(A566=1,Dashboard!$F$14,AA565)</x:f>
      </x:c>
      <x:c r="X566" s="32" t="e">
        <x:f>IF(AND(A566&lt;=Dashboard!$F$17,MOD(A566-1,12)=0),MIN(W566,$B$7),0)</x:f>
      </x:c>
      <x:c r="Y566" s="32" t="e">
        <x:f>IF(A566&lt;=Dashboard!$F$17,MAX(0,W566-X566)*Dashboard!$F$6,0)</x:f>
      </x:c>
      <x:c r="Z566" s="32" t="e">
        <x:f>IF(A566&lt;=Dashboard!$F$17,MIN(Dashboard!$F$10,MAX(0,W566-X566)+Y566),0)</x:f>
      </x:c>
      <x:c r="AA566" s="32" t="e">
        <x:f>IF(A566&lt;=Dashboard!$F$17,MAX(0,W566-X566-MAX(0,Z566-Y566)),0)</x:f>
      </x:c>
      <x:c r="AB566" s="32" t="e">
        <x:f>IF(A566=1,Y566,AB565+Y566)</x:f>
      </x:c>
      <x:c r="AC566" s="32"/>
      <x:c r="AD566" s="32" t="e">
        <x:f>IF(A566=1,MAX(0,Dashboard!$F$14-$B$8),AG565)</x:f>
      </x:c>
      <x:c r="AE566" s="32" t="n">
        <x:f>0</x:f>
        <x:v>0</x:v>
      </x:c>
      <x:c r="AF566" s="32" t="e">
        <x:f>IF(A566&lt;=Dashboard!$F$17,AD566*Dashboard!$F$6,0)</x:f>
      </x:c>
      <x:c r="AG566" s="32" t="e">
        <x:f>IF(A566&lt;=Dashboard!$F$17,MIN(Dashboard!$F$10,AD566+AF566),0)</x:f>
      </x:c>
      <x:c r="AH566" s="32" t="e">
        <x:f>IF(A566&lt;=Dashboard!$F$17,MAX(0,AD566-MAX(0,AG566-AF566)),0)</x:f>
      </x:c>
      <x:c r="AI566" s="32" t="e">
        <x:f>IF(A566=1,AF566,AI565+AF566)</x:f>
      </x:c>
      <x:c r="AJ566" s="33"/>
      <x:c r="AK566" s="33"/>
      <x:c r="AL566" s="33"/>
      <x:c r="AM566" s="33"/>
    </x:row>
    <x:row r="567">
      <x:c r="A567" s="33" t="n">
        <x:v>555</x:v>
      </x:c>
      <x:c r="B567" s="32" t="e">
        <x:f>IF(A567=1,Dashboard!$F$14,F566)</x:f>
      </x:c>
      <x:c r="C567" s="32" t="n">
        <x:f>0</x:f>
        <x:v>0</x:v>
      </x:c>
      <x:c r="D567" s="32" t="e">
        <x:f>IF(A567&lt;=Dashboard!$F$15,B567*Dashboard!$F$6,0)</x:f>
      </x:c>
      <x:c r="E567" s="32" t="e">
        <x:f>IF(A567&lt;=Dashboard!$F$15,MIN(Dashboard!$F$10,B567+D567),0)</x:f>
      </x:c>
      <x:c r="F567" s="32" t="e">
        <x:f>IF(A567&lt;=Dashboard!$F$15,MAX(0,B567-MAX(0,E567-D567)),0)</x:f>
      </x:c>
      <x:c r="G567" s="32" t="e">
        <x:f>IF(A567=1,D567,G566+D567)</x:f>
      </x:c>
      <x:c r="H567" s="32"/>
      <x:c r="I567" s="32" t="e">
        <x:f>IF(A567=1,Dashboard!$F$14,M566)</x:f>
      </x:c>
      <x:c r="J567" s="32" t="e">
        <x:f>IF(A567&lt;=Dashboard!$F$17,MIN(I567,$B$5),0)</x:f>
      </x:c>
      <x:c r="K567" s="32" t="e">
        <x:f>IF(A567&lt;=Dashboard!$F$17,MAX(0,I567-J567)*Dashboard!$F$6,0)</x:f>
      </x:c>
      <x:c r="L567" s="32" t="e">
        <x:f>IF(A567&lt;=Dashboard!$F$17,MIN(Dashboard!$F$10,MAX(0,I567-J567)+K567),0)</x:f>
      </x:c>
      <x:c r="M567" s="32" t="e">
        <x:f>IF(A567&lt;=Dashboard!$F$17,MAX(0,I567-J567-MAX(0,L567-K567)),0)</x:f>
      </x:c>
      <x:c r="N567" s="32" t="e">
        <x:f>IF(A567=1,K567,N566+K567)</x:f>
      </x:c>
      <x:c r="O567" s="32"/>
      <x:c r="P567" s="32" t="e">
        <x:f>IF(A567=1,Dashboard!$F$14,T566)</x:f>
      </x:c>
      <x:c r="Q567" s="32" t="e">
        <x:f>IF(A567&lt;=Dashboard!$F$17,MIN(P567,$B$6*52/12),0)</x:f>
      </x:c>
      <x:c r="R567" s="32" t="e">
        <x:f>IF(A567&lt;=Dashboard!$F$17,MAX(0,P567-Q567)*Dashboard!$F$6,0)</x:f>
      </x:c>
      <x:c r="S567" s="32" t="e">
        <x:f>IF(A567&lt;=Dashboard!$F$17,MIN(Dashboard!$F$10,MAX(0,P567-Q567)+R567),0)</x:f>
      </x:c>
      <x:c r="T567" s="32" t="e">
        <x:f>IF(A567&lt;=Dashboard!$F$17,MAX(0,P567-Q567-MAX(0,S567-R567)),0)</x:f>
      </x:c>
      <x:c r="U567" s="32" t="e">
        <x:f>IF(A567=1,R567,U566+R567)</x:f>
      </x:c>
      <x:c r="V567" s="32"/>
      <x:c r="W567" s="32" t="e">
        <x:f>IF(A567=1,Dashboard!$F$14,AA566)</x:f>
      </x:c>
      <x:c r="X567" s="32" t="e">
        <x:f>IF(AND(A567&lt;=Dashboard!$F$17,MOD(A567-1,12)=0),MIN(W567,$B$7),0)</x:f>
      </x:c>
      <x:c r="Y567" s="32" t="e">
        <x:f>IF(A567&lt;=Dashboard!$F$17,MAX(0,W567-X567)*Dashboard!$F$6,0)</x:f>
      </x:c>
      <x:c r="Z567" s="32" t="e">
        <x:f>IF(A567&lt;=Dashboard!$F$17,MIN(Dashboard!$F$10,MAX(0,W567-X567)+Y567),0)</x:f>
      </x:c>
      <x:c r="AA567" s="32" t="e">
        <x:f>IF(A567&lt;=Dashboard!$F$17,MAX(0,W567-X567-MAX(0,Z567-Y567)),0)</x:f>
      </x:c>
      <x:c r="AB567" s="32" t="e">
        <x:f>IF(A567=1,Y567,AB566+Y567)</x:f>
      </x:c>
      <x:c r="AC567" s="32"/>
      <x:c r="AD567" s="32" t="e">
        <x:f>IF(A567=1,MAX(0,Dashboard!$F$14-$B$8),AG566)</x:f>
      </x:c>
      <x:c r="AE567" s="32" t="n">
        <x:f>0</x:f>
        <x:v>0</x:v>
      </x:c>
      <x:c r="AF567" s="32" t="e">
        <x:f>IF(A567&lt;=Dashboard!$F$17,AD567*Dashboard!$F$6,0)</x:f>
      </x:c>
      <x:c r="AG567" s="32" t="e">
        <x:f>IF(A567&lt;=Dashboard!$F$17,MIN(Dashboard!$F$10,AD567+AF567),0)</x:f>
      </x:c>
      <x:c r="AH567" s="32" t="e">
        <x:f>IF(A567&lt;=Dashboard!$F$17,MAX(0,AD567-MAX(0,AG567-AF567)),0)</x:f>
      </x:c>
      <x:c r="AI567" s="32" t="e">
        <x:f>IF(A567=1,AF567,AI566+AF567)</x:f>
      </x:c>
      <x:c r="AJ567" s="33"/>
      <x:c r="AK567" s="33"/>
      <x:c r="AL567" s="33"/>
      <x:c r="AM567" s="33"/>
    </x:row>
    <x:row r="568">
      <x:c r="A568" s="33" t="n">
        <x:v>556</x:v>
      </x:c>
      <x:c r="B568" s="32" t="e">
        <x:f>IF(A568=1,Dashboard!$F$14,F567)</x:f>
      </x:c>
      <x:c r="C568" s="32" t="n">
        <x:f>0</x:f>
        <x:v>0</x:v>
      </x:c>
      <x:c r="D568" s="32" t="e">
        <x:f>IF(A568&lt;=Dashboard!$F$15,B568*Dashboard!$F$6,0)</x:f>
      </x:c>
      <x:c r="E568" s="32" t="e">
        <x:f>IF(A568&lt;=Dashboard!$F$15,MIN(Dashboard!$F$10,B568+D568),0)</x:f>
      </x:c>
      <x:c r="F568" s="32" t="e">
        <x:f>IF(A568&lt;=Dashboard!$F$15,MAX(0,B568-MAX(0,E568-D568)),0)</x:f>
      </x:c>
      <x:c r="G568" s="32" t="e">
        <x:f>IF(A568=1,D568,G567+D568)</x:f>
      </x:c>
      <x:c r="H568" s="32"/>
      <x:c r="I568" s="32" t="e">
        <x:f>IF(A568=1,Dashboard!$F$14,M567)</x:f>
      </x:c>
      <x:c r="J568" s="32" t="e">
        <x:f>IF(A568&lt;=Dashboard!$F$17,MIN(I568,$B$5),0)</x:f>
      </x:c>
      <x:c r="K568" s="32" t="e">
        <x:f>IF(A568&lt;=Dashboard!$F$17,MAX(0,I568-J568)*Dashboard!$F$6,0)</x:f>
      </x:c>
      <x:c r="L568" s="32" t="e">
        <x:f>IF(A568&lt;=Dashboard!$F$17,MIN(Dashboard!$F$10,MAX(0,I568-J568)+K568),0)</x:f>
      </x:c>
      <x:c r="M568" s="32" t="e">
        <x:f>IF(A568&lt;=Dashboard!$F$17,MAX(0,I568-J568-MAX(0,L568-K568)),0)</x:f>
      </x:c>
      <x:c r="N568" s="32" t="e">
        <x:f>IF(A568=1,K568,N567+K568)</x:f>
      </x:c>
      <x:c r="O568" s="32"/>
      <x:c r="P568" s="32" t="e">
        <x:f>IF(A568=1,Dashboard!$F$14,T567)</x:f>
      </x:c>
      <x:c r="Q568" s="32" t="e">
        <x:f>IF(A568&lt;=Dashboard!$F$17,MIN(P568,$B$6*52/12),0)</x:f>
      </x:c>
      <x:c r="R568" s="32" t="e">
        <x:f>IF(A568&lt;=Dashboard!$F$17,MAX(0,P568-Q568)*Dashboard!$F$6,0)</x:f>
      </x:c>
      <x:c r="S568" s="32" t="e">
        <x:f>IF(A568&lt;=Dashboard!$F$17,MIN(Dashboard!$F$10,MAX(0,P568-Q568)+R568),0)</x:f>
      </x:c>
      <x:c r="T568" s="32" t="e">
        <x:f>IF(A568&lt;=Dashboard!$F$17,MAX(0,P568-Q568-MAX(0,S568-R568)),0)</x:f>
      </x:c>
      <x:c r="U568" s="32" t="e">
        <x:f>IF(A568=1,R568,U567+R568)</x:f>
      </x:c>
      <x:c r="V568" s="32"/>
      <x:c r="W568" s="32" t="e">
        <x:f>IF(A568=1,Dashboard!$F$14,AA567)</x:f>
      </x:c>
      <x:c r="X568" s="32" t="e">
        <x:f>IF(AND(A568&lt;=Dashboard!$F$17,MOD(A568-1,12)=0),MIN(W568,$B$7),0)</x:f>
      </x:c>
      <x:c r="Y568" s="32" t="e">
        <x:f>IF(A568&lt;=Dashboard!$F$17,MAX(0,W568-X568)*Dashboard!$F$6,0)</x:f>
      </x:c>
      <x:c r="Z568" s="32" t="e">
        <x:f>IF(A568&lt;=Dashboard!$F$17,MIN(Dashboard!$F$10,MAX(0,W568-X568)+Y568),0)</x:f>
      </x:c>
      <x:c r="AA568" s="32" t="e">
        <x:f>IF(A568&lt;=Dashboard!$F$17,MAX(0,W568-X568-MAX(0,Z568-Y568)),0)</x:f>
      </x:c>
      <x:c r="AB568" s="32" t="e">
        <x:f>IF(A568=1,Y568,AB567+Y568)</x:f>
      </x:c>
      <x:c r="AC568" s="32"/>
      <x:c r="AD568" s="32" t="e">
        <x:f>IF(A568=1,MAX(0,Dashboard!$F$14-$B$8),AG567)</x:f>
      </x:c>
      <x:c r="AE568" s="32" t="n">
        <x:f>0</x:f>
        <x:v>0</x:v>
      </x:c>
      <x:c r="AF568" s="32" t="e">
        <x:f>IF(A568&lt;=Dashboard!$F$17,AD568*Dashboard!$F$6,0)</x:f>
      </x:c>
      <x:c r="AG568" s="32" t="e">
        <x:f>IF(A568&lt;=Dashboard!$F$17,MIN(Dashboard!$F$10,AD568+AF568),0)</x:f>
      </x:c>
      <x:c r="AH568" s="32" t="e">
        <x:f>IF(A568&lt;=Dashboard!$F$17,MAX(0,AD568-MAX(0,AG568-AF568)),0)</x:f>
      </x:c>
      <x:c r="AI568" s="32" t="e">
        <x:f>IF(A568=1,AF568,AI567+AF568)</x:f>
      </x:c>
      <x:c r="AJ568" s="33"/>
      <x:c r="AK568" s="33"/>
      <x:c r="AL568" s="33"/>
      <x:c r="AM568" s="33"/>
    </x:row>
    <x:row r="569">
      <x:c r="A569" s="33" t="n">
        <x:v>557</x:v>
      </x:c>
      <x:c r="B569" s="32" t="e">
        <x:f>IF(A569=1,Dashboard!$F$14,F568)</x:f>
      </x:c>
      <x:c r="C569" s="32" t="n">
        <x:f>0</x:f>
        <x:v>0</x:v>
      </x:c>
      <x:c r="D569" s="32" t="e">
        <x:f>IF(A569&lt;=Dashboard!$F$15,B569*Dashboard!$F$6,0)</x:f>
      </x:c>
      <x:c r="E569" s="32" t="e">
        <x:f>IF(A569&lt;=Dashboard!$F$15,MIN(Dashboard!$F$10,B569+D569),0)</x:f>
      </x:c>
      <x:c r="F569" s="32" t="e">
        <x:f>IF(A569&lt;=Dashboard!$F$15,MAX(0,B569-MAX(0,E569-D569)),0)</x:f>
      </x:c>
      <x:c r="G569" s="32" t="e">
        <x:f>IF(A569=1,D569,G568+D569)</x:f>
      </x:c>
      <x:c r="H569" s="32"/>
      <x:c r="I569" s="32" t="e">
        <x:f>IF(A569=1,Dashboard!$F$14,M568)</x:f>
      </x:c>
      <x:c r="J569" s="32" t="e">
        <x:f>IF(A569&lt;=Dashboard!$F$17,MIN(I569,$B$5),0)</x:f>
      </x:c>
      <x:c r="K569" s="32" t="e">
        <x:f>IF(A569&lt;=Dashboard!$F$17,MAX(0,I569-J569)*Dashboard!$F$6,0)</x:f>
      </x:c>
      <x:c r="L569" s="32" t="e">
        <x:f>IF(A569&lt;=Dashboard!$F$17,MIN(Dashboard!$F$10,MAX(0,I569-J569)+K569),0)</x:f>
      </x:c>
      <x:c r="M569" s="32" t="e">
        <x:f>IF(A569&lt;=Dashboard!$F$17,MAX(0,I569-J569-MAX(0,L569-K569)),0)</x:f>
      </x:c>
      <x:c r="N569" s="32" t="e">
        <x:f>IF(A569=1,K569,N568+K569)</x:f>
      </x:c>
      <x:c r="O569" s="32"/>
      <x:c r="P569" s="32" t="e">
        <x:f>IF(A569=1,Dashboard!$F$14,T568)</x:f>
      </x:c>
      <x:c r="Q569" s="32" t="e">
        <x:f>IF(A569&lt;=Dashboard!$F$17,MIN(P569,$B$6*52/12),0)</x:f>
      </x:c>
      <x:c r="R569" s="32" t="e">
        <x:f>IF(A569&lt;=Dashboard!$F$17,MAX(0,P569-Q569)*Dashboard!$F$6,0)</x:f>
      </x:c>
      <x:c r="S569" s="32" t="e">
        <x:f>IF(A569&lt;=Dashboard!$F$17,MIN(Dashboard!$F$10,MAX(0,P569-Q569)+R569),0)</x:f>
      </x:c>
      <x:c r="T569" s="32" t="e">
        <x:f>IF(A569&lt;=Dashboard!$F$17,MAX(0,P569-Q569-MAX(0,S569-R569)),0)</x:f>
      </x:c>
      <x:c r="U569" s="32" t="e">
        <x:f>IF(A569=1,R569,U568+R569)</x:f>
      </x:c>
      <x:c r="V569" s="32"/>
      <x:c r="W569" s="32" t="e">
        <x:f>IF(A569=1,Dashboard!$F$14,AA568)</x:f>
      </x:c>
      <x:c r="X569" s="32" t="e">
        <x:f>IF(AND(A569&lt;=Dashboard!$F$17,MOD(A569-1,12)=0),MIN(W569,$B$7),0)</x:f>
      </x:c>
      <x:c r="Y569" s="32" t="e">
        <x:f>IF(A569&lt;=Dashboard!$F$17,MAX(0,W569-X569)*Dashboard!$F$6,0)</x:f>
      </x:c>
      <x:c r="Z569" s="32" t="e">
        <x:f>IF(A569&lt;=Dashboard!$F$17,MIN(Dashboard!$F$10,MAX(0,W569-X569)+Y569),0)</x:f>
      </x:c>
      <x:c r="AA569" s="32" t="e">
        <x:f>IF(A569&lt;=Dashboard!$F$17,MAX(0,W569-X569-MAX(0,Z569-Y569)),0)</x:f>
      </x:c>
      <x:c r="AB569" s="32" t="e">
        <x:f>IF(A569=1,Y569,AB568+Y569)</x:f>
      </x:c>
      <x:c r="AC569" s="32"/>
      <x:c r="AD569" s="32" t="e">
        <x:f>IF(A569=1,MAX(0,Dashboard!$F$14-$B$8),AG568)</x:f>
      </x:c>
      <x:c r="AE569" s="32" t="n">
        <x:f>0</x:f>
        <x:v>0</x:v>
      </x:c>
      <x:c r="AF569" s="32" t="e">
        <x:f>IF(A569&lt;=Dashboard!$F$17,AD569*Dashboard!$F$6,0)</x:f>
      </x:c>
      <x:c r="AG569" s="32" t="e">
        <x:f>IF(A569&lt;=Dashboard!$F$17,MIN(Dashboard!$F$10,AD569+AF569),0)</x:f>
      </x:c>
      <x:c r="AH569" s="32" t="e">
        <x:f>IF(A569&lt;=Dashboard!$F$17,MAX(0,AD569-MAX(0,AG569-AF569)),0)</x:f>
      </x:c>
      <x:c r="AI569" s="32" t="e">
        <x:f>IF(A569=1,AF569,AI568+AF569)</x:f>
      </x:c>
      <x:c r="AJ569" s="33"/>
      <x:c r="AK569" s="33"/>
      <x:c r="AL569" s="33"/>
      <x:c r="AM569" s="33"/>
    </x:row>
    <x:row r="570">
      <x:c r="A570" s="33" t="n">
        <x:v>558</x:v>
      </x:c>
      <x:c r="B570" s="32" t="e">
        <x:f>IF(A570=1,Dashboard!$F$14,F569)</x:f>
      </x:c>
      <x:c r="C570" s="32" t="n">
        <x:f>0</x:f>
        <x:v>0</x:v>
      </x:c>
      <x:c r="D570" s="32" t="e">
        <x:f>IF(A570&lt;=Dashboard!$F$15,B570*Dashboard!$F$6,0)</x:f>
      </x:c>
      <x:c r="E570" s="32" t="e">
        <x:f>IF(A570&lt;=Dashboard!$F$15,MIN(Dashboard!$F$10,B570+D570),0)</x:f>
      </x:c>
      <x:c r="F570" s="32" t="e">
        <x:f>IF(A570&lt;=Dashboard!$F$15,MAX(0,B570-MAX(0,E570-D570)),0)</x:f>
      </x:c>
      <x:c r="G570" s="32" t="e">
        <x:f>IF(A570=1,D570,G569+D570)</x:f>
      </x:c>
      <x:c r="H570" s="32"/>
      <x:c r="I570" s="32" t="e">
        <x:f>IF(A570=1,Dashboard!$F$14,M569)</x:f>
      </x:c>
      <x:c r="J570" s="32" t="e">
        <x:f>IF(A570&lt;=Dashboard!$F$17,MIN(I570,$B$5),0)</x:f>
      </x:c>
      <x:c r="K570" s="32" t="e">
        <x:f>IF(A570&lt;=Dashboard!$F$17,MAX(0,I570-J570)*Dashboard!$F$6,0)</x:f>
      </x:c>
      <x:c r="L570" s="32" t="e">
        <x:f>IF(A570&lt;=Dashboard!$F$17,MIN(Dashboard!$F$10,MAX(0,I570-J570)+K570),0)</x:f>
      </x:c>
      <x:c r="M570" s="32" t="e">
        <x:f>IF(A570&lt;=Dashboard!$F$17,MAX(0,I570-J570-MAX(0,L570-K570)),0)</x:f>
      </x:c>
      <x:c r="N570" s="32" t="e">
        <x:f>IF(A570=1,K570,N569+K570)</x:f>
      </x:c>
      <x:c r="O570" s="32"/>
      <x:c r="P570" s="32" t="e">
        <x:f>IF(A570=1,Dashboard!$F$14,T569)</x:f>
      </x:c>
      <x:c r="Q570" s="32" t="e">
        <x:f>IF(A570&lt;=Dashboard!$F$17,MIN(P570,$B$6*52/12),0)</x:f>
      </x:c>
      <x:c r="R570" s="32" t="e">
        <x:f>IF(A570&lt;=Dashboard!$F$17,MAX(0,P570-Q570)*Dashboard!$F$6,0)</x:f>
      </x:c>
      <x:c r="S570" s="32" t="e">
        <x:f>IF(A570&lt;=Dashboard!$F$17,MIN(Dashboard!$F$10,MAX(0,P570-Q570)+R570),0)</x:f>
      </x:c>
      <x:c r="T570" s="32" t="e">
        <x:f>IF(A570&lt;=Dashboard!$F$17,MAX(0,P570-Q570-MAX(0,S570-R570)),0)</x:f>
      </x:c>
      <x:c r="U570" s="32" t="e">
        <x:f>IF(A570=1,R570,U569+R570)</x:f>
      </x:c>
      <x:c r="V570" s="32"/>
      <x:c r="W570" s="32" t="e">
        <x:f>IF(A570=1,Dashboard!$F$14,AA569)</x:f>
      </x:c>
      <x:c r="X570" s="32" t="e">
        <x:f>IF(AND(A570&lt;=Dashboard!$F$17,MOD(A570-1,12)=0),MIN(W570,$B$7),0)</x:f>
      </x:c>
      <x:c r="Y570" s="32" t="e">
        <x:f>IF(A570&lt;=Dashboard!$F$17,MAX(0,W570-X570)*Dashboard!$F$6,0)</x:f>
      </x:c>
      <x:c r="Z570" s="32" t="e">
        <x:f>IF(A570&lt;=Dashboard!$F$17,MIN(Dashboard!$F$10,MAX(0,W570-X570)+Y570),0)</x:f>
      </x:c>
      <x:c r="AA570" s="32" t="e">
        <x:f>IF(A570&lt;=Dashboard!$F$17,MAX(0,W570-X570-MAX(0,Z570-Y570)),0)</x:f>
      </x:c>
      <x:c r="AB570" s="32" t="e">
        <x:f>IF(A570=1,Y570,AB569+Y570)</x:f>
      </x:c>
      <x:c r="AC570" s="32"/>
      <x:c r="AD570" s="32" t="e">
        <x:f>IF(A570=1,MAX(0,Dashboard!$F$14-$B$8),AG569)</x:f>
      </x:c>
      <x:c r="AE570" s="32" t="n">
        <x:f>0</x:f>
        <x:v>0</x:v>
      </x:c>
      <x:c r="AF570" s="32" t="e">
        <x:f>IF(A570&lt;=Dashboard!$F$17,AD570*Dashboard!$F$6,0)</x:f>
      </x:c>
      <x:c r="AG570" s="32" t="e">
        <x:f>IF(A570&lt;=Dashboard!$F$17,MIN(Dashboard!$F$10,AD570+AF570),0)</x:f>
      </x:c>
      <x:c r="AH570" s="32" t="e">
        <x:f>IF(A570&lt;=Dashboard!$F$17,MAX(0,AD570-MAX(0,AG570-AF570)),0)</x:f>
      </x:c>
      <x:c r="AI570" s="32" t="e">
        <x:f>IF(A570=1,AF570,AI569+AF570)</x:f>
      </x:c>
      <x:c r="AJ570" s="33"/>
      <x:c r="AK570" s="33"/>
      <x:c r="AL570" s="33"/>
      <x:c r="AM570" s="33"/>
    </x:row>
    <x:row r="571">
      <x:c r="A571" s="33" t="n">
        <x:v>559</x:v>
      </x:c>
      <x:c r="B571" s="32" t="e">
        <x:f>IF(A571=1,Dashboard!$F$14,F570)</x:f>
      </x:c>
      <x:c r="C571" s="32" t="n">
        <x:f>0</x:f>
        <x:v>0</x:v>
      </x:c>
      <x:c r="D571" s="32" t="e">
        <x:f>IF(A571&lt;=Dashboard!$F$15,B571*Dashboard!$F$6,0)</x:f>
      </x:c>
      <x:c r="E571" s="32" t="e">
        <x:f>IF(A571&lt;=Dashboard!$F$15,MIN(Dashboard!$F$10,B571+D571),0)</x:f>
      </x:c>
      <x:c r="F571" s="32" t="e">
        <x:f>IF(A571&lt;=Dashboard!$F$15,MAX(0,B571-MAX(0,E571-D571)),0)</x:f>
      </x:c>
      <x:c r="G571" s="32" t="e">
        <x:f>IF(A571=1,D571,G570+D571)</x:f>
      </x:c>
      <x:c r="H571" s="32"/>
      <x:c r="I571" s="32" t="e">
        <x:f>IF(A571=1,Dashboard!$F$14,M570)</x:f>
      </x:c>
      <x:c r="J571" s="32" t="e">
        <x:f>IF(A571&lt;=Dashboard!$F$17,MIN(I571,$B$5),0)</x:f>
      </x:c>
      <x:c r="K571" s="32" t="e">
        <x:f>IF(A571&lt;=Dashboard!$F$17,MAX(0,I571-J571)*Dashboard!$F$6,0)</x:f>
      </x:c>
      <x:c r="L571" s="32" t="e">
        <x:f>IF(A571&lt;=Dashboard!$F$17,MIN(Dashboard!$F$10,MAX(0,I571-J571)+K571),0)</x:f>
      </x:c>
      <x:c r="M571" s="32" t="e">
        <x:f>IF(A571&lt;=Dashboard!$F$17,MAX(0,I571-J571-MAX(0,L571-K571)),0)</x:f>
      </x:c>
      <x:c r="N571" s="32" t="e">
        <x:f>IF(A571=1,K571,N570+K571)</x:f>
      </x:c>
      <x:c r="O571" s="32"/>
      <x:c r="P571" s="32" t="e">
        <x:f>IF(A571=1,Dashboard!$F$14,T570)</x:f>
      </x:c>
      <x:c r="Q571" s="32" t="e">
        <x:f>IF(A571&lt;=Dashboard!$F$17,MIN(P571,$B$6*52/12),0)</x:f>
      </x:c>
      <x:c r="R571" s="32" t="e">
        <x:f>IF(A571&lt;=Dashboard!$F$17,MAX(0,P571-Q571)*Dashboard!$F$6,0)</x:f>
      </x:c>
      <x:c r="S571" s="32" t="e">
        <x:f>IF(A571&lt;=Dashboard!$F$17,MIN(Dashboard!$F$10,MAX(0,P571-Q571)+R571),0)</x:f>
      </x:c>
      <x:c r="T571" s="32" t="e">
        <x:f>IF(A571&lt;=Dashboard!$F$17,MAX(0,P571-Q571-MAX(0,S571-R571)),0)</x:f>
      </x:c>
      <x:c r="U571" s="32" t="e">
        <x:f>IF(A571=1,R571,U570+R571)</x:f>
      </x:c>
      <x:c r="V571" s="32"/>
      <x:c r="W571" s="32" t="e">
        <x:f>IF(A571=1,Dashboard!$F$14,AA570)</x:f>
      </x:c>
      <x:c r="X571" s="32" t="e">
        <x:f>IF(AND(A571&lt;=Dashboard!$F$17,MOD(A571-1,12)=0),MIN(W571,$B$7),0)</x:f>
      </x:c>
      <x:c r="Y571" s="32" t="e">
        <x:f>IF(A571&lt;=Dashboard!$F$17,MAX(0,W571-X571)*Dashboard!$F$6,0)</x:f>
      </x:c>
      <x:c r="Z571" s="32" t="e">
        <x:f>IF(A571&lt;=Dashboard!$F$17,MIN(Dashboard!$F$10,MAX(0,W571-X571)+Y571),0)</x:f>
      </x:c>
      <x:c r="AA571" s="32" t="e">
        <x:f>IF(A571&lt;=Dashboard!$F$17,MAX(0,W571-X571-MAX(0,Z571-Y571)),0)</x:f>
      </x:c>
      <x:c r="AB571" s="32" t="e">
        <x:f>IF(A571=1,Y571,AB570+Y571)</x:f>
      </x:c>
      <x:c r="AC571" s="32"/>
      <x:c r="AD571" s="32" t="e">
        <x:f>IF(A571=1,MAX(0,Dashboard!$F$14-$B$8),AG570)</x:f>
      </x:c>
      <x:c r="AE571" s="32" t="n">
        <x:f>0</x:f>
        <x:v>0</x:v>
      </x:c>
      <x:c r="AF571" s="32" t="e">
        <x:f>IF(A571&lt;=Dashboard!$F$17,AD571*Dashboard!$F$6,0)</x:f>
      </x:c>
      <x:c r="AG571" s="32" t="e">
        <x:f>IF(A571&lt;=Dashboard!$F$17,MIN(Dashboard!$F$10,AD571+AF571),0)</x:f>
      </x:c>
      <x:c r="AH571" s="32" t="e">
        <x:f>IF(A571&lt;=Dashboard!$F$17,MAX(0,AD571-MAX(0,AG571-AF571)),0)</x:f>
      </x:c>
      <x:c r="AI571" s="32" t="e">
        <x:f>IF(A571=1,AF571,AI570+AF571)</x:f>
      </x:c>
      <x:c r="AJ571" s="33"/>
      <x:c r="AK571" s="33"/>
      <x:c r="AL571" s="33"/>
      <x:c r="AM571" s="33"/>
    </x:row>
    <x:row r="572">
      <x:c r="A572" s="33" t="n">
        <x:v>560</x:v>
      </x:c>
      <x:c r="B572" s="32" t="e">
        <x:f>IF(A572=1,Dashboard!$F$14,F571)</x:f>
      </x:c>
      <x:c r="C572" s="32" t="n">
        <x:f>0</x:f>
        <x:v>0</x:v>
      </x:c>
      <x:c r="D572" s="32" t="e">
        <x:f>IF(A572&lt;=Dashboard!$F$15,B572*Dashboard!$F$6,0)</x:f>
      </x:c>
      <x:c r="E572" s="32" t="e">
        <x:f>IF(A572&lt;=Dashboard!$F$15,MIN(Dashboard!$F$10,B572+D572),0)</x:f>
      </x:c>
      <x:c r="F572" s="32" t="e">
        <x:f>IF(A572&lt;=Dashboard!$F$15,MAX(0,B572-MAX(0,E572-D572)),0)</x:f>
      </x:c>
      <x:c r="G572" s="32" t="e">
        <x:f>IF(A572=1,D572,G571+D572)</x:f>
      </x:c>
      <x:c r="H572" s="32"/>
      <x:c r="I572" s="32" t="e">
        <x:f>IF(A572=1,Dashboard!$F$14,M571)</x:f>
      </x:c>
      <x:c r="J572" s="32" t="e">
        <x:f>IF(A572&lt;=Dashboard!$F$17,MIN(I572,$B$5),0)</x:f>
      </x:c>
      <x:c r="K572" s="32" t="e">
        <x:f>IF(A572&lt;=Dashboard!$F$17,MAX(0,I572-J572)*Dashboard!$F$6,0)</x:f>
      </x:c>
      <x:c r="L572" s="32" t="e">
        <x:f>IF(A572&lt;=Dashboard!$F$17,MIN(Dashboard!$F$10,MAX(0,I572-J572)+K572),0)</x:f>
      </x:c>
      <x:c r="M572" s="32" t="e">
        <x:f>IF(A572&lt;=Dashboard!$F$17,MAX(0,I572-J572-MAX(0,L572-K572)),0)</x:f>
      </x:c>
      <x:c r="N572" s="32" t="e">
        <x:f>IF(A572=1,K572,N571+K572)</x:f>
      </x:c>
      <x:c r="O572" s="32"/>
      <x:c r="P572" s="32" t="e">
        <x:f>IF(A572=1,Dashboard!$F$14,T571)</x:f>
      </x:c>
      <x:c r="Q572" s="32" t="e">
        <x:f>IF(A572&lt;=Dashboard!$F$17,MIN(P572,$B$6*52/12),0)</x:f>
      </x:c>
      <x:c r="R572" s="32" t="e">
        <x:f>IF(A572&lt;=Dashboard!$F$17,MAX(0,P572-Q572)*Dashboard!$F$6,0)</x:f>
      </x:c>
      <x:c r="S572" s="32" t="e">
        <x:f>IF(A572&lt;=Dashboard!$F$17,MIN(Dashboard!$F$10,MAX(0,P572-Q572)+R572),0)</x:f>
      </x:c>
      <x:c r="T572" s="32" t="e">
        <x:f>IF(A572&lt;=Dashboard!$F$17,MAX(0,P572-Q572-MAX(0,S572-R572)),0)</x:f>
      </x:c>
      <x:c r="U572" s="32" t="e">
        <x:f>IF(A572=1,R572,U571+R572)</x:f>
      </x:c>
      <x:c r="V572" s="32"/>
      <x:c r="W572" s="32" t="e">
        <x:f>IF(A572=1,Dashboard!$F$14,AA571)</x:f>
      </x:c>
      <x:c r="X572" s="32" t="e">
        <x:f>IF(AND(A572&lt;=Dashboard!$F$17,MOD(A572-1,12)=0),MIN(W572,$B$7),0)</x:f>
      </x:c>
      <x:c r="Y572" s="32" t="e">
        <x:f>IF(A572&lt;=Dashboard!$F$17,MAX(0,W572-X572)*Dashboard!$F$6,0)</x:f>
      </x:c>
      <x:c r="Z572" s="32" t="e">
        <x:f>IF(A572&lt;=Dashboard!$F$17,MIN(Dashboard!$F$10,MAX(0,W572-X572)+Y572),0)</x:f>
      </x:c>
      <x:c r="AA572" s="32" t="e">
        <x:f>IF(A572&lt;=Dashboard!$F$17,MAX(0,W572-X572-MAX(0,Z572-Y572)),0)</x:f>
      </x:c>
      <x:c r="AB572" s="32" t="e">
        <x:f>IF(A572=1,Y572,AB571+Y572)</x:f>
      </x:c>
      <x:c r="AC572" s="32"/>
      <x:c r="AD572" s="32" t="e">
        <x:f>IF(A572=1,MAX(0,Dashboard!$F$14-$B$8),AG571)</x:f>
      </x:c>
      <x:c r="AE572" s="32" t="n">
        <x:f>0</x:f>
        <x:v>0</x:v>
      </x:c>
      <x:c r="AF572" s="32" t="e">
        <x:f>IF(A572&lt;=Dashboard!$F$17,AD572*Dashboard!$F$6,0)</x:f>
      </x:c>
      <x:c r="AG572" s="32" t="e">
        <x:f>IF(A572&lt;=Dashboard!$F$17,MIN(Dashboard!$F$10,AD572+AF572),0)</x:f>
      </x:c>
      <x:c r="AH572" s="32" t="e">
        <x:f>IF(A572&lt;=Dashboard!$F$17,MAX(0,AD572-MAX(0,AG572-AF572)),0)</x:f>
      </x:c>
      <x:c r="AI572" s="32" t="e">
        <x:f>IF(A572=1,AF572,AI571+AF572)</x:f>
      </x:c>
      <x:c r="AJ572" s="33"/>
      <x:c r="AK572" s="33"/>
      <x:c r="AL572" s="33"/>
      <x:c r="AM572" s="33"/>
    </x:row>
    <x:row r="573">
      <x:c r="A573" s="33" t="n">
        <x:v>561</x:v>
      </x:c>
      <x:c r="B573" s="32" t="e">
        <x:f>IF(A573=1,Dashboard!$F$14,F572)</x:f>
      </x:c>
      <x:c r="C573" s="32" t="n">
        <x:f>0</x:f>
        <x:v>0</x:v>
      </x:c>
      <x:c r="D573" s="32" t="e">
        <x:f>IF(A573&lt;=Dashboard!$F$15,B573*Dashboard!$F$6,0)</x:f>
      </x:c>
      <x:c r="E573" s="32" t="e">
        <x:f>IF(A573&lt;=Dashboard!$F$15,MIN(Dashboard!$F$10,B573+D573),0)</x:f>
      </x:c>
      <x:c r="F573" s="32" t="e">
        <x:f>IF(A573&lt;=Dashboard!$F$15,MAX(0,B573-MAX(0,E573-D573)),0)</x:f>
      </x:c>
      <x:c r="G573" s="32" t="e">
        <x:f>IF(A573=1,D573,G572+D573)</x:f>
      </x:c>
      <x:c r="H573" s="32"/>
      <x:c r="I573" s="32" t="e">
        <x:f>IF(A573=1,Dashboard!$F$14,M572)</x:f>
      </x:c>
      <x:c r="J573" s="32" t="e">
        <x:f>IF(A573&lt;=Dashboard!$F$17,MIN(I573,$B$5),0)</x:f>
      </x:c>
      <x:c r="K573" s="32" t="e">
        <x:f>IF(A573&lt;=Dashboard!$F$17,MAX(0,I573-J573)*Dashboard!$F$6,0)</x:f>
      </x:c>
      <x:c r="L573" s="32" t="e">
        <x:f>IF(A573&lt;=Dashboard!$F$17,MIN(Dashboard!$F$10,MAX(0,I573-J573)+K573),0)</x:f>
      </x:c>
      <x:c r="M573" s="32" t="e">
        <x:f>IF(A573&lt;=Dashboard!$F$17,MAX(0,I573-J573-MAX(0,L573-K573)),0)</x:f>
      </x:c>
      <x:c r="N573" s="32" t="e">
        <x:f>IF(A573=1,K573,N572+K573)</x:f>
      </x:c>
      <x:c r="O573" s="32"/>
      <x:c r="P573" s="32" t="e">
        <x:f>IF(A573=1,Dashboard!$F$14,T572)</x:f>
      </x:c>
      <x:c r="Q573" s="32" t="e">
        <x:f>IF(A573&lt;=Dashboard!$F$17,MIN(P573,$B$6*52/12),0)</x:f>
      </x:c>
      <x:c r="R573" s="32" t="e">
        <x:f>IF(A573&lt;=Dashboard!$F$17,MAX(0,P573-Q573)*Dashboard!$F$6,0)</x:f>
      </x:c>
      <x:c r="S573" s="32" t="e">
        <x:f>IF(A573&lt;=Dashboard!$F$17,MIN(Dashboard!$F$10,MAX(0,P573-Q573)+R573),0)</x:f>
      </x:c>
      <x:c r="T573" s="32" t="e">
        <x:f>IF(A573&lt;=Dashboard!$F$17,MAX(0,P573-Q573-MAX(0,S573-R573)),0)</x:f>
      </x:c>
      <x:c r="U573" s="32" t="e">
        <x:f>IF(A573=1,R573,U572+R573)</x:f>
      </x:c>
      <x:c r="V573" s="32"/>
      <x:c r="W573" s="32" t="e">
        <x:f>IF(A573=1,Dashboard!$F$14,AA572)</x:f>
      </x:c>
      <x:c r="X573" s="32" t="e">
        <x:f>IF(AND(A573&lt;=Dashboard!$F$17,MOD(A573-1,12)=0),MIN(W573,$B$7),0)</x:f>
      </x:c>
      <x:c r="Y573" s="32" t="e">
        <x:f>IF(A573&lt;=Dashboard!$F$17,MAX(0,W573-X573)*Dashboard!$F$6,0)</x:f>
      </x:c>
      <x:c r="Z573" s="32" t="e">
        <x:f>IF(A573&lt;=Dashboard!$F$17,MIN(Dashboard!$F$10,MAX(0,W573-X573)+Y573),0)</x:f>
      </x:c>
      <x:c r="AA573" s="32" t="e">
        <x:f>IF(A573&lt;=Dashboard!$F$17,MAX(0,W573-X573-MAX(0,Z573-Y573)),0)</x:f>
      </x:c>
      <x:c r="AB573" s="32" t="e">
        <x:f>IF(A573=1,Y573,AB572+Y573)</x:f>
      </x:c>
      <x:c r="AC573" s="32"/>
      <x:c r="AD573" s="32" t="e">
        <x:f>IF(A573=1,MAX(0,Dashboard!$F$14-$B$8),AG572)</x:f>
      </x:c>
      <x:c r="AE573" s="32" t="n">
        <x:f>0</x:f>
        <x:v>0</x:v>
      </x:c>
      <x:c r="AF573" s="32" t="e">
        <x:f>IF(A573&lt;=Dashboard!$F$17,AD573*Dashboard!$F$6,0)</x:f>
      </x:c>
      <x:c r="AG573" s="32" t="e">
        <x:f>IF(A573&lt;=Dashboard!$F$17,MIN(Dashboard!$F$10,AD573+AF573),0)</x:f>
      </x:c>
      <x:c r="AH573" s="32" t="e">
        <x:f>IF(A573&lt;=Dashboard!$F$17,MAX(0,AD573-MAX(0,AG573-AF573)),0)</x:f>
      </x:c>
      <x:c r="AI573" s="32" t="e">
        <x:f>IF(A573=1,AF573,AI572+AF573)</x:f>
      </x:c>
      <x:c r="AJ573" s="33"/>
      <x:c r="AK573" s="33"/>
      <x:c r="AL573" s="33"/>
      <x:c r="AM573" s="33"/>
    </x:row>
    <x:row r="574">
      <x:c r="A574" s="33" t="n">
        <x:v>562</x:v>
      </x:c>
      <x:c r="B574" s="32" t="e">
        <x:f>IF(A574=1,Dashboard!$F$14,F573)</x:f>
      </x:c>
      <x:c r="C574" s="32" t="n">
        <x:f>0</x:f>
        <x:v>0</x:v>
      </x:c>
      <x:c r="D574" s="32" t="e">
        <x:f>IF(A574&lt;=Dashboard!$F$15,B574*Dashboard!$F$6,0)</x:f>
      </x:c>
      <x:c r="E574" s="32" t="e">
        <x:f>IF(A574&lt;=Dashboard!$F$15,MIN(Dashboard!$F$10,B574+D574),0)</x:f>
      </x:c>
      <x:c r="F574" s="32" t="e">
        <x:f>IF(A574&lt;=Dashboard!$F$15,MAX(0,B574-MAX(0,E574-D574)),0)</x:f>
      </x:c>
      <x:c r="G574" s="32" t="e">
        <x:f>IF(A574=1,D574,G573+D574)</x:f>
      </x:c>
      <x:c r="H574" s="32"/>
      <x:c r="I574" s="32" t="e">
        <x:f>IF(A574=1,Dashboard!$F$14,M573)</x:f>
      </x:c>
      <x:c r="J574" s="32" t="e">
        <x:f>IF(A574&lt;=Dashboard!$F$17,MIN(I574,$B$5),0)</x:f>
      </x:c>
      <x:c r="K574" s="32" t="e">
        <x:f>IF(A574&lt;=Dashboard!$F$17,MAX(0,I574-J574)*Dashboard!$F$6,0)</x:f>
      </x:c>
      <x:c r="L574" s="32" t="e">
        <x:f>IF(A574&lt;=Dashboard!$F$17,MIN(Dashboard!$F$10,MAX(0,I574-J574)+K574),0)</x:f>
      </x:c>
      <x:c r="M574" s="32" t="e">
        <x:f>IF(A574&lt;=Dashboard!$F$17,MAX(0,I574-J574-MAX(0,L574-K574)),0)</x:f>
      </x:c>
      <x:c r="N574" s="32" t="e">
        <x:f>IF(A574=1,K574,N573+K574)</x:f>
      </x:c>
      <x:c r="O574" s="32"/>
      <x:c r="P574" s="32" t="e">
        <x:f>IF(A574=1,Dashboard!$F$14,T573)</x:f>
      </x:c>
      <x:c r="Q574" s="32" t="e">
        <x:f>IF(A574&lt;=Dashboard!$F$17,MIN(P574,$B$6*52/12),0)</x:f>
      </x:c>
      <x:c r="R574" s="32" t="e">
        <x:f>IF(A574&lt;=Dashboard!$F$17,MAX(0,P574-Q574)*Dashboard!$F$6,0)</x:f>
      </x:c>
      <x:c r="S574" s="32" t="e">
        <x:f>IF(A574&lt;=Dashboard!$F$17,MIN(Dashboard!$F$10,MAX(0,P574-Q574)+R574),0)</x:f>
      </x:c>
      <x:c r="T574" s="32" t="e">
        <x:f>IF(A574&lt;=Dashboard!$F$17,MAX(0,P574-Q574-MAX(0,S574-R574)),0)</x:f>
      </x:c>
      <x:c r="U574" s="32" t="e">
        <x:f>IF(A574=1,R574,U573+R574)</x:f>
      </x:c>
      <x:c r="V574" s="32"/>
      <x:c r="W574" s="32" t="e">
        <x:f>IF(A574=1,Dashboard!$F$14,AA573)</x:f>
      </x:c>
      <x:c r="X574" s="32" t="e">
        <x:f>IF(AND(A574&lt;=Dashboard!$F$17,MOD(A574-1,12)=0),MIN(W574,$B$7),0)</x:f>
      </x:c>
      <x:c r="Y574" s="32" t="e">
        <x:f>IF(A574&lt;=Dashboard!$F$17,MAX(0,W574-X574)*Dashboard!$F$6,0)</x:f>
      </x:c>
      <x:c r="Z574" s="32" t="e">
        <x:f>IF(A574&lt;=Dashboard!$F$17,MIN(Dashboard!$F$10,MAX(0,W574-X574)+Y574),0)</x:f>
      </x:c>
      <x:c r="AA574" s="32" t="e">
        <x:f>IF(A574&lt;=Dashboard!$F$17,MAX(0,W574-X574-MAX(0,Z574-Y574)),0)</x:f>
      </x:c>
      <x:c r="AB574" s="32" t="e">
        <x:f>IF(A574=1,Y574,AB573+Y574)</x:f>
      </x:c>
      <x:c r="AC574" s="32"/>
      <x:c r="AD574" s="32" t="e">
        <x:f>IF(A574=1,MAX(0,Dashboard!$F$14-$B$8),AG573)</x:f>
      </x:c>
      <x:c r="AE574" s="32" t="n">
        <x:f>0</x:f>
        <x:v>0</x:v>
      </x:c>
      <x:c r="AF574" s="32" t="e">
        <x:f>IF(A574&lt;=Dashboard!$F$17,AD574*Dashboard!$F$6,0)</x:f>
      </x:c>
      <x:c r="AG574" s="32" t="e">
        <x:f>IF(A574&lt;=Dashboard!$F$17,MIN(Dashboard!$F$10,AD574+AF574),0)</x:f>
      </x:c>
      <x:c r="AH574" s="32" t="e">
        <x:f>IF(A574&lt;=Dashboard!$F$17,MAX(0,AD574-MAX(0,AG574-AF574)),0)</x:f>
      </x:c>
      <x:c r="AI574" s="32" t="e">
        <x:f>IF(A574=1,AF574,AI573+AF574)</x:f>
      </x:c>
      <x:c r="AJ574" s="33"/>
      <x:c r="AK574" s="33"/>
      <x:c r="AL574" s="33"/>
      <x:c r="AM574" s="33"/>
    </x:row>
    <x:row r="575">
      <x:c r="A575" s="33" t="n">
        <x:v>563</x:v>
      </x:c>
      <x:c r="B575" s="32" t="e">
        <x:f>IF(A575=1,Dashboard!$F$14,F574)</x:f>
      </x:c>
      <x:c r="C575" s="32" t="n">
        <x:f>0</x:f>
        <x:v>0</x:v>
      </x:c>
      <x:c r="D575" s="32" t="e">
        <x:f>IF(A575&lt;=Dashboard!$F$15,B575*Dashboard!$F$6,0)</x:f>
      </x:c>
      <x:c r="E575" s="32" t="e">
        <x:f>IF(A575&lt;=Dashboard!$F$15,MIN(Dashboard!$F$10,B575+D575),0)</x:f>
      </x:c>
      <x:c r="F575" s="32" t="e">
        <x:f>IF(A575&lt;=Dashboard!$F$15,MAX(0,B575-MAX(0,E575-D575)),0)</x:f>
      </x:c>
      <x:c r="G575" s="32" t="e">
        <x:f>IF(A575=1,D575,G574+D575)</x:f>
      </x:c>
      <x:c r="H575" s="32"/>
      <x:c r="I575" s="32" t="e">
        <x:f>IF(A575=1,Dashboard!$F$14,M574)</x:f>
      </x:c>
      <x:c r="J575" s="32" t="e">
        <x:f>IF(A575&lt;=Dashboard!$F$17,MIN(I575,$B$5),0)</x:f>
      </x:c>
      <x:c r="K575" s="32" t="e">
        <x:f>IF(A575&lt;=Dashboard!$F$17,MAX(0,I575-J575)*Dashboard!$F$6,0)</x:f>
      </x:c>
      <x:c r="L575" s="32" t="e">
        <x:f>IF(A575&lt;=Dashboard!$F$17,MIN(Dashboard!$F$10,MAX(0,I575-J575)+K575),0)</x:f>
      </x:c>
      <x:c r="M575" s="32" t="e">
        <x:f>IF(A575&lt;=Dashboard!$F$17,MAX(0,I575-J575-MAX(0,L575-K575)),0)</x:f>
      </x:c>
      <x:c r="N575" s="32" t="e">
        <x:f>IF(A575=1,K575,N574+K575)</x:f>
      </x:c>
      <x:c r="O575" s="32"/>
      <x:c r="P575" s="32" t="e">
        <x:f>IF(A575=1,Dashboard!$F$14,T574)</x:f>
      </x:c>
      <x:c r="Q575" s="32" t="e">
        <x:f>IF(A575&lt;=Dashboard!$F$17,MIN(P575,$B$6*52/12),0)</x:f>
      </x:c>
      <x:c r="R575" s="32" t="e">
        <x:f>IF(A575&lt;=Dashboard!$F$17,MAX(0,P575-Q575)*Dashboard!$F$6,0)</x:f>
      </x:c>
      <x:c r="S575" s="32" t="e">
        <x:f>IF(A575&lt;=Dashboard!$F$17,MIN(Dashboard!$F$10,MAX(0,P575-Q575)+R575),0)</x:f>
      </x:c>
      <x:c r="T575" s="32" t="e">
        <x:f>IF(A575&lt;=Dashboard!$F$17,MAX(0,P575-Q575-MAX(0,S575-R575)),0)</x:f>
      </x:c>
      <x:c r="U575" s="32" t="e">
        <x:f>IF(A575=1,R575,U574+R575)</x:f>
      </x:c>
      <x:c r="V575" s="32"/>
      <x:c r="W575" s="32" t="e">
        <x:f>IF(A575=1,Dashboard!$F$14,AA574)</x:f>
      </x:c>
      <x:c r="X575" s="32" t="e">
        <x:f>IF(AND(A575&lt;=Dashboard!$F$17,MOD(A575-1,12)=0),MIN(W575,$B$7),0)</x:f>
      </x:c>
      <x:c r="Y575" s="32" t="e">
        <x:f>IF(A575&lt;=Dashboard!$F$17,MAX(0,W575-X575)*Dashboard!$F$6,0)</x:f>
      </x:c>
      <x:c r="Z575" s="32" t="e">
        <x:f>IF(A575&lt;=Dashboard!$F$17,MIN(Dashboard!$F$10,MAX(0,W575-X575)+Y575),0)</x:f>
      </x:c>
      <x:c r="AA575" s="32" t="e">
        <x:f>IF(A575&lt;=Dashboard!$F$17,MAX(0,W575-X575-MAX(0,Z575-Y575)),0)</x:f>
      </x:c>
      <x:c r="AB575" s="32" t="e">
        <x:f>IF(A575=1,Y575,AB574+Y575)</x:f>
      </x:c>
      <x:c r="AC575" s="32"/>
      <x:c r="AD575" s="32" t="e">
        <x:f>IF(A575=1,MAX(0,Dashboard!$F$14-$B$8),AG574)</x:f>
      </x:c>
      <x:c r="AE575" s="32" t="n">
        <x:f>0</x:f>
        <x:v>0</x:v>
      </x:c>
      <x:c r="AF575" s="32" t="e">
        <x:f>IF(A575&lt;=Dashboard!$F$17,AD575*Dashboard!$F$6,0)</x:f>
      </x:c>
      <x:c r="AG575" s="32" t="e">
        <x:f>IF(A575&lt;=Dashboard!$F$17,MIN(Dashboard!$F$10,AD575+AF575),0)</x:f>
      </x:c>
      <x:c r="AH575" s="32" t="e">
        <x:f>IF(A575&lt;=Dashboard!$F$17,MAX(0,AD575-MAX(0,AG575-AF575)),0)</x:f>
      </x:c>
      <x:c r="AI575" s="32" t="e">
        <x:f>IF(A575=1,AF575,AI574+AF575)</x:f>
      </x:c>
      <x:c r="AJ575" s="33"/>
      <x:c r="AK575" s="33"/>
      <x:c r="AL575" s="33"/>
      <x:c r="AM575" s="33"/>
    </x:row>
    <x:row r="576">
      <x:c r="A576" s="33" t="n">
        <x:v>564</x:v>
      </x:c>
      <x:c r="B576" s="32" t="e">
        <x:f>IF(A576=1,Dashboard!$F$14,F575)</x:f>
      </x:c>
      <x:c r="C576" s="32" t="n">
        <x:f>0</x:f>
        <x:v>0</x:v>
      </x:c>
      <x:c r="D576" s="32" t="e">
        <x:f>IF(A576&lt;=Dashboard!$F$15,B576*Dashboard!$F$6,0)</x:f>
      </x:c>
      <x:c r="E576" s="32" t="e">
        <x:f>IF(A576&lt;=Dashboard!$F$15,MIN(Dashboard!$F$10,B576+D576),0)</x:f>
      </x:c>
      <x:c r="F576" s="32" t="e">
        <x:f>IF(A576&lt;=Dashboard!$F$15,MAX(0,B576-MAX(0,E576-D576)),0)</x:f>
      </x:c>
      <x:c r="G576" s="32" t="e">
        <x:f>IF(A576=1,D576,G575+D576)</x:f>
      </x:c>
      <x:c r="H576" s="32"/>
      <x:c r="I576" s="32" t="e">
        <x:f>IF(A576=1,Dashboard!$F$14,M575)</x:f>
      </x:c>
      <x:c r="J576" s="32" t="e">
        <x:f>IF(A576&lt;=Dashboard!$F$17,MIN(I576,$B$5),0)</x:f>
      </x:c>
      <x:c r="K576" s="32" t="e">
        <x:f>IF(A576&lt;=Dashboard!$F$17,MAX(0,I576-J576)*Dashboard!$F$6,0)</x:f>
      </x:c>
      <x:c r="L576" s="32" t="e">
        <x:f>IF(A576&lt;=Dashboard!$F$17,MIN(Dashboard!$F$10,MAX(0,I576-J576)+K576),0)</x:f>
      </x:c>
      <x:c r="M576" s="32" t="e">
        <x:f>IF(A576&lt;=Dashboard!$F$17,MAX(0,I576-J576-MAX(0,L576-K576)),0)</x:f>
      </x:c>
      <x:c r="N576" s="32" t="e">
        <x:f>IF(A576=1,K576,N575+K576)</x:f>
      </x:c>
      <x:c r="O576" s="32"/>
      <x:c r="P576" s="32" t="e">
        <x:f>IF(A576=1,Dashboard!$F$14,T575)</x:f>
      </x:c>
      <x:c r="Q576" s="32" t="e">
        <x:f>IF(A576&lt;=Dashboard!$F$17,MIN(P576,$B$6*52/12),0)</x:f>
      </x:c>
      <x:c r="R576" s="32" t="e">
        <x:f>IF(A576&lt;=Dashboard!$F$17,MAX(0,P576-Q576)*Dashboard!$F$6,0)</x:f>
      </x:c>
      <x:c r="S576" s="32" t="e">
        <x:f>IF(A576&lt;=Dashboard!$F$17,MIN(Dashboard!$F$10,MAX(0,P576-Q576)+R576),0)</x:f>
      </x:c>
      <x:c r="T576" s="32" t="e">
        <x:f>IF(A576&lt;=Dashboard!$F$17,MAX(0,P576-Q576-MAX(0,S576-R576)),0)</x:f>
      </x:c>
      <x:c r="U576" s="32" t="e">
        <x:f>IF(A576=1,R576,U575+R576)</x:f>
      </x:c>
      <x:c r="V576" s="32"/>
      <x:c r="W576" s="32" t="e">
        <x:f>IF(A576=1,Dashboard!$F$14,AA575)</x:f>
      </x:c>
      <x:c r="X576" s="32" t="e">
        <x:f>IF(AND(A576&lt;=Dashboard!$F$17,MOD(A576-1,12)=0),MIN(W576,$B$7),0)</x:f>
      </x:c>
      <x:c r="Y576" s="32" t="e">
        <x:f>IF(A576&lt;=Dashboard!$F$17,MAX(0,W576-X576)*Dashboard!$F$6,0)</x:f>
      </x:c>
      <x:c r="Z576" s="32" t="e">
        <x:f>IF(A576&lt;=Dashboard!$F$17,MIN(Dashboard!$F$10,MAX(0,W576-X576)+Y576),0)</x:f>
      </x:c>
      <x:c r="AA576" s="32" t="e">
        <x:f>IF(A576&lt;=Dashboard!$F$17,MAX(0,W576-X576-MAX(0,Z576-Y576)),0)</x:f>
      </x:c>
      <x:c r="AB576" s="32" t="e">
        <x:f>IF(A576=1,Y576,AB575+Y576)</x:f>
      </x:c>
      <x:c r="AC576" s="32"/>
      <x:c r="AD576" s="32" t="e">
        <x:f>IF(A576=1,MAX(0,Dashboard!$F$14-$B$8),AG575)</x:f>
      </x:c>
      <x:c r="AE576" s="32" t="n">
        <x:f>0</x:f>
        <x:v>0</x:v>
      </x:c>
      <x:c r="AF576" s="32" t="e">
        <x:f>IF(A576&lt;=Dashboard!$F$17,AD576*Dashboard!$F$6,0)</x:f>
      </x:c>
      <x:c r="AG576" s="32" t="e">
        <x:f>IF(A576&lt;=Dashboard!$F$17,MIN(Dashboard!$F$10,AD576+AF576),0)</x:f>
      </x:c>
      <x:c r="AH576" s="32" t="e">
        <x:f>IF(A576&lt;=Dashboard!$F$17,MAX(0,AD576-MAX(0,AG576-AF576)),0)</x:f>
      </x:c>
      <x:c r="AI576" s="32" t="e">
        <x:f>IF(A576=1,AF576,AI575+AF576)</x:f>
      </x:c>
      <x:c r="AJ576" s="33"/>
      <x:c r="AK576" s="33"/>
      <x:c r="AL576" s="33"/>
      <x:c r="AM576" s="33"/>
    </x:row>
    <x:row r="577">
      <x:c r="A577" s="33" t="n">
        <x:v>565</x:v>
      </x:c>
      <x:c r="B577" s="32" t="e">
        <x:f>IF(A577=1,Dashboard!$F$14,F576)</x:f>
      </x:c>
      <x:c r="C577" s="32" t="n">
        <x:f>0</x:f>
        <x:v>0</x:v>
      </x:c>
      <x:c r="D577" s="32" t="e">
        <x:f>IF(A577&lt;=Dashboard!$F$15,B577*Dashboard!$F$6,0)</x:f>
      </x:c>
      <x:c r="E577" s="32" t="e">
        <x:f>IF(A577&lt;=Dashboard!$F$15,MIN(Dashboard!$F$10,B577+D577),0)</x:f>
      </x:c>
      <x:c r="F577" s="32" t="e">
        <x:f>IF(A577&lt;=Dashboard!$F$15,MAX(0,B577-MAX(0,E577-D577)),0)</x:f>
      </x:c>
      <x:c r="G577" s="32" t="e">
        <x:f>IF(A577=1,D577,G576+D577)</x:f>
      </x:c>
      <x:c r="H577" s="32"/>
      <x:c r="I577" s="32" t="e">
        <x:f>IF(A577=1,Dashboard!$F$14,M576)</x:f>
      </x:c>
      <x:c r="J577" s="32" t="e">
        <x:f>IF(A577&lt;=Dashboard!$F$17,MIN(I577,$B$5),0)</x:f>
      </x:c>
      <x:c r="K577" s="32" t="e">
        <x:f>IF(A577&lt;=Dashboard!$F$17,MAX(0,I577-J577)*Dashboard!$F$6,0)</x:f>
      </x:c>
      <x:c r="L577" s="32" t="e">
        <x:f>IF(A577&lt;=Dashboard!$F$17,MIN(Dashboard!$F$10,MAX(0,I577-J577)+K577),0)</x:f>
      </x:c>
      <x:c r="M577" s="32" t="e">
        <x:f>IF(A577&lt;=Dashboard!$F$17,MAX(0,I577-J577-MAX(0,L577-K577)),0)</x:f>
      </x:c>
      <x:c r="N577" s="32" t="e">
        <x:f>IF(A577=1,K577,N576+K577)</x:f>
      </x:c>
      <x:c r="O577" s="32"/>
      <x:c r="P577" s="32" t="e">
        <x:f>IF(A577=1,Dashboard!$F$14,T576)</x:f>
      </x:c>
      <x:c r="Q577" s="32" t="e">
        <x:f>IF(A577&lt;=Dashboard!$F$17,MIN(P577,$B$6*52/12),0)</x:f>
      </x:c>
      <x:c r="R577" s="32" t="e">
        <x:f>IF(A577&lt;=Dashboard!$F$17,MAX(0,P577-Q577)*Dashboard!$F$6,0)</x:f>
      </x:c>
      <x:c r="S577" s="32" t="e">
        <x:f>IF(A577&lt;=Dashboard!$F$17,MIN(Dashboard!$F$10,MAX(0,P577-Q577)+R577),0)</x:f>
      </x:c>
      <x:c r="T577" s="32" t="e">
        <x:f>IF(A577&lt;=Dashboard!$F$17,MAX(0,P577-Q577-MAX(0,S577-R577)),0)</x:f>
      </x:c>
      <x:c r="U577" s="32" t="e">
        <x:f>IF(A577=1,R577,U576+R577)</x:f>
      </x:c>
      <x:c r="V577" s="32"/>
      <x:c r="W577" s="32" t="e">
        <x:f>IF(A577=1,Dashboard!$F$14,AA576)</x:f>
      </x:c>
      <x:c r="X577" s="32" t="e">
        <x:f>IF(AND(A577&lt;=Dashboard!$F$17,MOD(A577-1,12)=0),MIN(W577,$B$7),0)</x:f>
      </x:c>
      <x:c r="Y577" s="32" t="e">
        <x:f>IF(A577&lt;=Dashboard!$F$17,MAX(0,W577-X577)*Dashboard!$F$6,0)</x:f>
      </x:c>
      <x:c r="Z577" s="32" t="e">
        <x:f>IF(A577&lt;=Dashboard!$F$17,MIN(Dashboard!$F$10,MAX(0,W577-X577)+Y577),0)</x:f>
      </x:c>
      <x:c r="AA577" s="32" t="e">
        <x:f>IF(A577&lt;=Dashboard!$F$17,MAX(0,W577-X577-MAX(0,Z577-Y577)),0)</x:f>
      </x:c>
      <x:c r="AB577" s="32" t="e">
        <x:f>IF(A577=1,Y577,AB576+Y577)</x:f>
      </x:c>
      <x:c r="AC577" s="32"/>
      <x:c r="AD577" s="32" t="e">
        <x:f>IF(A577=1,MAX(0,Dashboard!$F$14-$B$8),AG576)</x:f>
      </x:c>
      <x:c r="AE577" s="32" t="n">
        <x:f>0</x:f>
        <x:v>0</x:v>
      </x:c>
      <x:c r="AF577" s="32" t="e">
        <x:f>IF(A577&lt;=Dashboard!$F$17,AD577*Dashboard!$F$6,0)</x:f>
      </x:c>
      <x:c r="AG577" s="32" t="e">
        <x:f>IF(A577&lt;=Dashboard!$F$17,MIN(Dashboard!$F$10,AD577+AF577),0)</x:f>
      </x:c>
      <x:c r="AH577" s="32" t="e">
        <x:f>IF(A577&lt;=Dashboard!$F$17,MAX(0,AD577-MAX(0,AG577-AF577)),0)</x:f>
      </x:c>
      <x:c r="AI577" s="32" t="e">
        <x:f>IF(A577=1,AF577,AI576+AF577)</x:f>
      </x:c>
      <x:c r="AJ577" s="33"/>
      <x:c r="AK577" s="33"/>
      <x:c r="AL577" s="33"/>
      <x:c r="AM577" s="33"/>
    </x:row>
    <x:row r="578">
      <x:c r="A578" s="33" t="n">
        <x:v>566</x:v>
      </x:c>
      <x:c r="B578" s="32" t="e">
        <x:f>IF(A578=1,Dashboard!$F$14,F577)</x:f>
      </x:c>
      <x:c r="C578" s="32" t="n">
        <x:f>0</x:f>
        <x:v>0</x:v>
      </x:c>
      <x:c r="D578" s="32" t="e">
        <x:f>IF(A578&lt;=Dashboard!$F$15,B578*Dashboard!$F$6,0)</x:f>
      </x:c>
      <x:c r="E578" s="32" t="e">
        <x:f>IF(A578&lt;=Dashboard!$F$15,MIN(Dashboard!$F$10,B578+D578),0)</x:f>
      </x:c>
      <x:c r="F578" s="32" t="e">
        <x:f>IF(A578&lt;=Dashboard!$F$15,MAX(0,B578-MAX(0,E578-D578)),0)</x:f>
      </x:c>
      <x:c r="G578" s="32" t="e">
        <x:f>IF(A578=1,D578,G577+D578)</x:f>
      </x:c>
      <x:c r="H578" s="32"/>
      <x:c r="I578" s="32" t="e">
        <x:f>IF(A578=1,Dashboard!$F$14,M577)</x:f>
      </x:c>
      <x:c r="J578" s="32" t="e">
        <x:f>IF(A578&lt;=Dashboard!$F$17,MIN(I578,$B$5),0)</x:f>
      </x:c>
      <x:c r="K578" s="32" t="e">
        <x:f>IF(A578&lt;=Dashboard!$F$17,MAX(0,I578-J578)*Dashboard!$F$6,0)</x:f>
      </x:c>
      <x:c r="L578" s="32" t="e">
        <x:f>IF(A578&lt;=Dashboard!$F$17,MIN(Dashboard!$F$10,MAX(0,I578-J578)+K578),0)</x:f>
      </x:c>
      <x:c r="M578" s="32" t="e">
        <x:f>IF(A578&lt;=Dashboard!$F$17,MAX(0,I578-J578-MAX(0,L578-K578)),0)</x:f>
      </x:c>
      <x:c r="N578" s="32" t="e">
        <x:f>IF(A578=1,K578,N577+K578)</x:f>
      </x:c>
      <x:c r="O578" s="32"/>
      <x:c r="P578" s="32" t="e">
        <x:f>IF(A578=1,Dashboard!$F$14,T577)</x:f>
      </x:c>
      <x:c r="Q578" s="32" t="e">
        <x:f>IF(A578&lt;=Dashboard!$F$17,MIN(P578,$B$6*52/12),0)</x:f>
      </x:c>
      <x:c r="R578" s="32" t="e">
        <x:f>IF(A578&lt;=Dashboard!$F$17,MAX(0,P578-Q578)*Dashboard!$F$6,0)</x:f>
      </x:c>
      <x:c r="S578" s="32" t="e">
        <x:f>IF(A578&lt;=Dashboard!$F$17,MIN(Dashboard!$F$10,MAX(0,P578-Q578)+R578),0)</x:f>
      </x:c>
      <x:c r="T578" s="32" t="e">
        <x:f>IF(A578&lt;=Dashboard!$F$17,MAX(0,P578-Q578-MAX(0,S578-R578)),0)</x:f>
      </x:c>
      <x:c r="U578" s="32" t="e">
        <x:f>IF(A578=1,R578,U577+R578)</x:f>
      </x:c>
      <x:c r="V578" s="32"/>
      <x:c r="W578" s="32" t="e">
        <x:f>IF(A578=1,Dashboard!$F$14,AA577)</x:f>
      </x:c>
      <x:c r="X578" s="32" t="e">
        <x:f>IF(AND(A578&lt;=Dashboard!$F$17,MOD(A578-1,12)=0),MIN(W578,$B$7),0)</x:f>
      </x:c>
      <x:c r="Y578" s="32" t="e">
        <x:f>IF(A578&lt;=Dashboard!$F$17,MAX(0,W578-X578)*Dashboard!$F$6,0)</x:f>
      </x:c>
      <x:c r="Z578" s="32" t="e">
        <x:f>IF(A578&lt;=Dashboard!$F$17,MIN(Dashboard!$F$10,MAX(0,W578-X578)+Y578),0)</x:f>
      </x:c>
      <x:c r="AA578" s="32" t="e">
        <x:f>IF(A578&lt;=Dashboard!$F$17,MAX(0,W578-X578-MAX(0,Z578-Y578)),0)</x:f>
      </x:c>
      <x:c r="AB578" s="32" t="e">
        <x:f>IF(A578=1,Y578,AB577+Y578)</x:f>
      </x:c>
      <x:c r="AC578" s="32"/>
      <x:c r="AD578" s="32" t="e">
        <x:f>IF(A578=1,MAX(0,Dashboard!$F$14-$B$8),AG577)</x:f>
      </x:c>
      <x:c r="AE578" s="32" t="n">
        <x:f>0</x:f>
        <x:v>0</x:v>
      </x:c>
      <x:c r="AF578" s="32" t="e">
        <x:f>IF(A578&lt;=Dashboard!$F$17,AD578*Dashboard!$F$6,0)</x:f>
      </x:c>
      <x:c r="AG578" s="32" t="e">
        <x:f>IF(A578&lt;=Dashboard!$F$17,MIN(Dashboard!$F$10,AD578+AF578),0)</x:f>
      </x:c>
      <x:c r="AH578" s="32" t="e">
        <x:f>IF(A578&lt;=Dashboard!$F$17,MAX(0,AD578-MAX(0,AG578-AF578)),0)</x:f>
      </x:c>
      <x:c r="AI578" s="32" t="e">
        <x:f>IF(A578=1,AF578,AI577+AF578)</x:f>
      </x:c>
      <x:c r="AJ578" s="33"/>
      <x:c r="AK578" s="33"/>
      <x:c r="AL578" s="33"/>
      <x:c r="AM578" s="33"/>
    </x:row>
    <x:row r="579">
      <x:c r="A579" s="33" t="n">
        <x:v>567</x:v>
      </x:c>
      <x:c r="B579" s="32" t="e">
        <x:f>IF(A579=1,Dashboard!$F$14,F578)</x:f>
      </x:c>
      <x:c r="C579" s="32" t="n">
        <x:f>0</x:f>
        <x:v>0</x:v>
      </x:c>
      <x:c r="D579" s="32" t="e">
        <x:f>IF(A579&lt;=Dashboard!$F$15,B579*Dashboard!$F$6,0)</x:f>
      </x:c>
      <x:c r="E579" s="32" t="e">
        <x:f>IF(A579&lt;=Dashboard!$F$15,MIN(Dashboard!$F$10,B579+D579),0)</x:f>
      </x:c>
      <x:c r="F579" s="32" t="e">
        <x:f>IF(A579&lt;=Dashboard!$F$15,MAX(0,B579-MAX(0,E579-D579)),0)</x:f>
      </x:c>
      <x:c r="G579" s="32" t="e">
        <x:f>IF(A579=1,D579,G578+D579)</x:f>
      </x:c>
      <x:c r="H579" s="32"/>
      <x:c r="I579" s="32" t="e">
        <x:f>IF(A579=1,Dashboard!$F$14,M578)</x:f>
      </x:c>
      <x:c r="J579" s="32" t="e">
        <x:f>IF(A579&lt;=Dashboard!$F$17,MIN(I579,$B$5),0)</x:f>
      </x:c>
      <x:c r="K579" s="32" t="e">
        <x:f>IF(A579&lt;=Dashboard!$F$17,MAX(0,I579-J579)*Dashboard!$F$6,0)</x:f>
      </x:c>
      <x:c r="L579" s="32" t="e">
        <x:f>IF(A579&lt;=Dashboard!$F$17,MIN(Dashboard!$F$10,MAX(0,I579-J579)+K579),0)</x:f>
      </x:c>
      <x:c r="M579" s="32" t="e">
        <x:f>IF(A579&lt;=Dashboard!$F$17,MAX(0,I579-J579-MAX(0,L579-K579)),0)</x:f>
      </x:c>
      <x:c r="N579" s="32" t="e">
        <x:f>IF(A579=1,K579,N578+K579)</x:f>
      </x:c>
      <x:c r="O579" s="32"/>
      <x:c r="P579" s="32" t="e">
        <x:f>IF(A579=1,Dashboard!$F$14,T578)</x:f>
      </x:c>
      <x:c r="Q579" s="32" t="e">
        <x:f>IF(A579&lt;=Dashboard!$F$17,MIN(P579,$B$6*52/12),0)</x:f>
      </x:c>
      <x:c r="R579" s="32" t="e">
        <x:f>IF(A579&lt;=Dashboard!$F$17,MAX(0,P579-Q579)*Dashboard!$F$6,0)</x:f>
      </x:c>
      <x:c r="S579" s="32" t="e">
        <x:f>IF(A579&lt;=Dashboard!$F$17,MIN(Dashboard!$F$10,MAX(0,P579-Q579)+R579),0)</x:f>
      </x:c>
      <x:c r="T579" s="32" t="e">
        <x:f>IF(A579&lt;=Dashboard!$F$17,MAX(0,P579-Q579-MAX(0,S579-R579)),0)</x:f>
      </x:c>
      <x:c r="U579" s="32" t="e">
        <x:f>IF(A579=1,R579,U578+R579)</x:f>
      </x:c>
      <x:c r="V579" s="32"/>
      <x:c r="W579" s="32" t="e">
        <x:f>IF(A579=1,Dashboard!$F$14,AA578)</x:f>
      </x:c>
      <x:c r="X579" s="32" t="e">
        <x:f>IF(AND(A579&lt;=Dashboard!$F$17,MOD(A579-1,12)=0),MIN(W579,$B$7),0)</x:f>
      </x:c>
      <x:c r="Y579" s="32" t="e">
        <x:f>IF(A579&lt;=Dashboard!$F$17,MAX(0,W579-X579)*Dashboard!$F$6,0)</x:f>
      </x:c>
      <x:c r="Z579" s="32" t="e">
        <x:f>IF(A579&lt;=Dashboard!$F$17,MIN(Dashboard!$F$10,MAX(0,W579-X579)+Y579),0)</x:f>
      </x:c>
      <x:c r="AA579" s="32" t="e">
        <x:f>IF(A579&lt;=Dashboard!$F$17,MAX(0,W579-X579-MAX(0,Z579-Y579)),0)</x:f>
      </x:c>
      <x:c r="AB579" s="32" t="e">
        <x:f>IF(A579=1,Y579,AB578+Y579)</x:f>
      </x:c>
      <x:c r="AC579" s="32"/>
      <x:c r="AD579" s="32" t="e">
        <x:f>IF(A579=1,MAX(0,Dashboard!$F$14-$B$8),AG578)</x:f>
      </x:c>
      <x:c r="AE579" s="32" t="n">
        <x:f>0</x:f>
        <x:v>0</x:v>
      </x:c>
      <x:c r="AF579" s="32" t="e">
        <x:f>IF(A579&lt;=Dashboard!$F$17,AD579*Dashboard!$F$6,0)</x:f>
      </x:c>
      <x:c r="AG579" s="32" t="e">
        <x:f>IF(A579&lt;=Dashboard!$F$17,MIN(Dashboard!$F$10,AD579+AF579),0)</x:f>
      </x:c>
      <x:c r="AH579" s="32" t="e">
        <x:f>IF(A579&lt;=Dashboard!$F$17,MAX(0,AD579-MAX(0,AG579-AF579)),0)</x:f>
      </x:c>
      <x:c r="AI579" s="32" t="e">
        <x:f>IF(A579=1,AF579,AI578+AF579)</x:f>
      </x:c>
      <x:c r="AJ579" s="33"/>
      <x:c r="AK579" s="33"/>
      <x:c r="AL579" s="33"/>
      <x:c r="AM579" s="33"/>
    </x:row>
    <x:row r="580">
      <x:c r="A580" s="33" t="n">
        <x:v>568</x:v>
      </x:c>
      <x:c r="B580" s="32" t="e">
        <x:f>IF(A580=1,Dashboard!$F$14,F579)</x:f>
      </x:c>
      <x:c r="C580" s="32" t="n">
        <x:f>0</x:f>
        <x:v>0</x:v>
      </x:c>
      <x:c r="D580" s="32" t="e">
        <x:f>IF(A580&lt;=Dashboard!$F$15,B580*Dashboard!$F$6,0)</x:f>
      </x:c>
      <x:c r="E580" s="32" t="e">
        <x:f>IF(A580&lt;=Dashboard!$F$15,MIN(Dashboard!$F$10,B580+D580),0)</x:f>
      </x:c>
      <x:c r="F580" s="32" t="e">
        <x:f>IF(A580&lt;=Dashboard!$F$15,MAX(0,B580-MAX(0,E580-D580)),0)</x:f>
      </x:c>
      <x:c r="G580" s="32" t="e">
        <x:f>IF(A580=1,D580,G579+D580)</x:f>
      </x:c>
      <x:c r="H580" s="32"/>
      <x:c r="I580" s="32" t="e">
        <x:f>IF(A580=1,Dashboard!$F$14,M579)</x:f>
      </x:c>
      <x:c r="J580" s="32" t="e">
        <x:f>IF(A580&lt;=Dashboard!$F$17,MIN(I580,$B$5),0)</x:f>
      </x:c>
      <x:c r="K580" s="32" t="e">
        <x:f>IF(A580&lt;=Dashboard!$F$17,MAX(0,I580-J580)*Dashboard!$F$6,0)</x:f>
      </x:c>
      <x:c r="L580" s="32" t="e">
        <x:f>IF(A580&lt;=Dashboard!$F$17,MIN(Dashboard!$F$10,MAX(0,I580-J580)+K580),0)</x:f>
      </x:c>
      <x:c r="M580" s="32" t="e">
        <x:f>IF(A580&lt;=Dashboard!$F$17,MAX(0,I580-J580-MAX(0,L580-K580)),0)</x:f>
      </x:c>
      <x:c r="N580" s="32" t="e">
        <x:f>IF(A580=1,K580,N579+K580)</x:f>
      </x:c>
      <x:c r="O580" s="32"/>
      <x:c r="P580" s="32" t="e">
        <x:f>IF(A580=1,Dashboard!$F$14,T579)</x:f>
      </x:c>
      <x:c r="Q580" s="32" t="e">
        <x:f>IF(A580&lt;=Dashboard!$F$17,MIN(P580,$B$6*52/12),0)</x:f>
      </x:c>
      <x:c r="R580" s="32" t="e">
        <x:f>IF(A580&lt;=Dashboard!$F$17,MAX(0,P580-Q580)*Dashboard!$F$6,0)</x:f>
      </x:c>
      <x:c r="S580" s="32" t="e">
        <x:f>IF(A580&lt;=Dashboard!$F$17,MIN(Dashboard!$F$10,MAX(0,P580-Q580)+R580),0)</x:f>
      </x:c>
      <x:c r="T580" s="32" t="e">
        <x:f>IF(A580&lt;=Dashboard!$F$17,MAX(0,P580-Q580-MAX(0,S580-R580)),0)</x:f>
      </x:c>
      <x:c r="U580" s="32" t="e">
        <x:f>IF(A580=1,R580,U579+R580)</x:f>
      </x:c>
      <x:c r="V580" s="32"/>
      <x:c r="W580" s="32" t="e">
        <x:f>IF(A580=1,Dashboard!$F$14,AA579)</x:f>
      </x:c>
      <x:c r="X580" s="32" t="e">
        <x:f>IF(AND(A580&lt;=Dashboard!$F$17,MOD(A580-1,12)=0),MIN(W580,$B$7),0)</x:f>
      </x:c>
      <x:c r="Y580" s="32" t="e">
        <x:f>IF(A580&lt;=Dashboard!$F$17,MAX(0,W580-X580)*Dashboard!$F$6,0)</x:f>
      </x:c>
      <x:c r="Z580" s="32" t="e">
        <x:f>IF(A580&lt;=Dashboard!$F$17,MIN(Dashboard!$F$10,MAX(0,W580-X580)+Y580),0)</x:f>
      </x:c>
      <x:c r="AA580" s="32" t="e">
        <x:f>IF(A580&lt;=Dashboard!$F$17,MAX(0,W580-X580-MAX(0,Z580-Y580)),0)</x:f>
      </x:c>
      <x:c r="AB580" s="32" t="e">
        <x:f>IF(A580=1,Y580,AB579+Y580)</x:f>
      </x:c>
      <x:c r="AC580" s="32"/>
      <x:c r="AD580" s="32" t="e">
        <x:f>IF(A580=1,MAX(0,Dashboard!$F$14-$B$8),AG579)</x:f>
      </x:c>
      <x:c r="AE580" s="32" t="n">
        <x:f>0</x:f>
        <x:v>0</x:v>
      </x:c>
      <x:c r="AF580" s="32" t="e">
        <x:f>IF(A580&lt;=Dashboard!$F$17,AD580*Dashboard!$F$6,0)</x:f>
      </x:c>
      <x:c r="AG580" s="32" t="e">
        <x:f>IF(A580&lt;=Dashboard!$F$17,MIN(Dashboard!$F$10,AD580+AF580),0)</x:f>
      </x:c>
      <x:c r="AH580" s="32" t="e">
        <x:f>IF(A580&lt;=Dashboard!$F$17,MAX(0,AD580-MAX(0,AG580-AF580)),0)</x:f>
      </x:c>
      <x:c r="AI580" s="32" t="e">
        <x:f>IF(A580=1,AF580,AI579+AF580)</x:f>
      </x:c>
      <x:c r="AJ580" s="33"/>
      <x:c r="AK580" s="33"/>
      <x:c r="AL580" s="33"/>
      <x:c r="AM580" s="33"/>
    </x:row>
    <x:row r="581">
      <x:c r="A581" s="33" t="n">
        <x:v>569</x:v>
      </x:c>
      <x:c r="B581" s="32" t="e">
        <x:f>IF(A581=1,Dashboard!$F$14,F580)</x:f>
      </x:c>
      <x:c r="C581" s="32" t="n">
        <x:f>0</x:f>
        <x:v>0</x:v>
      </x:c>
      <x:c r="D581" s="32" t="e">
        <x:f>IF(A581&lt;=Dashboard!$F$15,B581*Dashboard!$F$6,0)</x:f>
      </x:c>
      <x:c r="E581" s="32" t="e">
        <x:f>IF(A581&lt;=Dashboard!$F$15,MIN(Dashboard!$F$10,B581+D581),0)</x:f>
      </x:c>
      <x:c r="F581" s="32" t="e">
        <x:f>IF(A581&lt;=Dashboard!$F$15,MAX(0,B581-MAX(0,E581-D581)),0)</x:f>
      </x:c>
      <x:c r="G581" s="32" t="e">
        <x:f>IF(A581=1,D581,G580+D581)</x:f>
      </x:c>
      <x:c r="H581" s="32"/>
      <x:c r="I581" s="32" t="e">
        <x:f>IF(A581=1,Dashboard!$F$14,M580)</x:f>
      </x:c>
      <x:c r="J581" s="32" t="e">
        <x:f>IF(A581&lt;=Dashboard!$F$17,MIN(I581,$B$5),0)</x:f>
      </x:c>
      <x:c r="K581" s="32" t="e">
        <x:f>IF(A581&lt;=Dashboard!$F$17,MAX(0,I581-J581)*Dashboard!$F$6,0)</x:f>
      </x:c>
      <x:c r="L581" s="32" t="e">
        <x:f>IF(A581&lt;=Dashboard!$F$17,MIN(Dashboard!$F$10,MAX(0,I581-J581)+K581),0)</x:f>
      </x:c>
      <x:c r="M581" s="32" t="e">
        <x:f>IF(A581&lt;=Dashboard!$F$17,MAX(0,I581-J581-MAX(0,L581-K581)),0)</x:f>
      </x:c>
      <x:c r="N581" s="32" t="e">
        <x:f>IF(A581=1,K581,N580+K581)</x:f>
      </x:c>
      <x:c r="O581" s="32"/>
      <x:c r="P581" s="32" t="e">
        <x:f>IF(A581=1,Dashboard!$F$14,T580)</x:f>
      </x:c>
      <x:c r="Q581" s="32" t="e">
        <x:f>IF(A581&lt;=Dashboard!$F$17,MIN(P581,$B$6*52/12),0)</x:f>
      </x:c>
      <x:c r="R581" s="32" t="e">
        <x:f>IF(A581&lt;=Dashboard!$F$17,MAX(0,P581-Q581)*Dashboard!$F$6,0)</x:f>
      </x:c>
      <x:c r="S581" s="32" t="e">
        <x:f>IF(A581&lt;=Dashboard!$F$17,MIN(Dashboard!$F$10,MAX(0,P581-Q581)+R581),0)</x:f>
      </x:c>
      <x:c r="T581" s="32" t="e">
        <x:f>IF(A581&lt;=Dashboard!$F$17,MAX(0,P581-Q581-MAX(0,S581-R581)),0)</x:f>
      </x:c>
      <x:c r="U581" s="32" t="e">
        <x:f>IF(A581=1,R581,U580+R581)</x:f>
      </x:c>
      <x:c r="V581" s="32"/>
      <x:c r="W581" s="32" t="e">
        <x:f>IF(A581=1,Dashboard!$F$14,AA580)</x:f>
      </x:c>
      <x:c r="X581" s="32" t="e">
        <x:f>IF(AND(A581&lt;=Dashboard!$F$17,MOD(A581-1,12)=0),MIN(W581,$B$7),0)</x:f>
      </x:c>
      <x:c r="Y581" s="32" t="e">
        <x:f>IF(A581&lt;=Dashboard!$F$17,MAX(0,W581-X581)*Dashboard!$F$6,0)</x:f>
      </x:c>
      <x:c r="Z581" s="32" t="e">
        <x:f>IF(A581&lt;=Dashboard!$F$17,MIN(Dashboard!$F$10,MAX(0,W581-X581)+Y581),0)</x:f>
      </x:c>
      <x:c r="AA581" s="32" t="e">
        <x:f>IF(A581&lt;=Dashboard!$F$17,MAX(0,W581-X581-MAX(0,Z581-Y581)),0)</x:f>
      </x:c>
      <x:c r="AB581" s="32" t="e">
        <x:f>IF(A581=1,Y581,AB580+Y581)</x:f>
      </x:c>
      <x:c r="AC581" s="32"/>
      <x:c r="AD581" s="32" t="e">
        <x:f>IF(A581=1,MAX(0,Dashboard!$F$14-$B$8),AG580)</x:f>
      </x:c>
      <x:c r="AE581" s="32" t="n">
        <x:f>0</x:f>
        <x:v>0</x:v>
      </x:c>
      <x:c r="AF581" s="32" t="e">
        <x:f>IF(A581&lt;=Dashboard!$F$17,AD581*Dashboard!$F$6,0)</x:f>
      </x:c>
      <x:c r="AG581" s="32" t="e">
        <x:f>IF(A581&lt;=Dashboard!$F$17,MIN(Dashboard!$F$10,AD581+AF581),0)</x:f>
      </x:c>
      <x:c r="AH581" s="32" t="e">
        <x:f>IF(A581&lt;=Dashboard!$F$17,MAX(0,AD581-MAX(0,AG581-AF581)),0)</x:f>
      </x:c>
      <x:c r="AI581" s="32" t="e">
        <x:f>IF(A581=1,AF581,AI580+AF581)</x:f>
      </x:c>
      <x:c r="AJ581" s="33"/>
      <x:c r="AK581" s="33"/>
      <x:c r="AL581" s="33"/>
      <x:c r="AM581" s="33"/>
    </x:row>
    <x:row r="582">
      <x:c r="A582" s="33" t="n">
        <x:v>570</x:v>
      </x:c>
      <x:c r="B582" s="32" t="e">
        <x:f>IF(A582=1,Dashboard!$F$14,F581)</x:f>
      </x:c>
      <x:c r="C582" s="32" t="n">
        <x:f>0</x:f>
        <x:v>0</x:v>
      </x:c>
      <x:c r="D582" s="32" t="e">
        <x:f>IF(A582&lt;=Dashboard!$F$15,B582*Dashboard!$F$6,0)</x:f>
      </x:c>
      <x:c r="E582" s="32" t="e">
        <x:f>IF(A582&lt;=Dashboard!$F$15,MIN(Dashboard!$F$10,B582+D582),0)</x:f>
      </x:c>
      <x:c r="F582" s="32" t="e">
        <x:f>IF(A582&lt;=Dashboard!$F$15,MAX(0,B582-MAX(0,E582-D582)),0)</x:f>
      </x:c>
      <x:c r="G582" s="32" t="e">
        <x:f>IF(A582=1,D582,G581+D582)</x:f>
      </x:c>
      <x:c r="H582" s="32"/>
      <x:c r="I582" s="32" t="e">
        <x:f>IF(A582=1,Dashboard!$F$14,M581)</x:f>
      </x:c>
      <x:c r="J582" s="32" t="e">
        <x:f>IF(A582&lt;=Dashboard!$F$17,MIN(I582,$B$5),0)</x:f>
      </x:c>
      <x:c r="K582" s="32" t="e">
        <x:f>IF(A582&lt;=Dashboard!$F$17,MAX(0,I582-J582)*Dashboard!$F$6,0)</x:f>
      </x:c>
      <x:c r="L582" s="32" t="e">
        <x:f>IF(A582&lt;=Dashboard!$F$17,MIN(Dashboard!$F$10,MAX(0,I582-J582)+K582),0)</x:f>
      </x:c>
      <x:c r="M582" s="32" t="e">
        <x:f>IF(A582&lt;=Dashboard!$F$17,MAX(0,I582-J582-MAX(0,L582-K582)),0)</x:f>
      </x:c>
      <x:c r="N582" s="32" t="e">
        <x:f>IF(A582=1,K582,N581+K582)</x:f>
      </x:c>
      <x:c r="O582" s="32"/>
      <x:c r="P582" s="32" t="e">
        <x:f>IF(A582=1,Dashboard!$F$14,T581)</x:f>
      </x:c>
      <x:c r="Q582" s="32" t="e">
        <x:f>IF(A582&lt;=Dashboard!$F$17,MIN(P582,$B$6*52/12),0)</x:f>
      </x:c>
      <x:c r="R582" s="32" t="e">
        <x:f>IF(A582&lt;=Dashboard!$F$17,MAX(0,P582-Q582)*Dashboard!$F$6,0)</x:f>
      </x:c>
      <x:c r="S582" s="32" t="e">
        <x:f>IF(A582&lt;=Dashboard!$F$17,MIN(Dashboard!$F$10,MAX(0,P582-Q582)+R582),0)</x:f>
      </x:c>
      <x:c r="T582" s="32" t="e">
        <x:f>IF(A582&lt;=Dashboard!$F$17,MAX(0,P582-Q582-MAX(0,S582-R582)),0)</x:f>
      </x:c>
      <x:c r="U582" s="32" t="e">
        <x:f>IF(A582=1,R582,U581+R582)</x:f>
      </x:c>
      <x:c r="V582" s="32"/>
      <x:c r="W582" s="32" t="e">
        <x:f>IF(A582=1,Dashboard!$F$14,AA581)</x:f>
      </x:c>
      <x:c r="X582" s="32" t="e">
        <x:f>IF(AND(A582&lt;=Dashboard!$F$17,MOD(A582-1,12)=0),MIN(W582,$B$7),0)</x:f>
      </x:c>
      <x:c r="Y582" s="32" t="e">
        <x:f>IF(A582&lt;=Dashboard!$F$17,MAX(0,W582-X582)*Dashboard!$F$6,0)</x:f>
      </x:c>
      <x:c r="Z582" s="32" t="e">
        <x:f>IF(A582&lt;=Dashboard!$F$17,MIN(Dashboard!$F$10,MAX(0,W582-X582)+Y582),0)</x:f>
      </x:c>
      <x:c r="AA582" s="32" t="e">
        <x:f>IF(A582&lt;=Dashboard!$F$17,MAX(0,W582-X582-MAX(0,Z582-Y582)),0)</x:f>
      </x:c>
      <x:c r="AB582" s="32" t="e">
        <x:f>IF(A582=1,Y582,AB581+Y582)</x:f>
      </x:c>
      <x:c r="AC582" s="32"/>
      <x:c r="AD582" s="32" t="e">
        <x:f>IF(A582=1,MAX(0,Dashboard!$F$14-$B$8),AG581)</x:f>
      </x:c>
      <x:c r="AE582" s="32" t="n">
        <x:f>0</x:f>
        <x:v>0</x:v>
      </x:c>
      <x:c r="AF582" s="32" t="e">
        <x:f>IF(A582&lt;=Dashboard!$F$17,AD582*Dashboard!$F$6,0)</x:f>
      </x:c>
      <x:c r="AG582" s="32" t="e">
        <x:f>IF(A582&lt;=Dashboard!$F$17,MIN(Dashboard!$F$10,AD582+AF582),0)</x:f>
      </x:c>
      <x:c r="AH582" s="32" t="e">
        <x:f>IF(A582&lt;=Dashboard!$F$17,MAX(0,AD582-MAX(0,AG582-AF582)),0)</x:f>
      </x:c>
      <x:c r="AI582" s="32" t="e">
        <x:f>IF(A582=1,AF582,AI581+AF582)</x:f>
      </x:c>
      <x:c r="AJ582" s="33"/>
      <x:c r="AK582" s="33"/>
      <x:c r="AL582" s="33"/>
      <x:c r="AM582" s="33"/>
    </x:row>
    <x:row r="583">
      <x:c r="A583" s="33" t="n">
        <x:v>571</x:v>
      </x:c>
      <x:c r="B583" s="32" t="e">
        <x:f>IF(A583=1,Dashboard!$F$14,F582)</x:f>
      </x:c>
      <x:c r="C583" s="32" t="n">
        <x:f>0</x:f>
        <x:v>0</x:v>
      </x:c>
      <x:c r="D583" s="32" t="e">
        <x:f>IF(A583&lt;=Dashboard!$F$15,B583*Dashboard!$F$6,0)</x:f>
      </x:c>
      <x:c r="E583" s="32" t="e">
        <x:f>IF(A583&lt;=Dashboard!$F$15,MIN(Dashboard!$F$10,B583+D583),0)</x:f>
      </x:c>
      <x:c r="F583" s="32" t="e">
        <x:f>IF(A583&lt;=Dashboard!$F$15,MAX(0,B583-MAX(0,E583-D583)),0)</x:f>
      </x:c>
      <x:c r="G583" s="32" t="e">
        <x:f>IF(A583=1,D583,G582+D583)</x:f>
      </x:c>
      <x:c r="H583" s="32"/>
      <x:c r="I583" s="32" t="e">
        <x:f>IF(A583=1,Dashboard!$F$14,M582)</x:f>
      </x:c>
      <x:c r="J583" s="32" t="e">
        <x:f>IF(A583&lt;=Dashboard!$F$17,MIN(I583,$B$5),0)</x:f>
      </x:c>
      <x:c r="K583" s="32" t="e">
        <x:f>IF(A583&lt;=Dashboard!$F$17,MAX(0,I583-J583)*Dashboard!$F$6,0)</x:f>
      </x:c>
      <x:c r="L583" s="32" t="e">
        <x:f>IF(A583&lt;=Dashboard!$F$17,MIN(Dashboard!$F$10,MAX(0,I583-J583)+K583),0)</x:f>
      </x:c>
      <x:c r="M583" s="32" t="e">
        <x:f>IF(A583&lt;=Dashboard!$F$17,MAX(0,I583-J583-MAX(0,L583-K583)),0)</x:f>
      </x:c>
      <x:c r="N583" s="32" t="e">
        <x:f>IF(A583=1,K583,N582+K583)</x:f>
      </x:c>
      <x:c r="O583" s="32"/>
      <x:c r="P583" s="32" t="e">
        <x:f>IF(A583=1,Dashboard!$F$14,T582)</x:f>
      </x:c>
      <x:c r="Q583" s="32" t="e">
        <x:f>IF(A583&lt;=Dashboard!$F$17,MIN(P583,$B$6*52/12),0)</x:f>
      </x:c>
      <x:c r="R583" s="32" t="e">
        <x:f>IF(A583&lt;=Dashboard!$F$17,MAX(0,P583-Q583)*Dashboard!$F$6,0)</x:f>
      </x:c>
      <x:c r="S583" s="32" t="e">
        <x:f>IF(A583&lt;=Dashboard!$F$17,MIN(Dashboard!$F$10,MAX(0,P583-Q583)+R583),0)</x:f>
      </x:c>
      <x:c r="T583" s="32" t="e">
        <x:f>IF(A583&lt;=Dashboard!$F$17,MAX(0,P583-Q583-MAX(0,S583-R583)),0)</x:f>
      </x:c>
      <x:c r="U583" s="32" t="e">
        <x:f>IF(A583=1,R583,U582+R583)</x:f>
      </x:c>
      <x:c r="V583" s="32"/>
      <x:c r="W583" s="32" t="e">
        <x:f>IF(A583=1,Dashboard!$F$14,AA582)</x:f>
      </x:c>
      <x:c r="X583" s="32" t="e">
        <x:f>IF(AND(A583&lt;=Dashboard!$F$17,MOD(A583-1,12)=0),MIN(W583,$B$7),0)</x:f>
      </x:c>
      <x:c r="Y583" s="32" t="e">
        <x:f>IF(A583&lt;=Dashboard!$F$17,MAX(0,W583-X583)*Dashboard!$F$6,0)</x:f>
      </x:c>
      <x:c r="Z583" s="32" t="e">
        <x:f>IF(A583&lt;=Dashboard!$F$17,MIN(Dashboard!$F$10,MAX(0,W583-X583)+Y583),0)</x:f>
      </x:c>
      <x:c r="AA583" s="32" t="e">
        <x:f>IF(A583&lt;=Dashboard!$F$17,MAX(0,W583-X583-MAX(0,Z583-Y583)),0)</x:f>
      </x:c>
      <x:c r="AB583" s="32" t="e">
        <x:f>IF(A583=1,Y583,AB582+Y583)</x:f>
      </x:c>
      <x:c r="AC583" s="32"/>
      <x:c r="AD583" s="32" t="e">
        <x:f>IF(A583=1,MAX(0,Dashboard!$F$14-$B$8),AG582)</x:f>
      </x:c>
      <x:c r="AE583" s="32" t="n">
        <x:f>0</x:f>
        <x:v>0</x:v>
      </x:c>
      <x:c r="AF583" s="32" t="e">
        <x:f>IF(A583&lt;=Dashboard!$F$17,AD583*Dashboard!$F$6,0)</x:f>
      </x:c>
      <x:c r="AG583" s="32" t="e">
        <x:f>IF(A583&lt;=Dashboard!$F$17,MIN(Dashboard!$F$10,AD583+AF583),0)</x:f>
      </x:c>
      <x:c r="AH583" s="32" t="e">
        <x:f>IF(A583&lt;=Dashboard!$F$17,MAX(0,AD583-MAX(0,AG583-AF583)),0)</x:f>
      </x:c>
      <x:c r="AI583" s="32" t="e">
        <x:f>IF(A583=1,AF583,AI582+AF583)</x:f>
      </x:c>
      <x:c r="AJ583" s="33"/>
      <x:c r="AK583" s="33"/>
      <x:c r="AL583" s="33"/>
      <x:c r="AM583" s="33"/>
    </x:row>
    <x:row r="584">
      <x:c r="A584" s="33" t="n">
        <x:v>572</x:v>
      </x:c>
      <x:c r="B584" s="32" t="e">
        <x:f>IF(A584=1,Dashboard!$F$14,F583)</x:f>
      </x:c>
      <x:c r="C584" s="32" t="n">
        <x:f>0</x:f>
        <x:v>0</x:v>
      </x:c>
      <x:c r="D584" s="32" t="e">
        <x:f>IF(A584&lt;=Dashboard!$F$15,B584*Dashboard!$F$6,0)</x:f>
      </x:c>
      <x:c r="E584" s="32" t="e">
        <x:f>IF(A584&lt;=Dashboard!$F$15,MIN(Dashboard!$F$10,B584+D584),0)</x:f>
      </x:c>
      <x:c r="F584" s="32" t="e">
        <x:f>IF(A584&lt;=Dashboard!$F$15,MAX(0,B584-MAX(0,E584-D584)),0)</x:f>
      </x:c>
      <x:c r="G584" s="32" t="e">
        <x:f>IF(A584=1,D584,G583+D584)</x:f>
      </x:c>
      <x:c r="H584" s="32"/>
      <x:c r="I584" s="32" t="e">
        <x:f>IF(A584=1,Dashboard!$F$14,M583)</x:f>
      </x:c>
      <x:c r="J584" s="32" t="e">
        <x:f>IF(A584&lt;=Dashboard!$F$17,MIN(I584,$B$5),0)</x:f>
      </x:c>
      <x:c r="K584" s="32" t="e">
        <x:f>IF(A584&lt;=Dashboard!$F$17,MAX(0,I584-J584)*Dashboard!$F$6,0)</x:f>
      </x:c>
      <x:c r="L584" s="32" t="e">
        <x:f>IF(A584&lt;=Dashboard!$F$17,MIN(Dashboard!$F$10,MAX(0,I584-J584)+K584),0)</x:f>
      </x:c>
      <x:c r="M584" s="32" t="e">
        <x:f>IF(A584&lt;=Dashboard!$F$17,MAX(0,I584-J584-MAX(0,L584-K584)),0)</x:f>
      </x:c>
      <x:c r="N584" s="32" t="e">
        <x:f>IF(A584=1,K584,N583+K584)</x:f>
      </x:c>
      <x:c r="O584" s="32"/>
      <x:c r="P584" s="32" t="e">
        <x:f>IF(A584=1,Dashboard!$F$14,T583)</x:f>
      </x:c>
      <x:c r="Q584" s="32" t="e">
        <x:f>IF(A584&lt;=Dashboard!$F$17,MIN(P584,$B$6*52/12),0)</x:f>
      </x:c>
      <x:c r="R584" s="32" t="e">
        <x:f>IF(A584&lt;=Dashboard!$F$17,MAX(0,P584-Q584)*Dashboard!$F$6,0)</x:f>
      </x:c>
      <x:c r="S584" s="32" t="e">
        <x:f>IF(A584&lt;=Dashboard!$F$17,MIN(Dashboard!$F$10,MAX(0,P584-Q584)+R584),0)</x:f>
      </x:c>
      <x:c r="T584" s="32" t="e">
        <x:f>IF(A584&lt;=Dashboard!$F$17,MAX(0,P584-Q584-MAX(0,S584-R584)),0)</x:f>
      </x:c>
      <x:c r="U584" s="32" t="e">
        <x:f>IF(A584=1,R584,U583+R584)</x:f>
      </x:c>
      <x:c r="V584" s="32"/>
      <x:c r="W584" s="32" t="e">
        <x:f>IF(A584=1,Dashboard!$F$14,AA583)</x:f>
      </x:c>
      <x:c r="X584" s="32" t="e">
        <x:f>IF(AND(A584&lt;=Dashboard!$F$17,MOD(A584-1,12)=0),MIN(W584,$B$7),0)</x:f>
      </x:c>
      <x:c r="Y584" s="32" t="e">
        <x:f>IF(A584&lt;=Dashboard!$F$17,MAX(0,W584-X584)*Dashboard!$F$6,0)</x:f>
      </x:c>
      <x:c r="Z584" s="32" t="e">
        <x:f>IF(A584&lt;=Dashboard!$F$17,MIN(Dashboard!$F$10,MAX(0,W584-X584)+Y584),0)</x:f>
      </x:c>
      <x:c r="AA584" s="32" t="e">
        <x:f>IF(A584&lt;=Dashboard!$F$17,MAX(0,W584-X584-MAX(0,Z584-Y584)),0)</x:f>
      </x:c>
      <x:c r="AB584" s="32" t="e">
        <x:f>IF(A584=1,Y584,AB583+Y584)</x:f>
      </x:c>
      <x:c r="AC584" s="32"/>
      <x:c r="AD584" s="32" t="e">
        <x:f>IF(A584=1,MAX(0,Dashboard!$F$14-$B$8),AG583)</x:f>
      </x:c>
      <x:c r="AE584" s="32" t="n">
        <x:f>0</x:f>
        <x:v>0</x:v>
      </x:c>
      <x:c r="AF584" s="32" t="e">
        <x:f>IF(A584&lt;=Dashboard!$F$17,AD584*Dashboard!$F$6,0)</x:f>
      </x:c>
      <x:c r="AG584" s="32" t="e">
        <x:f>IF(A584&lt;=Dashboard!$F$17,MIN(Dashboard!$F$10,AD584+AF584),0)</x:f>
      </x:c>
      <x:c r="AH584" s="32" t="e">
        <x:f>IF(A584&lt;=Dashboard!$F$17,MAX(0,AD584-MAX(0,AG584-AF584)),0)</x:f>
      </x:c>
      <x:c r="AI584" s="32" t="e">
        <x:f>IF(A584=1,AF584,AI583+AF584)</x:f>
      </x:c>
      <x:c r="AJ584" s="33"/>
      <x:c r="AK584" s="33"/>
      <x:c r="AL584" s="33"/>
      <x:c r="AM584" s="33"/>
    </x:row>
    <x:row r="585">
      <x:c r="A585" s="33" t="n">
        <x:v>573</x:v>
      </x:c>
      <x:c r="B585" s="32" t="e">
        <x:f>IF(A585=1,Dashboard!$F$14,F584)</x:f>
      </x:c>
      <x:c r="C585" s="32" t="n">
        <x:f>0</x:f>
        <x:v>0</x:v>
      </x:c>
      <x:c r="D585" s="32" t="e">
        <x:f>IF(A585&lt;=Dashboard!$F$15,B585*Dashboard!$F$6,0)</x:f>
      </x:c>
      <x:c r="E585" s="32" t="e">
        <x:f>IF(A585&lt;=Dashboard!$F$15,MIN(Dashboard!$F$10,B585+D585),0)</x:f>
      </x:c>
      <x:c r="F585" s="32" t="e">
        <x:f>IF(A585&lt;=Dashboard!$F$15,MAX(0,B585-MAX(0,E585-D585)),0)</x:f>
      </x:c>
      <x:c r="G585" s="32" t="e">
        <x:f>IF(A585=1,D585,G584+D585)</x:f>
      </x:c>
      <x:c r="H585" s="32"/>
      <x:c r="I585" s="32" t="e">
        <x:f>IF(A585=1,Dashboard!$F$14,M584)</x:f>
      </x:c>
      <x:c r="J585" s="32" t="e">
        <x:f>IF(A585&lt;=Dashboard!$F$17,MIN(I585,$B$5),0)</x:f>
      </x:c>
      <x:c r="K585" s="32" t="e">
        <x:f>IF(A585&lt;=Dashboard!$F$17,MAX(0,I585-J585)*Dashboard!$F$6,0)</x:f>
      </x:c>
      <x:c r="L585" s="32" t="e">
        <x:f>IF(A585&lt;=Dashboard!$F$17,MIN(Dashboard!$F$10,MAX(0,I585-J585)+K585),0)</x:f>
      </x:c>
      <x:c r="M585" s="32" t="e">
        <x:f>IF(A585&lt;=Dashboard!$F$17,MAX(0,I585-J585-MAX(0,L585-K585)),0)</x:f>
      </x:c>
      <x:c r="N585" s="32" t="e">
        <x:f>IF(A585=1,K585,N584+K585)</x:f>
      </x:c>
      <x:c r="O585" s="32"/>
      <x:c r="P585" s="32" t="e">
        <x:f>IF(A585=1,Dashboard!$F$14,T584)</x:f>
      </x:c>
      <x:c r="Q585" s="32" t="e">
        <x:f>IF(A585&lt;=Dashboard!$F$17,MIN(P585,$B$6*52/12),0)</x:f>
      </x:c>
      <x:c r="R585" s="32" t="e">
        <x:f>IF(A585&lt;=Dashboard!$F$17,MAX(0,P585-Q585)*Dashboard!$F$6,0)</x:f>
      </x:c>
      <x:c r="S585" s="32" t="e">
        <x:f>IF(A585&lt;=Dashboard!$F$17,MIN(Dashboard!$F$10,MAX(0,P585-Q585)+R585),0)</x:f>
      </x:c>
      <x:c r="T585" s="32" t="e">
        <x:f>IF(A585&lt;=Dashboard!$F$17,MAX(0,P585-Q585-MAX(0,S585-R585)),0)</x:f>
      </x:c>
      <x:c r="U585" s="32" t="e">
        <x:f>IF(A585=1,R585,U584+R585)</x:f>
      </x:c>
      <x:c r="V585" s="32"/>
      <x:c r="W585" s="32" t="e">
        <x:f>IF(A585=1,Dashboard!$F$14,AA584)</x:f>
      </x:c>
      <x:c r="X585" s="32" t="e">
        <x:f>IF(AND(A585&lt;=Dashboard!$F$17,MOD(A585-1,12)=0),MIN(W585,$B$7),0)</x:f>
      </x:c>
      <x:c r="Y585" s="32" t="e">
        <x:f>IF(A585&lt;=Dashboard!$F$17,MAX(0,W585-X585)*Dashboard!$F$6,0)</x:f>
      </x:c>
      <x:c r="Z585" s="32" t="e">
        <x:f>IF(A585&lt;=Dashboard!$F$17,MIN(Dashboard!$F$10,MAX(0,W585-X585)+Y585),0)</x:f>
      </x:c>
      <x:c r="AA585" s="32" t="e">
        <x:f>IF(A585&lt;=Dashboard!$F$17,MAX(0,W585-X585-MAX(0,Z585-Y585)),0)</x:f>
      </x:c>
      <x:c r="AB585" s="32" t="e">
        <x:f>IF(A585=1,Y585,AB584+Y585)</x:f>
      </x:c>
      <x:c r="AC585" s="32"/>
      <x:c r="AD585" s="32" t="e">
        <x:f>IF(A585=1,MAX(0,Dashboard!$F$14-$B$8),AG584)</x:f>
      </x:c>
      <x:c r="AE585" s="32" t="n">
        <x:f>0</x:f>
        <x:v>0</x:v>
      </x:c>
      <x:c r="AF585" s="32" t="e">
        <x:f>IF(A585&lt;=Dashboard!$F$17,AD585*Dashboard!$F$6,0)</x:f>
      </x:c>
      <x:c r="AG585" s="32" t="e">
        <x:f>IF(A585&lt;=Dashboard!$F$17,MIN(Dashboard!$F$10,AD585+AF585),0)</x:f>
      </x:c>
      <x:c r="AH585" s="32" t="e">
        <x:f>IF(A585&lt;=Dashboard!$F$17,MAX(0,AD585-MAX(0,AG585-AF585)),0)</x:f>
      </x:c>
      <x:c r="AI585" s="32" t="e">
        <x:f>IF(A585=1,AF585,AI584+AF585)</x:f>
      </x:c>
      <x:c r="AJ585" s="33"/>
      <x:c r="AK585" s="33"/>
      <x:c r="AL585" s="33"/>
      <x:c r="AM585" s="33"/>
    </x:row>
    <x:row r="586">
      <x:c r="A586" s="33" t="n">
        <x:v>574</x:v>
      </x:c>
      <x:c r="B586" s="32" t="e">
        <x:f>IF(A586=1,Dashboard!$F$14,F585)</x:f>
      </x:c>
      <x:c r="C586" s="32" t="n">
        <x:f>0</x:f>
        <x:v>0</x:v>
      </x:c>
      <x:c r="D586" s="32" t="e">
        <x:f>IF(A586&lt;=Dashboard!$F$15,B586*Dashboard!$F$6,0)</x:f>
      </x:c>
      <x:c r="E586" s="32" t="e">
        <x:f>IF(A586&lt;=Dashboard!$F$15,MIN(Dashboard!$F$10,B586+D586),0)</x:f>
      </x:c>
      <x:c r="F586" s="32" t="e">
        <x:f>IF(A586&lt;=Dashboard!$F$15,MAX(0,B586-MAX(0,E586-D586)),0)</x:f>
      </x:c>
      <x:c r="G586" s="32" t="e">
        <x:f>IF(A586=1,D586,G585+D586)</x:f>
      </x:c>
      <x:c r="H586" s="32"/>
      <x:c r="I586" s="32" t="e">
        <x:f>IF(A586=1,Dashboard!$F$14,M585)</x:f>
      </x:c>
      <x:c r="J586" s="32" t="e">
        <x:f>IF(A586&lt;=Dashboard!$F$17,MIN(I586,$B$5),0)</x:f>
      </x:c>
      <x:c r="K586" s="32" t="e">
        <x:f>IF(A586&lt;=Dashboard!$F$17,MAX(0,I586-J586)*Dashboard!$F$6,0)</x:f>
      </x:c>
      <x:c r="L586" s="32" t="e">
        <x:f>IF(A586&lt;=Dashboard!$F$17,MIN(Dashboard!$F$10,MAX(0,I586-J586)+K586),0)</x:f>
      </x:c>
      <x:c r="M586" s="32" t="e">
        <x:f>IF(A586&lt;=Dashboard!$F$17,MAX(0,I586-J586-MAX(0,L586-K586)),0)</x:f>
      </x:c>
      <x:c r="N586" s="32" t="e">
        <x:f>IF(A586=1,K586,N585+K586)</x:f>
      </x:c>
      <x:c r="O586" s="32"/>
      <x:c r="P586" s="32" t="e">
        <x:f>IF(A586=1,Dashboard!$F$14,T585)</x:f>
      </x:c>
      <x:c r="Q586" s="32" t="e">
        <x:f>IF(A586&lt;=Dashboard!$F$17,MIN(P586,$B$6*52/12),0)</x:f>
      </x:c>
      <x:c r="R586" s="32" t="e">
        <x:f>IF(A586&lt;=Dashboard!$F$17,MAX(0,P586-Q586)*Dashboard!$F$6,0)</x:f>
      </x:c>
      <x:c r="S586" s="32" t="e">
        <x:f>IF(A586&lt;=Dashboard!$F$17,MIN(Dashboard!$F$10,MAX(0,P586-Q586)+R586),0)</x:f>
      </x:c>
      <x:c r="T586" s="32" t="e">
        <x:f>IF(A586&lt;=Dashboard!$F$17,MAX(0,P586-Q586-MAX(0,S586-R586)),0)</x:f>
      </x:c>
      <x:c r="U586" s="32" t="e">
        <x:f>IF(A586=1,R586,U585+R586)</x:f>
      </x:c>
      <x:c r="V586" s="32"/>
      <x:c r="W586" s="32" t="e">
        <x:f>IF(A586=1,Dashboard!$F$14,AA585)</x:f>
      </x:c>
      <x:c r="X586" s="32" t="e">
        <x:f>IF(AND(A586&lt;=Dashboard!$F$17,MOD(A586-1,12)=0),MIN(W586,$B$7),0)</x:f>
      </x:c>
      <x:c r="Y586" s="32" t="e">
        <x:f>IF(A586&lt;=Dashboard!$F$17,MAX(0,W586-X586)*Dashboard!$F$6,0)</x:f>
      </x:c>
      <x:c r="Z586" s="32" t="e">
        <x:f>IF(A586&lt;=Dashboard!$F$17,MIN(Dashboard!$F$10,MAX(0,W586-X586)+Y586),0)</x:f>
      </x:c>
      <x:c r="AA586" s="32" t="e">
        <x:f>IF(A586&lt;=Dashboard!$F$17,MAX(0,W586-X586-MAX(0,Z586-Y586)),0)</x:f>
      </x:c>
      <x:c r="AB586" s="32" t="e">
        <x:f>IF(A586=1,Y586,AB585+Y586)</x:f>
      </x:c>
      <x:c r="AC586" s="32"/>
      <x:c r="AD586" s="32" t="e">
        <x:f>IF(A586=1,MAX(0,Dashboard!$F$14-$B$8),AG585)</x:f>
      </x:c>
      <x:c r="AE586" s="32" t="n">
        <x:f>0</x:f>
        <x:v>0</x:v>
      </x:c>
      <x:c r="AF586" s="32" t="e">
        <x:f>IF(A586&lt;=Dashboard!$F$17,AD586*Dashboard!$F$6,0)</x:f>
      </x:c>
      <x:c r="AG586" s="32" t="e">
        <x:f>IF(A586&lt;=Dashboard!$F$17,MIN(Dashboard!$F$10,AD586+AF586),0)</x:f>
      </x:c>
      <x:c r="AH586" s="32" t="e">
        <x:f>IF(A586&lt;=Dashboard!$F$17,MAX(0,AD586-MAX(0,AG586-AF586)),0)</x:f>
      </x:c>
      <x:c r="AI586" s="32" t="e">
        <x:f>IF(A586=1,AF586,AI585+AF586)</x:f>
      </x:c>
      <x:c r="AJ586" s="33"/>
      <x:c r="AK586" s="33"/>
      <x:c r="AL586" s="33"/>
      <x:c r="AM586" s="33"/>
    </x:row>
    <x:row r="587">
      <x:c r="A587" s="33" t="n">
        <x:v>575</x:v>
      </x:c>
      <x:c r="B587" s="32" t="e">
        <x:f>IF(A587=1,Dashboard!$F$14,F586)</x:f>
      </x:c>
      <x:c r="C587" s="32" t="n">
        <x:f>0</x:f>
        <x:v>0</x:v>
      </x:c>
      <x:c r="D587" s="32" t="e">
        <x:f>IF(A587&lt;=Dashboard!$F$15,B587*Dashboard!$F$6,0)</x:f>
      </x:c>
      <x:c r="E587" s="32" t="e">
        <x:f>IF(A587&lt;=Dashboard!$F$15,MIN(Dashboard!$F$10,B587+D587),0)</x:f>
      </x:c>
      <x:c r="F587" s="32" t="e">
        <x:f>IF(A587&lt;=Dashboard!$F$15,MAX(0,B587-MAX(0,E587-D587)),0)</x:f>
      </x:c>
      <x:c r="G587" s="32" t="e">
        <x:f>IF(A587=1,D587,G586+D587)</x:f>
      </x:c>
      <x:c r="H587" s="32"/>
      <x:c r="I587" s="32" t="e">
        <x:f>IF(A587=1,Dashboard!$F$14,M586)</x:f>
      </x:c>
      <x:c r="J587" s="32" t="e">
        <x:f>IF(A587&lt;=Dashboard!$F$17,MIN(I587,$B$5),0)</x:f>
      </x:c>
      <x:c r="K587" s="32" t="e">
        <x:f>IF(A587&lt;=Dashboard!$F$17,MAX(0,I587-J587)*Dashboard!$F$6,0)</x:f>
      </x:c>
      <x:c r="L587" s="32" t="e">
        <x:f>IF(A587&lt;=Dashboard!$F$17,MIN(Dashboard!$F$10,MAX(0,I587-J587)+K587),0)</x:f>
      </x:c>
      <x:c r="M587" s="32" t="e">
        <x:f>IF(A587&lt;=Dashboard!$F$17,MAX(0,I587-J587-MAX(0,L587-K587)),0)</x:f>
      </x:c>
      <x:c r="N587" s="32" t="e">
        <x:f>IF(A587=1,K587,N586+K587)</x:f>
      </x:c>
      <x:c r="O587" s="32"/>
      <x:c r="P587" s="32" t="e">
        <x:f>IF(A587=1,Dashboard!$F$14,T586)</x:f>
      </x:c>
      <x:c r="Q587" s="32" t="e">
        <x:f>IF(A587&lt;=Dashboard!$F$17,MIN(P587,$B$6*52/12),0)</x:f>
      </x:c>
      <x:c r="R587" s="32" t="e">
        <x:f>IF(A587&lt;=Dashboard!$F$17,MAX(0,P587-Q587)*Dashboard!$F$6,0)</x:f>
      </x:c>
      <x:c r="S587" s="32" t="e">
        <x:f>IF(A587&lt;=Dashboard!$F$17,MIN(Dashboard!$F$10,MAX(0,P587-Q587)+R587),0)</x:f>
      </x:c>
      <x:c r="T587" s="32" t="e">
        <x:f>IF(A587&lt;=Dashboard!$F$17,MAX(0,P587-Q587-MAX(0,S587-R587)),0)</x:f>
      </x:c>
      <x:c r="U587" s="32" t="e">
        <x:f>IF(A587=1,R587,U586+R587)</x:f>
      </x:c>
      <x:c r="V587" s="32"/>
      <x:c r="W587" s="32" t="e">
        <x:f>IF(A587=1,Dashboard!$F$14,AA586)</x:f>
      </x:c>
      <x:c r="X587" s="32" t="e">
        <x:f>IF(AND(A587&lt;=Dashboard!$F$17,MOD(A587-1,12)=0),MIN(W587,$B$7),0)</x:f>
      </x:c>
      <x:c r="Y587" s="32" t="e">
        <x:f>IF(A587&lt;=Dashboard!$F$17,MAX(0,W587-X587)*Dashboard!$F$6,0)</x:f>
      </x:c>
      <x:c r="Z587" s="32" t="e">
        <x:f>IF(A587&lt;=Dashboard!$F$17,MIN(Dashboard!$F$10,MAX(0,W587-X587)+Y587),0)</x:f>
      </x:c>
      <x:c r="AA587" s="32" t="e">
        <x:f>IF(A587&lt;=Dashboard!$F$17,MAX(0,W587-X587-MAX(0,Z587-Y587)),0)</x:f>
      </x:c>
      <x:c r="AB587" s="32" t="e">
        <x:f>IF(A587=1,Y587,AB586+Y587)</x:f>
      </x:c>
      <x:c r="AC587" s="32"/>
      <x:c r="AD587" s="32" t="e">
        <x:f>IF(A587=1,MAX(0,Dashboard!$F$14-$B$8),AG586)</x:f>
      </x:c>
      <x:c r="AE587" s="32" t="n">
        <x:f>0</x:f>
        <x:v>0</x:v>
      </x:c>
      <x:c r="AF587" s="32" t="e">
        <x:f>IF(A587&lt;=Dashboard!$F$17,AD587*Dashboard!$F$6,0)</x:f>
      </x:c>
      <x:c r="AG587" s="32" t="e">
        <x:f>IF(A587&lt;=Dashboard!$F$17,MIN(Dashboard!$F$10,AD587+AF587),0)</x:f>
      </x:c>
      <x:c r="AH587" s="32" t="e">
        <x:f>IF(A587&lt;=Dashboard!$F$17,MAX(0,AD587-MAX(0,AG587-AF587)),0)</x:f>
      </x:c>
      <x:c r="AI587" s="32" t="e">
        <x:f>IF(A587=1,AF587,AI586+AF587)</x:f>
      </x:c>
      <x:c r="AJ587" s="33"/>
      <x:c r="AK587" s="33"/>
      <x:c r="AL587" s="33"/>
      <x:c r="AM587" s="33"/>
    </x:row>
    <x:row r="588">
      <x:c r="A588" s="33" t="n">
        <x:v>576</x:v>
      </x:c>
      <x:c r="B588" s="32" t="e">
        <x:f>IF(A588=1,Dashboard!$F$14,F587)</x:f>
      </x:c>
      <x:c r="C588" s="32" t="n">
        <x:f>0</x:f>
        <x:v>0</x:v>
      </x:c>
      <x:c r="D588" s="32" t="e">
        <x:f>IF(A588&lt;=Dashboard!$F$15,B588*Dashboard!$F$6,0)</x:f>
      </x:c>
      <x:c r="E588" s="32" t="e">
        <x:f>IF(A588&lt;=Dashboard!$F$15,MIN(Dashboard!$F$10,B588+D588),0)</x:f>
      </x:c>
      <x:c r="F588" s="32" t="e">
        <x:f>IF(A588&lt;=Dashboard!$F$15,MAX(0,B588-MAX(0,E588-D588)),0)</x:f>
      </x:c>
      <x:c r="G588" s="32" t="e">
        <x:f>IF(A588=1,D588,G587+D588)</x:f>
      </x:c>
      <x:c r="H588" s="32"/>
      <x:c r="I588" s="32" t="e">
        <x:f>IF(A588=1,Dashboard!$F$14,M587)</x:f>
      </x:c>
      <x:c r="J588" s="32" t="e">
        <x:f>IF(A588&lt;=Dashboard!$F$17,MIN(I588,$B$5),0)</x:f>
      </x:c>
      <x:c r="K588" s="32" t="e">
        <x:f>IF(A588&lt;=Dashboard!$F$17,MAX(0,I588-J588)*Dashboard!$F$6,0)</x:f>
      </x:c>
      <x:c r="L588" s="32" t="e">
        <x:f>IF(A588&lt;=Dashboard!$F$17,MIN(Dashboard!$F$10,MAX(0,I588-J588)+K588),0)</x:f>
      </x:c>
      <x:c r="M588" s="32" t="e">
        <x:f>IF(A588&lt;=Dashboard!$F$17,MAX(0,I588-J588-MAX(0,L588-K588)),0)</x:f>
      </x:c>
      <x:c r="N588" s="32" t="e">
        <x:f>IF(A588=1,K588,N587+K588)</x:f>
      </x:c>
      <x:c r="O588" s="32"/>
      <x:c r="P588" s="32" t="e">
        <x:f>IF(A588=1,Dashboard!$F$14,T587)</x:f>
      </x:c>
      <x:c r="Q588" s="32" t="e">
        <x:f>IF(A588&lt;=Dashboard!$F$17,MIN(P588,$B$6*52/12),0)</x:f>
      </x:c>
      <x:c r="R588" s="32" t="e">
        <x:f>IF(A588&lt;=Dashboard!$F$17,MAX(0,P588-Q588)*Dashboard!$F$6,0)</x:f>
      </x:c>
      <x:c r="S588" s="32" t="e">
        <x:f>IF(A588&lt;=Dashboard!$F$17,MIN(Dashboard!$F$10,MAX(0,P588-Q588)+R588),0)</x:f>
      </x:c>
      <x:c r="T588" s="32" t="e">
        <x:f>IF(A588&lt;=Dashboard!$F$17,MAX(0,P588-Q588-MAX(0,S588-R588)),0)</x:f>
      </x:c>
      <x:c r="U588" s="32" t="e">
        <x:f>IF(A588=1,R588,U587+R588)</x:f>
      </x:c>
      <x:c r="V588" s="32"/>
      <x:c r="W588" s="32" t="e">
        <x:f>IF(A588=1,Dashboard!$F$14,AA587)</x:f>
      </x:c>
      <x:c r="X588" s="32" t="e">
        <x:f>IF(AND(A588&lt;=Dashboard!$F$17,MOD(A588-1,12)=0),MIN(W588,$B$7),0)</x:f>
      </x:c>
      <x:c r="Y588" s="32" t="e">
        <x:f>IF(A588&lt;=Dashboard!$F$17,MAX(0,W588-X588)*Dashboard!$F$6,0)</x:f>
      </x:c>
      <x:c r="Z588" s="32" t="e">
        <x:f>IF(A588&lt;=Dashboard!$F$17,MIN(Dashboard!$F$10,MAX(0,W588-X588)+Y588),0)</x:f>
      </x:c>
      <x:c r="AA588" s="32" t="e">
        <x:f>IF(A588&lt;=Dashboard!$F$17,MAX(0,W588-X588-MAX(0,Z588-Y588)),0)</x:f>
      </x:c>
      <x:c r="AB588" s="32" t="e">
        <x:f>IF(A588=1,Y588,AB587+Y588)</x:f>
      </x:c>
      <x:c r="AC588" s="32"/>
      <x:c r="AD588" s="32" t="e">
        <x:f>IF(A588=1,MAX(0,Dashboard!$F$14-$B$8),AG587)</x:f>
      </x:c>
      <x:c r="AE588" s="32" t="n">
        <x:f>0</x:f>
        <x:v>0</x:v>
      </x:c>
      <x:c r="AF588" s="32" t="e">
        <x:f>IF(A588&lt;=Dashboard!$F$17,AD588*Dashboard!$F$6,0)</x:f>
      </x:c>
      <x:c r="AG588" s="32" t="e">
        <x:f>IF(A588&lt;=Dashboard!$F$17,MIN(Dashboard!$F$10,AD588+AF588),0)</x:f>
      </x:c>
      <x:c r="AH588" s="32" t="e">
        <x:f>IF(A588&lt;=Dashboard!$F$17,MAX(0,AD588-MAX(0,AG588-AF588)),0)</x:f>
      </x:c>
      <x:c r="AI588" s="32" t="e">
        <x:f>IF(A588=1,AF588,AI587+AF588)</x:f>
      </x:c>
      <x:c r="AJ588" s="33"/>
      <x:c r="AK588" s="33"/>
      <x:c r="AL588" s="33"/>
      <x:c r="AM588" s="33"/>
    </x:row>
    <x:row r="589">
      <x:c r="A589" s="33" t="n">
        <x:v>577</x:v>
      </x:c>
      <x:c r="B589" s="32" t="e">
        <x:f>IF(A589=1,Dashboard!$F$14,F588)</x:f>
      </x:c>
      <x:c r="C589" s="32" t="n">
        <x:f>0</x:f>
        <x:v>0</x:v>
      </x:c>
      <x:c r="D589" s="32" t="e">
        <x:f>IF(A589&lt;=Dashboard!$F$15,B589*Dashboard!$F$6,0)</x:f>
      </x:c>
      <x:c r="E589" s="32" t="e">
        <x:f>IF(A589&lt;=Dashboard!$F$15,MIN(Dashboard!$F$10,B589+D589),0)</x:f>
      </x:c>
      <x:c r="F589" s="32" t="e">
        <x:f>IF(A589&lt;=Dashboard!$F$15,MAX(0,B589-MAX(0,E589-D589)),0)</x:f>
      </x:c>
      <x:c r="G589" s="32" t="e">
        <x:f>IF(A589=1,D589,G588+D589)</x:f>
      </x:c>
      <x:c r="H589" s="32"/>
      <x:c r="I589" s="32" t="e">
        <x:f>IF(A589=1,Dashboard!$F$14,M588)</x:f>
      </x:c>
      <x:c r="J589" s="32" t="e">
        <x:f>IF(A589&lt;=Dashboard!$F$17,MIN(I589,$B$5),0)</x:f>
      </x:c>
      <x:c r="K589" s="32" t="e">
        <x:f>IF(A589&lt;=Dashboard!$F$17,MAX(0,I589-J589)*Dashboard!$F$6,0)</x:f>
      </x:c>
      <x:c r="L589" s="32" t="e">
        <x:f>IF(A589&lt;=Dashboard!$F$17,MIN(Dashboard!$F$10,MAX(0,I589-J589)+K589),0)</x:f>
      </x:c>
      <x:c r="M589" s="32" t="e">
        <x:f>IF(A589&lt;=Dashboard!$F$17,MAX(0,I589-J589-MAX(0,L589-K589)),0)</x:f>
      </x:c>
      <x:c r="N589" s="32" t="e">
        <x:f>IF(A589=1,K589,N588+K589)</x:f>
      </x:c>
      <x:c r="O589" s="32"/>
      <x:c r="P589" s="32" t="e">
        <x:f>IF(A589=1,Dashboard!$F$14,T588)</x:f>
      </x:c>
      <x:c r="Q589" s="32" t="e">
        <x:f>IF(A589&lt;=Dashboard!$F$17,MIN(P589,$B$6*52/12),0)</x:f>
      </x:c>
      <x:c r="R589" s="32" t="e">
        <x:f>IF(A589&lt;=Dashboard!$F$17,MAX(0,P589-Q589)*Dashboard!$F$6,0)</x:f>
      </x:c>
      <x:c r="S589" s="32" t="e">
        <x:f>IF(A589&lt;=Dashboard!$F$17,MIN(Dashboard!$F$10,MAX(0,P589-Q589)+R589),0)</x:f>
      </x:c>
      <x:c r="T589" s="32" t="e">
        <x:f>IF(A589&lt;=Dashboard!$F$17,MAX(0,P589-Q589-MAX(0,S589-R589)),0)</x:f>
      </x:c>
      <x:c r="U589" s="32" t="e">
        <x:f>IF(A589=1,R589,U588+R589)</x:f>
      </x:c>
      <x:c r="V589" s="32"/>
      <x:c r="W589" s="32" t="e">
        <x:f>IF(A589=1,Dashboard!$F$14,AA588)</x:f>
      </x:c>
      <x:c r="X589" s="32" t="e">
        <x:f>IF(AND(A589&lt;=Dashboard!$F$17,MOD(A589-1,12)=0),MIN(W589,$B$7),0)</x:f>
      </x:c>
      <x:c r="Y589" s="32" t="e">
        <x:f>IF(A589&lt;=Dashboard!$F$17,MAX(0,W589-X589)*Dashboard!$F$6,0)</x:f>
      </x:c>
      <x:c r="Z589" s="32" t="e">
        <x:f>IF(A589&lt;=Dashboard!$F$17,MIN(Dashboard!$F$10,MAX(0,W589-X589)+Y589),0)</x:f>
      </x:c>
      <x:c r="AA589" s="32" t="e">
        <x:f>IF(A589&lt;=Dashboard!$F$17,MAX(0,W589-X589-MAX(0,Z589-Y589)),0)</x:f>
      </x:c>
      <x:c r="AB589" s="32" t="e">
        <x:f>IF(A589=1,Y589,AB588+Y589)</x:f>
      </x:c>
      <x:c r="AC589" s="32"/>
      <x:c r="AD589" s="32" t="e">
        <x:f>IF(A589=1,MAX(0,Dashboard!$F$14-$B$8),AG588)</x:f>
      </x:c>
      <x:c r="AE589" s="32" t="n">
        <x:f>0</x:f>
        <x:v>0</x:v>
      </x:c>
      <x:c r="AF589" s="32" t="e">
        <x:f>IF(A589&lt;=Dashboard!$F$17,AD589*Dashboard!$F$6,0)</x:f>
      </x:c>
      <x:c r="AG589" s="32" t="e">
        <x:f>IF(A589&lt;=Dashboard!$F$17,MIN(Dashboard!$F$10,AD589+AF589),0)</x:f>
      </x:c>
      <x:c r="AH589" s="32" t="e">
        <x:f>IF(A589&lt;=Dashboard!$F$17,MAX(0,AD589-MAX(0,AG589-AF589)),0)</x:f>
      </x:c>
      <x:c r="AI589" s="32" t="e">
        <x:f>IF(A589=1,AF589,AI588+AF589)</x:f>
      </x:c>
      <x:c r="AJ589" s="33"/>
      <x:c r="AK589" s="33"/>
      <x:c r="AL589" s="33"/>
      <x:c r="AM589" s="33"/>
    </x:row>
    <x:row r="590">
      <x:c r="A590" s="33" t="n">
        <x:v>578</x:v>
      </x:c>
      <x:c r="B590" s="32" t="e">
        <x:f>IF(A590=1,Dashboard!$F$14,F589)</x:f>
      </x:c>
      <x:c r="C590" s="32" t="n">
        <x:f>0</x:f>
        <x:v>0</x:v>
      </x:c>
      <x:c r="D590" s="32" t="e">
        <x:f>IF(A590&lt;=Dashboard!$F$15,B590*Dashboard!$F$6,0)</x:f>
      </x:c>
      <x:c r="E590" s="32" t="e">
        <x:f>IF(A590&lt;=Dashboard!$F$15,MIN(Dashboard!$F$10,B590+D590),0)</x:f>
      </x:c>
      <x:c r="F590" s="32" t="e">
        <x:f>IF(A590&lt;=Dashboard!$F$15,MAX(0,B590-MAX(0,E590-D590)),0)</x:f>
      </x:c>
      <x:c r="G590" s="32" t="e">
        <x:f>IF(A590=1,D590,G589+D590)</x:f>
      </x:c>
      <x:c r="H590" s="32"/>
      <x:c r="I590" s="32" t="e">
        <x:f>IF(A590=1,Dashboard!$F$14,M589)</x:f>
      </x:c>
      <x:c r="J590" s="32" t="e">
        <x:f>IF(A590&lt;=Dashboard!$F$17,MIN(I590,$B$5),0)</x:f>
      </x:c>
      <x:c r="K590" s="32" t="e">
        <x:f>IF(A590&lt;=Dashboard!$F$17,MAX(0,I590-J590)*Dashboard!$F$6,0)</x:f>
      </x:c>
      <x:c r="L590" s="32" t="e">
        <x:f>IF(A590&lt;=Dashboard!$F$17,MIN(Dashboard!$F$10,MAX(0,I590-J590)+K590),0)</x:f>
      </x:c>
      <x:c r="M590" s="32" t="e">
        <x:f>IF(A590&lt;=Dashboard!$F$17,MAX(0,I590-J590-MAX(0,L590-K590)),0)</x:f>
      </x:c>
      <x:c r="N590" s="32" t="e">
        <x:f>IF(A590=1,K590,N589+K590)</x:f>
      </x:c>
      <x:c r="O590" s="32"/>
      <x:c r="P590" s="32" t="e">
        <x:f>IF(A590=1,Dashboard!$F$14,T589)</x:f>
      </x:c>
      <x:c r="Q590" s="32" t="e">
        <x:f>IF(A590&lt;=Dashboard!$F$17,MIN(P590,$B$6*52/12),0)</x:f>
      </x:c>
      <x:c r="R590" s="32" t="e">
        <x:f>IF(A590&lt;=Dashboard!$F$17,MAX(0,P590-Q590)*Dashboard!$F$6,0)</x:f>
      </x:c>
      <x:c r="S590" s="32" t="e">
        <x:f>IF(A590&lt;=Dashboard!$F$17,MIN(Dashboard!$F$10,MAX(0,P590-Q590)+R590),0)</x:f>
      </x:c>
      <x:c r="T590" s="32" t="e">
        <x:f>IF(A590&lt;=Dashboard!$F$17,MAX(0,P590-Q590-MAX(0,S590-R590)),0)</x:f>
      </x:c>
      <x:c r="U590" s="32" t="e">
        <x:f>IF(A590=1,R590,U589+R590)</x:f>
      </x:c>
      <x:c r="V590" s="32"/>
      <x:c r="W590" s="32" t="e">
        <x:f>IF(A590=1,Dashboard!$F$14,AA589)</x:f>
      </x:c>
      <x:c r="X590" s="32" t="e">
        <x:f>IF(AND(A590&lt;=Dashboard!$F$17,MOD(A590-1,12)=0),MIN(W590,$B$7),0)</x:f>
      </x:c>
      <x:c r="Y590" s="32" t="e">
        <x:f>IF(A590&lt;=Dashboard!$F$17,MAX(0,W590-X590)*Dashboard!$F$6,0)</x:f>
      </x:c>
      <x:c r="Z590" s="32" t="e">
        <x:f>IF(A590&lt;=Dashboard!$F$17,MIN(Dashboard!$F$10,MAX(0,W590-X590)+Y590),0)</x:f>
      </x:c>
      <x:c r="AA590" s="32" t="e">
        <x:f>IF(A590&lt;=Dashboard!$F$17,MAX(0,W590-X590-MAX(0,Z590-Y590)),0)</x:f>
      </x:c>
      <x:c r="AB590" s="32" t="e">
        <x:f>IF(A590=1,Y590,AB589+Y590)</x:f>
      </x:c>
      <x:c r="AC590" s="32"/>
      <x:c r="AD590" s="32" t="e">
        <x:f>IF(A590=1,MAX(0,Dashboard!$F$14-$B$8),AG589)</x:f>
      </x:c>
      <x:c r="AE590" s="32" t="n">
        <x:f>0</x:f>
        <x:v>0</x:v>
      </x:c>
      <x:c r="AF590" s="32" t="e">
        <x:f>IF(A590&lt;=Dashboard!$F$17,AD590*Dashboard!$F$6,0)</x:f>
      </x:c>
      <x:c r="AG590" s="32" t="e">
        <x:f>IF(A590&lt;=Dashboard!$F$17,MIN(Dashboard!$F$10,AD590+AF590),0)</x:f>
      </x:c>
      <x:c r="AH590" s="32" t="e">
        <x:f>IF(A590&lt;=Dashboard!$F$17,MAX(0,AD590-MAX(0,AG590-AF590)),0)</x:f>
      </x:c>
      <x:c r="AI590" s="32" t="e">
        <x:f>IF(A590=1,AF590,AI589+AF590)</x:f>
      </x:c>
      <x:c r="AJ590" s="33"/>
      <x:c r="AK590" s="33"/>
      <x:c r="AL590" s="33"/>
      <x:c r="AM590" s="33"/>
    </x:row>
    <x:row r="591">
      <x:c r="A591" s="33" t="n">
        <x:v>579</x:v>
      </x:c>
      <x:c r="B591" s="32" t="e">
        <x:f>IF(A591=1,Dashboard!$F$14,F590)</x:f>
      </x:c>
      <x:c r="C591" s="32" t="n">
        <x:f>0</x:f>
        <x:v>0</x:v>
      </x:c>
      <x:c r="D591" s="32" t="e">
        <x:f>IF(A591&lt;=Dashboard!$F$15,B591*Dashboard!$F$6,0)</x:f>
      </x:c>
      <x:c r="E591" s="32" t="e">
        <x:f>IF(A591&lt;=Dashboard!$F$15,MIN(Dashboard!$F$10,B591+D591),0)</x:f>
      </x:c>
      <x:c r="F591" s="32" t="e">
        <x:f>IF(A591&lt;=Dashboard!$F$15,MAX(0,B591-MAX(0,E591-D591)),0)</x:f>
      </x:c>
      <x:c r="G591" s="32" t="e">
        <x:f>IF(A591=1,D591,G590+D591)</x:f>
      </x:c>
      <x:c r="H591" s="32"/>
      <x:c r="I591" s="32" t="e">
        <x:f>IF(A591=1,Dashboard!$F$14,M590)</x:f>
      </x:c>
      <x:c r="J591" s="32" t="e">
        <x:f>IF(A591&lt;=Dashboard!$F$17,MIN(I591,$B$5),0)</x:f>
      </x:c>
      <x:c r="K591" s="32" t="e">
        <x:f>IF(A591&lt;=Dashboard!$F$17,MAX(0,I591-J591)*Dashboard!$F$6,0)</x:f>
      </x:c>
      <x:c r="L591" s="32" t="e">
        <x:f>IF(A591&lt;=Dashboard!$F$17,MIN(Dashboard!$F$10,MAX(0,I591-J591)+K591),0)</x:f>
      </x:c>
      <x:c r="M591" s="32" t="e">
        <x:f>IF(A591&lt;=Dashboard!$F$17,MAX(0,I591-J591-MAX(0,L591-K591)),0)</x:f>
      </x:c>
      <x:c r="N591" s="32" t="e">
        <x:f>IF(A591=1,K591,N590+K591)</x:f>
      </x:c>
      <x:c r="O591" s="32"/>
      <x:c r="P591" s="32" t="e">
        <x:f>IF(A591=1,Dashboard!$F$14,T590)</x:f>
      </x:c>
      <x:c r="Q591" s="32" t="e">
        <x:f>IF(A591&lt;=Dashboard!$F$17,MIN(P591,$B$6*52/12),0)</x:f>
      </x:c>
      <x:c r="R591" s="32" t="e">
        <x:f>IF(A591&lt;=Dashboard!$F$17,MAX(0,P591-Q591)*Dashboard!$F$6,0)</x:f>
      </x:c>
      <x:c r="S591" s="32" t="e">
        <x:f>IF(A591&lt;=Dashboard!$F$17,MIN(Dashboard!$F$10,MAX(0,P591-Q591)+R591),0)</x:f>
      </x:c>
      <x:c r="T591" s="32" t="e">
        <x:f>IF(A591&lt;=Dashboard!$F$17,MAX(0,P591-Q591-MAX(0,S591-R591)),0)</x:f>
      </x:c>
      <x:c r="U591" s="32" t="e">
        <x:f>IF(A591=1,R591,U590+R591)</x:f>
      </x:c>
      <x:c r="V591" s="32"/>
      <x:c r="W591" s="32" t="e">
        <x:f>IF(A591=1,Dashboard!$F$14,AA590)</x:f>
      </x:c>
      <x:c r="X591" s="32" t="e">
        <x:f>IF(AND(A591&lt;=Dashboard!$F$17,MOD(A591-1,12)=0),MIN(W591,$B$7),0)</x:f>
      </x:c>
      <x:c r="Y591" s="32" t="e">
        <x:f>IF(A591&lt;=Dashboard!$F$17,MAX(0,W591-X591)*Dashboard!$F$6,0)</x:f>
      </x:c>
      <x:c r="Z591" s="32" t="e">
        <x:f>IF(A591&lt;=Dashboard!$F$17,MIN(Dashboard!$F$10,MAX(0,W591-X591)+Y591),0)</x:f>
      </x:c>
      <x:c r="AA591" s="32" t="e">
        <x:f>IF(A591&lt;=Dashboard!$F$17,MAX(0,W591-X591-MAX(0,Z591-Y591)),0)</x:f>
      </x:c>
      <x:c r="AB591" s="32" t="e">
        <x:f>IF(A591=1,Y591,AB590+Y591)</x:f>
      </x:c>
      <x:c r="AC591" s="32"/>
      <x:c r="AD591" s="32" t="e">
        <x:f>IF(A591=1,MAX(0,Dashboard!$F$14-$B$8),AG590)</x:f>
      </x:c>
      <x:c r="AE591" s="32" t="n">
        <x:f>0</x:f>
        <x:v>0</x:v>
      </x:c>
      <x:c r="AF591" s="32" t="e">
        <x:f>IF(A591&lt;=Dashboard!$F$17,AD591*Dashboard!$F$6,0)</x:f>
      </x:c>
      <x:c r="AG591" s="32" t="e">
        <x:f>IF(A591&lt;=Dashboard!$F$17,MIN(Dashboard!$F$10,AD591+AF591),0)</x:f>
      </x:c>
      <x:c r="AH591" s="32" t="e">
        <x:f>IF(A591&lt;=Dashboard!$F$17,MAX(0,AD591-MAX(0,AG591-AF591)),0)</x:f>
      </x:c>
      <x:c r="AI591" s="32" t="e">
        <x:f>IF(A591=1,AF591,AI590+AF591)</x:f>
      </x:c>
      <x:c r="AJ591" s="33"/>
      <x:c r="AK591" s="33"/>
      <x:c r="AL591" s="33"/>
      <x:c r="AM591" s="33"/>
    </x:row>
    <x:row r="592">
      <x:c r="A592" s="33" t="n">
        <x:v>580</x:v>
      </x:c>
      <x:c r="B592" s="32" t="e">
        <x:f>IF(A592=1,Dashboard!$F$14,F591)</x:f>
      </x:c>
      <x:c r="C592" s="32" t="n">
        <x:f>0</x:f>
        <x:v>0</x:v>
      </x:c>
      <x:c r="D592" s="32" t="e">
        <x:f>IF(A592&lt;=Dashboard!$F$15,B592*Dashboard!$F$6,0)</x:f>
      </x:c>
      <x:c r="E592" s="32" t="e">
        <x:f>IF(A592&lt;=Dashboard!$F$15,MIN(Dashboard!$F$10,B592+D592),0)</x:f>
      </x:c>
      <x:c r="F592" s="32" t="e">
        <x:f>IF(A592&lt;=Dashboard!$F$15,MAX(0,B592-MAX(0,E592-D592)),0)</x:f>
      </x:c>
      <x:c r="G592" s="32" t="e">
        <x:f>IF(A592=1,D592,G591+D592)</x:f>
      </x:c>
      <x:c r="H592" s="32"/>
      <x:c r="I592" s="32" t="e">
        <x:f>IF(A592=1,Dashboard!$F$14,M591)</x:f>
      </x:c>
      <x:c r="J592" s="32" t="e">
        <x:f>IF(A592&lt;=Dashboard!$F$17,MIN(I592,$B$5),0)</x:f>
      </x:c>
      <x:c r="K592" s="32" t="e">
        <x:f>IF(A592&lt;=Dashboard!$F$17,MAX(0,I592-J592)*Dashboard!$F$6,0)</x:f>
      </x:c>
      <x:c r="L592" s="32" t="e">
        <x:f>IF(A592&lt;=Dashboard!$F$17,MIN(Dashboard!$F$10,MAX(0,I592-J592)+K592),0)</x:f>
      </x:c>
      <x:c r="M592" s="32" t="e">
        <x:f>IF(A592&lt;=Dashboard!$F$17,MAX(0,I592-J592-MAX(0,L592-K592)),0)</x:f>
      </x:c>
      <x:c r="N592" s="32" t="e">
        <x:f>IF(A592=1,K592,N591+K592)</x:f>
      </x:c>
      <x:c r="O592" s="32"/>
      <x:c r="P592" s="32" t="e">
        <x:f>IF(A592=1,Dashboard!$F$14,T591)</x:f>
      </x:c>
      <x:c r="Q592" s="32" t="e">
        <x:f>IF(A592&lt;=Dashboard!$F$17,MIN(P592,$B$6*52/12),0)</x:f>
      </x:c>
      <x:c r="R592" s="32" t="e">
        <x:f>IF(A592&lt;=Dashboard!$F$17,MAX(0,P592-Q592)*Dashboard!$F$6,0)</x:f>
      </x:c>
      <x:c r="S592" s="32" t="e">
        <x:f>IF(A592&lt;=Dashboard!$F$17,MIN(Dashboard!$F$10,MAX(0,P592-Q592)+R592),0)</x:f>
      </x:c>
      <x:c r="T592" s="32" t="e">
        <x:f>IF(A592&lt;=Dashboard!$F$17,MAX(0,P592-Q592-MAX(0,S592-R592)),0)</x:f>
      </x:c>
      <x:c r="U592" s="32" t="e">
        <x:f>IF(A592=1,R592,U591+R592)</x:f>
      </x:c>
      <x:c r="V592" s="32"/>
      <x:c r="W592" s="32" t="e">
        <x:f>IF(A592=1,Dashboard!$F$14,AA591)</x:f>
      </x:c>
      <x:c r="X592" s="32" t="e">
        <x:f>IF(AND(A592&lt;=Dashboard!$F$17,MOD(A592-1,12)=0),MIN(W592,$B$7),0)</x:f>
      </x:c>
      <x:c r="Y592" s="32" t="e">
        <x:f>IF(A592&lt;=Dashboard!$F$17,MAX(0,W592-X592)*Dashboard!$F$6,0)</x:f>
      </x:c>
      <x:c r="Z592" s="32" t="e">
        <x:f>IF(A592&lt;=Dashboard!$F$17,MIN(Dashboard!$F$10,MAX(0,W592-X592)+Y592),0)</x:f>
      </x:c>
      <x:c r="AA592" s="32" t="e">
        <x:f>IF(A592&lt;=Dashboard!$F$17,MAX(0,W592-X592-MAX(0,Z592-Y592)),0)</x:f>
      </x:c>
      <x:c r="AB592" s="32" t="e">
        <x:f>IF(A592=1,Y592,AB591+Y592)</x:f>
      </x:c>
      <x:c r="AC592" s="32"/>
      <x:c r="AD592" s="32" t="e">
        <x:f>IF(A592=1,MAX(0,Dashboard!$F$14-$B$8),AG591)</x:f>
      </x:c>
      <x:c r="AE592" s="32" t="n">
        <x:f>0</x:f>
        <x:v>0</x:v>
      </x:c>
      <x:c r="AF592" s="32" t="e">
        <x:f>IF(A592&lt;=Dashboard!$F$17,AD592*Dashboard!$F$6,0)</x:f>
      </x:c>
      <x:c r="AG592" s="32" t="e">
        <x:f>IF(A592&lt;=Dashboard!$F$17,MIN(Dashboard!$F$10,AD592+AF592),0)</x:f>
      </x:c>
      <x:c r="AH592" s="32" t="e">
        <x:f>IF(A592&lt;=Dashboard!$F$17,MAX(0,AD592-MAX(0,AG592-AF592)),0)</x:f>
      </x:c>
      <x:c r="AI592" s="32" t="e">
        <x:f>IF(A592=1,AF592,AI591+AF592)</x:f>
      </x:c>
      <x:c r="AJ592" s="33"/>
      <x:c r="AK592" s="33"/>
      <x:c r="AL592" s="33"/>
      <x:c r="AM592" s="33"/>
    </x:row>
    <x:row r="593">
      <x:c r="A593" s="33" t="n">
        <x:v>581</x:v>
      </x:c>
      <x:c r="B593" s="32" t="e">
        <x:f>IF(A593=1,Dashboard!$F$14,F592)</x:f>
      </x:c>
      <x:c r="C593" s="32" t="n">
        <x:f>0</x:f>
        <x:v>0</x:v>
      </x:c>
      <x:c r="D593" s="32" t="e">
        <x:f>IF(A593&lt;=Dashboard!$F$15,B593*Dashboard!$F$6,0)</x:f>
      </x:c>
      <x:c r="E593" s="32" t="e">
        <x:f>IF(A593&lt;=Dashboard!$F$15,MIN(Dashboard!$F$10,B593+D593),0)</x:f>
      </x:c>
      <x:c r="F593" s="32" t="e">
        <x:f>IF(A593&lt;=Dashboard!$F$15,MAX(0,B593-MAX(0,E593-D593)),0)</x:f>
      </x:c>
      <x:c r="G593" s="32" t="e">
        <x:f>IF(A593=1,D593,G592+D593)</x:f>
      </x:c>
      <x:c r="H593" s="32"/>
      <x:c r="I593" s="32" t="e">
        <x:f>IF(A593=1,Dashboard!$F$14,M592)</x:f>
      </x:c>
      <x:c r="J593" s="32" t="e">
        <x:f>IF(A593&lt;=Dashboard!$F$17,MIN(I593,$B$5),0)</x:f>
      </x:c>
      <x:c r="K593" s="32" t="e">
        <x:f>IF(A593&lt;=Dashboard!$F$17,MAX(0,I593-J593)*Dashboard!$F$6,0)</x:f>
      </x:c>
      <x:c r="L593" s="32" t="e">
        <x:f>IF(A593&lt;=Dashboard!$F$17,MIN(Dashboard!$F$10,MAX(0,I593-J593)+K593),0)</x:f>
      </x:c>
      <x:c r="M593" s="32" t="e">
        <x:f>IF(A593&lt;=Dashboard!$F$17,MAX(0,I593-J593-MAX(0,L593-K593)),0)</x:f>
      </x:c>
      <x:c r="N593" s="32" t="e">
        <x:f>IF(A593=1,K593,N592+K593)</x:f>
      </x:c>
      <x:c r="O593" s="32"/>
      <x:c r="P593" s="32" t="e">
        <x:f>IF(A593=1,Dashboard!$F$14,T592)</x:f>
      </x:c>
      <x:c r="Q593" s="32" t="e">
        <x:f>IF(A593&lt;=Dashboard!$F$17,MIN(P593,$B$6*52/12),0)</x:f>
      </x:c>
      <x:c r="R593" s="32" t="e">
        <x:f>IF(A593&lt;=Dashboard!$F$17,MAX(0,P593-Q593)*Dashboard!$F$6,0)</x:f>
      </x:c>
      <x:c r="S593" s="32" t="e">
        <x:f>IF(A593&lt;=Dashboard!$F$17,MIN(Dashboard!$F$10,MAX(0,P593-Q593)+R593),0)</x:f>
      </x:c>
      <x:c r="T593" s="32" t="e">
        <x:f>IF(A593&lt;=Dashboard!$F$17,MAX(0,P593-Q593-MAX(0,S593-R593)),0)</x:f>
      </x:c>
      <x:c r="U593" s="32" t="e">
        <x:f>IF(A593=1,R593,U592+R593)</x:f>
      </x:c>
      <x:c r="V593" s="32"/>
      <x:c r="W593" s="32" t="e">
        <x:f>IF(A593=1,Dashboard!$F$14,AA592)</x:f>
      </x:c>
      <x:c r="X593" s="32" t="e">
        <x:f>IF(AND(A593&lt;=Dashboard!$F$17,MOD(A593-1,12)=0),MIN(W593,$B$7),0)</x:f>
      </x:c>
      <x:c r="Y593" s="32" t="e">
        <x:f>IF(A593&lt;=Dashboard!$F$17,MAX(0,W593-X593)*Dashboard!$F$6,0)</x:f>
      </x:c>
      <x:c r="Z593" s="32" t="e">
        <x:f>IF(A593&lt;=Dashboard!$F$17,MIN(Dashboard!$F$10,MAX(0,W593-X593)+Y593),0)</x:f>
      </x:c>
      <x:c r="AA593" s="32" t="e">
        <x:f>IF(A593&lt;=Dashboard!$F$17,MAX(0,W593-X593-MAX(0,Z593-Y593)),0)</x:f>
      </x:c>
      <x:c r="AB593" s="32" t="e">
        <x:f>IF(A593=1,Y593,AB592+Y593)</x:f>
      </x:c>
      <x:c r="AC593" s="32"/>
      <x:c r="AD593" s="32" t="e">
        <x:f>IF(A593=1,MAX(0,Dashboard!$F$14-$B$8),AG592)</x:f>
      </x:c>
      <x:c r="AE593" s="32" t="n">
        <x:f>0</x:f>
        <x:v>0</x:v>
      </x:c>
      <x:c r="AF593" s="32" t="e">
        <x:f>IF(A593&lt;=Dashboard!$F$17,AD593*Dashboard!$F$6,0)</x:f>
      </x:c>
      <x:c r="AG593" s="32" t="e">
        <x:f>IF(A593&lt;=Dashboard!$F$17,MIN(Dashboard!$F$10,AD593+AF593),0)</x:f>
      </x:c>
      <x:c r="AH593" s="32" t="e">
        <x:f>IF(A593&lt;=Dashboard!$F$17,MAX(0,AD593-MAX(0,AG593-AF593)),0)</x:f>
      </x:c>
      <x:c r="AI593" s="32" t="e">
        <x:f>IF(A593=1,AF593,AI592+AF593)</x:f>
      </x:c>
      <x:c r="AJ593" s="33"/>
      <x:c r="AK593" s="33"/>
      <x:c r="AL593" s="33"/>
      <x:c r="AM593" s="33"/>
    </x:row>
    <x:row r="594">
      <x:c r="A594" s="33" t="n">
        <x:v>582</x:v>
      </x:c>
      <x:c r="B594" s="32" t="e">
        <x:f>IF(A594=1,Dashboard!$F$14,F593)</x:f>
      </x:c>
      <x:c r="C594" s="32" t="n">
        <x:f>0</x:f>
        <x:v>0</x:v>
      </x:c>
      <x:c r="D594" s="32" t="e">
        <x:f>IF(A594&lt;=Dashboard!$F$15,B594*Dashboard!$F$6,0)</x:f>
      </x:c>
      <x:c r="E594" s="32" t="e">
        <x:f>IF(A594&lt;=Dashboard!$F$15,MIN(Dashboard!$F$10,B594+D594),0)</x:f>
      </x:c>
      <x:c r="F594" s="32" t="e">
        <x:f>IF(A594&lt;=Dashboard!$F$15,MAX(0,B594-MAX(0,E594-D594)),0)</x:f>
      </x:c>
      <x:c r="G594" s="32" t="e">
        <x:f>IF(A594=1,D594,G593+D594)</x:f>
      </x:c>
      <x:c r="H594" s="32"/>
      <x:c r="I594" s="32" t="e">
        <x:f>IF(A594=1,Dashboard!$F$14,M593)</x:f>
      </x:c>
      <x:c r="J594" s="32" t="e">
        <x:f>IF(A594&lt;=Dashboard!$F$17,MIN(I594,$B$5),0)</x:f>
      </x:c>
      <x:c r="K594" s="32" t="e">
        <x:f>IF(A594&lt;=Dashboard!$F$17,MAX(0,I594-J594)*Dashboard!$F$6,0)</x:f>
      </x:c>
      <x:c r="L594" s="32" t="e">
        <x:f>IF(A594&lt;=Dashboard!$F$17,MIN(Dashboard!$F$10,MAX(0,I594-J594)+K594),0)</x:f>
      </x:c>
      <x:c r="M594" s="32" t="e">
        <x:f>IF(A594&lt;=Dashboard!$F$17,MAX(0,I594-J594-MAX(0,L594-K594)),0)</x:f>
      </x:c>
      <x:c r="N594" s="32" t="e">
        <x:f>IF(A594=1,K594,N593+K594)</x:f>
      </x:c>
      <x:c r="O594" s="32"/>
      <x:c r="P594" s="32" t="e">
        <x:f>IF(A594=1,Dashboard!$F$14,T593)</x:f>
      </x:c>
      <x:c r="Q594" s="32" t="e">
        <x:f>IF(A594&lt;=Dashboard!$F$17,MIN(P594,$B$6*52/12),0)</x:f>
      </x:c>
      <x:c r="R594" s="32" t="e">
        <x:f>IF(A594&lt;=Dashboard!$F$17,MAX(0,P594-Q594)*Dashboard!$F$6,0)</x:f>
      </x:c>
      <x:c r="S594" s="32" t="e">
        <x:f>IF(A594&lt;=Dashboard!$F$17,MIN(Dashboard!$F$10,MAX(0,P594-Q594)+R594),0)</x:f>
      </x:c>
      <x:c r="T594" s="32" t="e">
        <x:f>IF(A594&lt;=Dashboard!$F$17,MAX(0,P594-Q594-MAX(0,S594-R594)),0)</x:f>
      </x:c>
      <x:c r="U594" s="32" t="e">
        <x:f>IF(A594=1,R594,U593+R594)</x:f>
      </x:c>
      <x:c r="V594" s="32"/>
      <x:c r="W594" s="32" t="e">
        <x:f>IF(A594=1,Dashboard!$F$14,AA593)</x:f>
      </x:c>
      <x:c r="X594" s="32" t="e">
        <x:f>IF(AND(A594&lt;=Dashboard!$F$17,MOD(A594-1,12)=0),MIN(W594,$B$7),0)</x:f>
      </x:c>
      <x:c r="Y594" s="32" t="e">
        <x:f>IF(A594&lt;=Dashboard!$F$17,MAX(0,W594-X594)*Dashboard!$F$6,0)</x:f>
      </x:c>
      <x:c r="Z594" s="32" t="e">
        <x:f>IF(A594&lt;=Dashboard!$F$17,MIN(Dashboard!$F$10,MAX(0,W594-X594)+Y594),0)</x:f>
      </x:c>
      <x:c r="AA594" s="32" t="e">
        <x:f>IF(A594&lt;=Dashboard!$F$17,MAX(0,W594-X594-MAX(0,Z594-Y594)),0)</x:f>
      </x:c>
      <x:c r="AB594" s="32" t="e">
        <x:f>IF(A594=1,Y594,AB593+Y594)</x:f>
      </x:c>
      <x:c r="AC594" s="32"/>
      <x:c r="AD594" s="32" t="e">
        <x:f>IF(A594=1,MAX(0,Dashboard!$F$14-$B$8),AG593)</x:f>
      </x:c>
      <x:c r="AE594" s="32" t="n">
        <x:f>0</x:f>
        <x:v>0</x:v>
      </x:c>
      <x:c r="AF594" s="32" t="e">
        <x:f>IF(A594&lt;=Dashboard!$F$17,AD594*Dashboard!$F$6,0)</x:f>
      </x:c>
      <x:c r="AG594" s="32" t="e">
        <x:f>IF(A594&lt;=Dashboard!$F$17,MIN(Dashboard!$F$10,AD594+AF594),0)</x:f>
      </x:c>
      <x:c r="AH594" s="32" t="e">
        <x:f>IF(A594&lt;=Dashboard!$F$17,MAX(0,AD594-MAX(0,AG594-AF594)),0)</x:f>
      </x:c>
      <x:c r="AI594" s="32" t="e">
        <x:f>IF(A594=1,AF594,AI593+AF594)</x:f>
      </x:c>
      <x:c r="AJ594" s="33"/>
      <x:c r="AK594" s="33"/>
      <x:c r="AL594" s="33"/>
      <x:c r="AM594" s="33"/>
    </x:row>
    <x:row r="595">
      <x:c r="A595" s="33" t="n">
        <x:v>583</x:v>
      </x:c>
      <x:c r="B595" s="32" t="e">
        <x:f>IF(A595=1,Dashboard!$F$14,F594)</x:f>
      </x:c>
      <x:c r="C595" s="32" t="n">
        <x:f>0</x:f>
        <x:v>0</x:v>
      </x:c>
      <x:c r="D595" s="32" t="e">
        <x:f>IF(A595&lt;=Dashboard!$F$15,B595*Dashboard!$F$6,0)</x:f>
      </x:c>
      <x:c r="E595" s="32" t="e">
        <x:f>IF(A595&lt;=Dashboard!$F$15,MIN(Dashboard!$F$10,B595+D595),0)</x:f>
      </x:c>
      <x:c r="F595" s="32" t="e">
        <x:f>IF(A595&lt;=Dashboard!$F$15,MAX(0,B595-MAX(0,E595-D595)),0)</x:f>
      </x:c>
      <x:c r="G595" s="32" t="e">
        <x:f>IF(A595=1,D595,G594+D595)</x:f>
      </x:c>
      <x:c r="H595" s="32"/>
      <x:c r="I595" s="32" t="e">
        <x:f>IF(A595=1,Dashboard!$F$14,M594)</x:f>
      </x:c>
      <x:c r="J595" s="32" t="e">
        <x:f>IF(A595&lt;=Dashboard!$F$17,MIN(I595,$B$5),0)</x:f>
      </x:c>
      <x:c r="K595" s="32" t="e">
        <x:f>IF(A595&lt;=Dashboard!$F$17,MAX(0,I595-J595)*Dashboard!$F$6,0)</x:f>
      </x:c>
      <x:c r="L595" s="32" t="e">
        <x:f>IF(A595&lt;=Dashboard!$F$17,MIN(Dashboard!$F$10,MAX(0,I595-J595)+K595),0)</x:f>
      </x:c>
      <x:c r="M595" s="32" t="e">
        <x:f>IF(A595&lt;=Dashboard!$F$17,MAX(0,I595-J595-MAX(0,L595-K595)),0)</x:f>
      </x:c>
      <x:c r="N595" s="32" t="e">
        <x:f>IF(A595=1,K595,N594+K595)</x:f>
      </x:c>
      <x:c r="O595" s="32"/>
      <x:c r="P595" s="32" t="e">
        <x:f>IF(A595=1,Dashboard!$F$14,T594)</x:f>
      </x:c>
      <x:c r="Q595" s="32" t="e">
        <x:f>IF(A595&lt;=Dashboard!$F$17,MIN(P595,$B$6*52/12),0)</x:f>
      </x:c>
      <x:c r="R595" s="32" t="e">
        <x:f>IF(A595&lt;=Dashboard!$F$17,MAX(0,P595-Q595)*Dashboard!$F$6,0)</x:f>
      </x:c>
      <x:c r="S595" s="32" t="e">
        <x:f>IF(A595&lt;=Dashboard!$F$17,MIN(Dashboard!$F$10,MAX(0,P595-Q595)+R595),0)</x:f>
      </x:c>
      <x:c r="T595" s="32" t="e">
        <x:f>IF(A595&lt;=Dashboard!$F$17,MAX(0,P595-Q595-MAX(0,S595-R595)),0)</x:f>
      </x:c>
      <x:c r="U595" s="32" t="e">
        <x:f>IF(A595=1,R595,U594+R595)</x:f>
      </x:c>
      <x:c r="V595" s="32"/>
      <x:c r="W595" s="32" t="e">
        <x:f>IF(A595=1,Dashboard!$F$14,AA594)</x:f>
      </x:c>
      <x:c r="X595" s="32" t="e">
        <x:f>IF(AND(A595&lt;=Dashboard!$F$17,MOD(A595-1,12)=0),MIN(W595,$B$7),0)</x:f>
      </x:c>
      <x:c r="Y595" s="32" t="e">
        <x:f>IF(A595&lt;=Dashboard!$F$17,MAX(0,W595-X595)*Dashboard!$F$6,0)</x:f>
      </x:c>
      <x:c r="Z595" s="32" t="e">
        <x:f>IF(A595&lt;=Dashboard!$F$17,MIN(Dashboard!$F$10,MAX(0,W595-X595)+Y595),0)</x:f>
      </x:c>
      <x:c r="AA595" s="32" t="e">
        <x:f>IF(A595&lt;=Dashboard!$F$17,MAX(0,W595-X595-MAX(0,Z595-Y595)),0)</x:f>
      </x:c>
      <x:c r="AB595" s="32" t="e">
        <x:f>IF(A595=1,Y595,AB594+Y595)</x:f>
      </x:c>
      <x:c r="AC595" s="32"/>
      <x:c r="AD595" s="32" t="e">
        <x:f>IF(A595=1,MAX(0,Dashboard!$F$14-$B$8),AG594)</x:f>
      </x:c>
      <x:c r="AE595" s="32" t="n">
        <x:f>0</x:f>
        <x:v>0</x:v>
      </x:c>
      <x:c r="AF595" s="32" t="e">
        <x:f>IF(A595&lt;=Dashboard!$F$17,AD595*Dashboard!$F$6,0)</x:f>
      </x:c>
      <x:c r="AG595" s="32" t="e">
        <x:f>IF(A595&lt;=Dashboard!$F$17,MIN(Dashboard!$F$10,AD595+AF595),0)</x:f>
      </x:c>
      <x:c r="AH595" s="32" t="e">
        <x:f>IF(A595&lt;=Dashboard!$F$17,MAX(0,AD595-MAX(0,AG595-AF595)),0)</x:f>
      </x:c>
      <x:c r="AI595" s="32" t="e">
        <x:f>IF(A595=1,AF595,AI594+AF595)</x:f>
      </x:c>
      <x:c r="AJ595" s="33"/>
      <x:c r="AK595" s="33"/>
      <x:c r="AL595" s="33"/>
      <x:c r="AM595" s="33"/>
    </x:row>
    <x:row r="596">
      <x:c r="A596" s="33" t="n">
        <x:v>584</x:v>
      </x:c>
      <x:c r="B596" s="32" t="e">
        <x:f>IF(A596=1,Dashboard!$F$14,F595)</x:f>
      </x:c>
      <x:c r="C596" s="32" t="n">
        <x:f>0</x:f>
        <x:v>0</x:v>
      </x:c>
      <x:c r="D596" s="32" t="e">
        <x:f>IF(A596&lt;=Dashboard!$F$15,B596*Dashboard!$F$6,0)</x:f>
      </x:c>
      <x:c r="E596" s="32" t="e">
        <x:f>IF(A596&lt;=Dashboard!$F$15,MIN(Dashboard!$F$10,B596+D596),0)</x:f>
      </x:c>
      <x:c r="F596" s="32" t="e">
        <x:f>IF(A596&lt;=Dashboard!$F$15,MAX(0,B596-MAX(0,E596-D596)),0)</x:f>
      </x:c>
      <x:c r="G596" s="32" t="e">
        <x:f>IF(A596=1,D596,G595+D596)</x:f>
      </x:c>
      <x:c r="H596" s="32"/>
      <x:c r="I596" s="32" t="e">
        <x:f>IF(A596=1,Dashboard!$F$14,M595)</x:f>
      </x:c>
      <x:c r="J596" s="32" t="e">
        <x:f>IF(A596&lt;=Dashboard!$F$17,MIN(I596,$B$5),0)</x:f>
      </x:c>
      <x:c r="K596" s="32" t="e">
        <x:f>IF(A596&lt;=Dashboard!$F$17,MAX(0,I596-J596)*Dashboard!$F$6,0)</x:f>
      </x:c>
      <x:c r="L596" s="32" t="e">
        <x:f>IF(A596&lt;=Dashboard!$F$17,MIN(Dashboard!$F$10,MAX(0,I596-J596)+K596),0)</x:f>
      </x:c>
      <x:c r="M596" s="32" t="e">
        <x:f>IF(A596&lt;=Dashboard!$F$17,MAX(0,I596-J596-MAX(0,L596-K596)),0)</x:f>
      </x:c>
      <x:c r="N596" s="32" t="e">
        <x:f>IF(A596=1,K596,N595+K596)</x:f>
      </x:c>
      <x:c r="O596" s="32"/>
      <x:c r="P596" s="32" t="e">
        <x:f>IF(A596=1,Dashboard!$F$14,T595)</x:f>
      </x:c>
      <x:c r="Q596" s="32" t="e">
        <x:f>IF(A596&lt;=Dashboard!$F$17,MIN(P596,$B$6*52/12),0)</x:f>
      </x:c>
      <x:c r="R596" s="32" t="e">
        <x:f>IF(A596&lt;=Dashboard!$F$17,MAX(0,P596-Q596)*Dashboard!$F$6,0)</x:f>
      </x:c>
      <x:c r="S596" s="32" t="e">
        <x:f>IF(A596&lt;=Dashboard!$F$17,MIN(Dashboard!$F$10,MAX(0,P596-Q596)+R596),0)</x:f>
      </x:c>
      <x:c r="T596" s="32" t="e">
        <x:f>IF(A596&lt;=Dashboard!$F$17,MAX(0,P596-Q596-MAX(0,S596-R596)),0)</x:f>
      </x:c>
      <x:c r="U596" s="32" t="e">
        <x:f>IF(A596=1,R596,U595+R596)</x:f>
      </x:c>
      <x:c r="V596" s="32"/>
      <x:c r="W596" s="32" t="e">
        <x:f>IF(A596=1,Dashboard!$F$14,AA595)</x:f>
      </x:c>
      <x:c r="X596" s="32" t="e">
        <x:f>IF(AND(A596&lt;=Dashboard!$F$17,MOD(A596-1,12)=0),MIN(W596,$B$7),0)</x:f>
      </x:c>
      <x:c r="Y596" s="32" t="e">
        <x:f>IF(A596&lt;=Dashboard!$F$17,MAX(0,W596-X596)*Dashboard!$F$6,0)</x:f>
      </x:c>
      <x:c r="Z596" s="32" t="e">
        <x:f>IF(A596&lt;=Dashboard!$F$17,MIN(Dashboard!$F$10,MAX(0,W596-X596)+Y596),0)</x:f>
      </x:c>
      <x:c r="AA596" s="32" t="e">
        <x:f>IF(A596&lt;=Dashboard!$F$17,MAX(0,W596-X596-MAX(0,Z596-Y596)),0)</x:f>
      </x:c>
      <x:c r="AB596" s="32" t="e">
        <x:f>IF(A596=1,Y596,AB595+Y596)</x:f>
      </x:c>
      <x:c r="AC596" s="32"/>
      <x:c r="AD596" s="32" t="e">
        <x:f>IF(A596=1,MAX(0,Dashboard!$F$14-$B$8),AG595)</x:f>
      </x:c>
      <x:c r="AE596" s="32" t="n">
        <x:f>0</x:f>
        <x:v>0</x:v>
      </x:c>
      <x:c r="AF596" s="32" t="e">
        <x:f>IF(A596&lt;=Dashboard!$F$17,AD596*Dashboard!$F$6,0)</x:f>
      </x:c>
      <x:c r="AG596" s="32" t="e">
        <x:f>IF(A596&lt;=Dashboard!$F$17,MIN(Dashboard!$F$10,AD596+AF596),0)</x:f>
      </x:c>
      <x:c r="AH596" s="32" t="e">
        <x:f>IF(A596&lt;=Dashboard!$F$17,MAX(0,AD596-MAX(0,AG596-AF596)),0)</x:f>
      </x:c>
      <x:c r="AI596" s="32" t="e">
        <x:f>IF(A596=1,AF596,AI595+AF596)</x:f>
      </x:c>
      <x:c r="AJ596" s="33"/>
      <x:c r="AK596" s="33"/>
      <x:c r="AL596" s="33"/>
      <x:c r="AM596" s="33"/>
    </x:row>
    <x:row r="597">
      <x:c r="A597" s="33" t="n">
        <x:v>585</x:v>
      </x:c>
      <x:c r="B597" s="32" t="e">
        <x:f>IF(A597=1,Dashboard!$F$14,F596)</x:f>
      </x:c>
      <x:c r="C597" s="32" t="n">
        <x:f>0</x:f>
        <x:v>0</x:v>
      </x:c>
      <x:c r="D597" s="32" t="e">
        <x:f>IF(A597&lt;=Dashboard!$F$15,B597*Dashboard!$F$6,0)</x:f>
      </x:c>
      <x:c r="E597" s="32" t="e">
        <x:f>IF(A597&lt;=Dashboard!$F$15,MIN(Dashboard!$F$10,B597+D597),0)</x:f>
      </x:c>
      <x:c r="F597" s="32" t="e">
        <x:f>IF(A597&lt;=Dashboard!$F$15,MAX(0,B597-MAX(0,E597-D597)),0)</x:f>
      </x:c>
      <x:c r="G597" s="32" t="e">
        <x:f>IF(A597=1,D597,G596+D597)</x:f>
      </x:c>
      <x:c r="H597" s="32"/>
      <x:c r="I597" s="32" t="e">
        <x:f>IF(A597=1,Dashboard!$F$14,M596)</x:f>
      </x:c>
      <x:c r="J597" s="32" t="e">
        <x:f>IF(A597&lt;=Dashboard!$F$17,MIN(I597,$B$5),0)</x:f>
      </x:c>
      <x:c r="K597" s="32" t="e">
        <x:f>IF(A597&lt;=Dashboard!$F$17,MAX(0,I597-J597)*Dashboard!$F$6,0)</x:f>
      </x:c>
      <x:c r="L597" s="32" t="e">
        <x:f>IF(A597&lt;=Dashboard!$F$17,MIN(Dashboard!$F$10,MAX(0,I597-J597)+K597),0)</x:f>
      </x:c>
      <x:c r="M597" s="32" t="e">
        <x:f>IF(A597&lt;=Dashboard!$F$17,MAX(0,I597-J597-MAX(0,L597-K597)),0)</x:f>
      </x:c>
      <x:c r="N597" s="32" t="e">
        <x:f>IF(A597=1,K597,N596+K597)</x:f>
      </x:c>
      <x:c r="O597" s="32"/>
      <x:c r="P597" s="32" t="e">
        <x:f>IF(A597=1,Dashboard!$F$14,T596)</x:f>
      </x:c>
      <x:c r="Q597" s="32" t="e">
        <x:f>IF(A597&lt;=Dashboard!$F$17,MIN(P597,$B$6*52/12),0)</x:f>
      </x:c>
      <x:c r="R597" s="32" t="e">
        <x:f>IF(A597&lt;=Dashboard!$F$17,MAX(0,P597-Q597)*Dashboard!$F$6,0)</x:f>
      </x:c>
      <x:c r="S597" s="32" t="e">
        <x:f>IF(A597&lt;=Dashboard!$F$17,MIN(Dashboard!$F$10,MAX(0,P597-Q597)+R597),0)</x:f>
      </x:c>
      <x:c r="T597" s="32" t="e">
        <x:f>IF(A597&lt;=Dashboard!$F$17,MAX(0,P597-Q597-MAX(0,S597-R597)),0)</x:f>
      </x:c>
      <x:c r="U597" s="32" t="e">
        <x:f>IF(A597=1,R597,U596+R597)</x:f>
      </x:c>
      <x:c r="V597" s="32"/>
      <x:c r="W597" s="32" t="e">
        <x:f>IF(A597=1,Dashboard!$F$14,AA596)</x:f>
      </x:c>
      <x:c r="X597" s="32" t="e">
        <x:f>IF(AND(A597&lt;=Dashboard!$F$17,MOD(A597-1,12)=0),MIN(W597,$B$7),0)</x:f>
      </x:c>
      <x:c r="Y597" s="32" t="e">
        <x:f>IF(A597&lt;=Dashboard!$F$17,MAX(0,W597-X597)*Dashboard!$F$6,0)</x:f>
      </x:c>
      <x:c r="Z597" s="32" t="e">
        <x:f>IF(A597&lt;=Dashboard!$F$17,MIN(Dashboard!$F$10,MAX(0,W597-X597)+Y597),0)</x:f>
      </x:c>
      <x:c r="AA597" s="32" t="e">
        <x:f>IF(A597&lt;=Dashboard!$F$17,MAX(0,W597-X597-MAX(0,Z597-Y597)),0)</x:f>
      </x:c>
      <x:c r="AB597" s="32" t="e">
        <x:f>IF(A597=1,Y597,AB596+Y597)</x:f>
      </x:c>
      <x:c r="AC597" s="32"/>
      <x:c r="AD597" s="32" t="e">
        <x:f>IF(A597=1,MAX(0,Dashboard!$F$14-$B$8),AG596)</x:f>
      </x:c>
      <x:c r="AE597" s="32" t="n">
        <x:f>0</x:f>
        <x:v>0</x:v>
      </x:c>
      <x:c r="AF597" s="32" t="e">
        <x:f>IF(A597&lt;=Dashboard!$F$17,AD597*Dashboard!$F$6,0)</x:f>
      </x:c>
      <x:c r="AG597" s="32" t="e">
        <x:f>IF(A597&lt;=Dashboard!$F$17,MIN(Dashboard!$F$10,AD597+AF597),0)</x:f>
      </x:c>
      <x:c r="AH597" s="32" t="e">
        <x:f>IF(A597&lt;=Dashboard!$F$17,MAX(0,AD597-MAX(0,AG597-AF597)),0)</x:f>
      </x:c>
      <x:c r="AI597" s="32" t="e">
        <x:f>IF(A597=1,AF597,AI596+AF597)</x:f>
      </x:c>
      <x:c r="AJ597" s="33"/>
      <x:c r="AK597" s="33"/>
      <x:c r="AL597" s="33"/>
      <x:c r="AM597" s="33"/>
    </x:row>
    <x:row r="598">
      <x:c r="A598" s="33" t="n">
        <x:v>586</x:v>
      </x:c>
      <x:c r="B598" s="32" t="e">
        <x:f>IF(A598=1,Dashboard!$F$14,F597)</x:f>
      </x:c>
      <x:c r="C598" s="32" t="n">
        <x:f>0</x:f>
        <x:v>0</x:v>
      </x:c>
      <x:c r="D598" s="32" t="e">
        <x:f>IF(A598&lt;=Dashboard!$F$15,B598*Dashboard!$F$6,0)</x:f>
      </x:c>
      <x:c r="E598" s="32" t="e">
        <x:f>IF(A598&lt;=Dashboard!$F$15,MIN(Dashboard!$F$10,B598+D598),0)</x:f>
      </x:c>
      <x:c r="F598" s="32" t="e">
        <x:f>IF(A598&lt;=Dashboard!$F$15,MAX(0,B598-MAX(0,E598-D598)),0)</x:f>
      </x:c>
      <x:c r="G598" s="32" t="e">
        <x:f>IF(A598=1,D598,G597+D598)</x:f>
      </x:c>
      <x:c r="H598" s="32"/>
      <x:c r="I598" s="32" t="e">
        <x:f>IF(A598=1,Dashboard!$F$14,M597)</x:f>
      </x:c>
      <x:c r="J598" s="32" t="e">
        <x:f>IF(A598&lt;=Dashboard!$F$17,MIN(I598,$B$5),0)</x:f>
      </x:c>
      <x:c r="K598" s="32" t="e">
        <x:f>IF(A598&lt;=Dashboard!$F$17,MAX(0,I598-J598)*Dashboard!$F$6,0)</x:f>
      </x:c>
      <x:c r="L598" s="32" t="e">
        <x:f>IF(A598&lt;=Dashboard!$F$17,MIN(Dashboard!$F$10,MAX(0,I598-J598)+K598),0)</x:f>
      </x:c>
      <x:c r="M598" s="32" t="e">
        <x:f>IF(A598&lt;=Dashboard!$F$17,MAX(0,I598-J598-MAX(0,L598-K598)),0)</x:f>
      </x:c>
      <x:c r="N598" s="32" t="e">
        <x:f>IF(A598=1,K598,N597+K598)</x:f>
      </x:c>
      <x:c r="O598" s="32"/>
      <x:c r="P598" s="32" t="e">
        <x:f>IF(A598=1,Dashboard!$F$14,T597)</x:f>
      </x:c>
      <x:c r="Q598" s="32" t="e">
        <x:f>IF(A598&lt;=Dashboard!$F$17,MIN(P598,$B$6*52/12),0)</x:f>
      </x:c>
      <x:c r="R598" s="32" t="e">
        <x:f>IF(A598&lt;=Dashboard!$F$17,MAX(0,P598-Q598)*Dashboard!$F$6,0)</x:f>
      </x:c>
      <x:c r="S598" s="32" t="e">
        <x:f>IF(A598&lt;=Dashboard!$F$17,MIN(Dashboard!$F$10,MAX(0,P598-Q598)+R598),0)</x:f>
      </x:c>
      <x:c r="T598" s="32" t="e">
        <x:f>IF(A598&lt;=Dashboard!$F$17,MAX(0,P598-Q598-MAX(0,S598-R598)),0)</x:f>
      </x:c>
      <x:c r="U598" s="32" t="e">
        <x:f>IF(A598=1,R598,U597+R598)</x:f>
      </x:c>
      <x:c r="V598" s="32"/>
      <x:c r="W598" s="32" t="e">
        <x:f>IF(A598=1,Dashboard!$F$14,AA597)</x:f>
      </x:c>
      <x:c r="X598" s="32" t="e">
        <x:f>IF(AND(A598&lt;=Dashboard!$F$17,MOD(A598-1,12)=0),MIN(W598,$B$7),0)</x:f>
      </x:c>
      <x:c r="Y598" s="32" t="e">
        <x:f>IF(A598&lt;=Dashboard!$F$17,MAX(0,W598-X598)*Dashboard!$F$6,0)</x:f>
      </x:c>
      <x:c r="Z598" s="32" t="e">
        <x:f>IF(A598&lt;=Dashboard!$F$17,MIN(Dashboard!$F$10,MAX(0,W598-X598)+Y598),0)</x:f>
      </x:c>
      <x:c r="AA598" s="32" t="e">
        <x:f>IF(A598&lt;=Dashboard!$F$17,MAX(0,W598-X598-MAX(0,Z598-Y598)),0)</x:f>
      </x:c>
      <x:c r="AB598" s="32" t="e">
        <x:f>IF(A598=1,Y598,AB597+Y598)</x:f>
      </x:c>
      <x:c r="AC598" s="32"/>
      <x:c r="AD598" s="32" t="e">
        <x:f>IF(A598=1,MAX(0,Dashboard!$F$14-$B$8),AG597)</x:f>
      </x:c>
      <x:c r="AE598" s="32" t="n">
        <x:f>0</x:f>
        <x:v>0</x:v>
      </x:c>
      <x:c r="AF598" s="32" t="e">
        <x:f>IF(A598&lt;=Dashboard!$F$17,AD598*Dashboard!$F$6,0)</x:f>
      </x:c>
      <x:c r="AG598" s="32" t="e">
        <x:f>IF(A598&lt;=Dashboard!$F$17,MIN(Dashboard!$F$10,AD598+AF598),0)</x:f>
      </x:c>
      <x:c r="AH598" s="32" t="e">
        <x:f>IF(A598&lt;=Dashboard!$F$17,MAX(0,AD598-MAX(0,AG598-AF598)),0)</x:f>
      </x:c>
      <x:c r="AI598" s="32" t="e">
        <x:f>IF(A598=1,AF598,AI597+AF598)</x:f>
      </x:c>
      <x:c r="AJ598" s="33"/>
      <x:c r="AK598" s="33"/>
      <x:c r="AL598" s="33"/>
      <x:c r="AM598" s="33"/>
    </x:row>
    <x:row r="599">
      <x:c r="A599" s="33" t="n">
        <x:v>587</x:v>
      </x:c>
      <x:c r="B599" s="32" t="e">
        <x:f>IF(A599=1,Dashboard!$F$14,F598)</x:f>
      </x:c>
      <x:c r="C599" s="32" t="n">
        <x:f>0</x:f>
        <x:v>0</x:v>
      </x:c>
      <x:c r="D599" s="32" t="e">
        <x:f>IF(A599&lt;=Dashboard!$F$15,B599*Dashboard!$F$6,0)</x:f>
      </x:c>
      <x:c r="E599" s="32" t="e">
        <x:f>IF(A599&lt;=Dashboard!$F$15,MIN(Dashboard!$F$10,B599+D599),0)</x:f>
      </x:c>
      <x:c r="F599" s="32" t="e">
        <x:f>IF(A599&lt;=Dashboard!$F$15,MAX(0,B599-MAX(0,E599-D599)),0)</x:f>
      </x:c>
      <x:c r="G599" s="32" t="e">
        <x:f>IF(A599=1,D599,G598+D599)</x:f>
      </x:c>
      <x:c r="H599" s="32"/>
      <x:c r="I599" s="32" t="e">
        <x:f>IF(A599=1,Dashboard!$F$14,M598)</x:f>
      </x:c>
      <x:c r="J599" s="32" t="e">
        <x:f>IF(A599&lt;=Dashboard!$F$17,MIN(I599,$B$5),0)</x:f>
      </x:c>
      <x:c r="K599" s="32" t="e">
        <x:f>IF(A599&lt;=Dashboard!$F$17,MAX(0,I599-J599)*Dashboard!$F$6,0)</x:f>
      </x:c>
      <x:c r="L599" s="32" t="e">
        <x:f>IF(A599&lt;=Dashboard!$F$17,MIN(Dashboard!$F$10,MAX(0,I599-J599)+K599),0)</x:f>
      </x:c>
      <x:c r="M599" s="32" t="e">
        <x:f>IF(A599&lt;=Dashboard!$F$17,MAX(0,I599-J599-MAX(0,L599-K599)),0)</x:f>
      </x:c>
      <x:c r="N599" s="32" t="e">
        <x:f>IF(A599=1,K599,N598+K599)</x:f>
      </x:c>
      <x:c r="O599" s="32"/>
      <x:c r="P599" s="32" t="e">
        <x:f>IF(A599=1,Dashboard!$F$14,T598)</x:f>
      </x:c>
      <x:c r="Q599" s="32" t="e">
        <x:f>IF(A599&lt;=Dashboard!$F$17,MIN(P599,$B$6*52/12),0)</x:f>
      </x:c>
      <x:c r="R599" s="32" t="e">
        <x:f>IF(A599&lt;=Dashboard!$F$17,MAX(0,P599-Q599)*Dashboard!$F$6,0)</x:f>
      </x:c>
      <x:c r="S599" s="32" t="e">
        <x:f>IF(A599&lt;=Dashboard!$F$17,MIN(Dashboard!$F$10,MAX(0,P599-Q599)+R599),0)</x:f>
      </x:c>
      <x:c r="T599" s="32" t="e">
        <x:f>IF(A599&lt;=Dashboard!$F$17,MAX(0,P599-Q599-MAX(0,S599-R599)),0)</x:f>
      </x:c>
      <x:c r="U599" s="32" t="e">
        <x:f>IF(A599=1,R599,U598+R599)</x:f>
      </x:c>
      <x:c r="V599" s="32"/>
      <x:c r="W599" s="32" t="e">
        <x:f>IF(A599=1,Dashboard!$F$14,AA598)</x:f>
      </x:c>
      <x:c r="X599" s="32" t="e">
        <x:f>IF(AND(A599&lt;=Dashboard!$F$17,MOD(A599-1,12)=0),MIN(W599,$B$7),0)</x:f>
      </x:c>
      <x:c r="Y599" s="32" t="e">
        <x:f>IF(A599&lt;=Dashboard!$F$17,MAX(0,W599-X599)*Dashboard!$F$6,0)</x:f>
      </x:c>
      <x:c r="Z599" s="32" t="e">
        <x:f>IF(A599&lt;=Dashboard!$F$17,MIN(Dashboard!$F$10,MAX(0,W599-X599)+Y599),0)</x:f>
      </x:c>
      <x:c r="AA599" s="32" t="e">
        <x:f>IF(A599&lt;=Dashboard!$F$17,MAX(0,W599-X599-MAX(0,Z599-Y599)),0)</x:f>
      </x:c>
      <x:c r="AB599" s="32" t="e">
        <x:f>IF(A599=1,Y599,AB598+Y599)</x:f>
      </x:c>
      <x:c r="AC599" s="32"/>
      <x:c r="AD599" s="32" t="e">
        <x:f>IF(A599=1,MAX(0,Dashboard!$F$14-$B$8),AG598)</x:f>
      </x:c>
      <x:c r="AE599" s="32" t="n">
        <x:f>0</x:f>
        <x:v>0</x:v>
      </x:c>
      <x:c r="AF599" s="32" t="e">
        <x:f>IF(A599&lt;=Dashboard!$F$17,AD599*Dashboard!$F$6,0)</x:f>
      </x:c>
      <x:c r="AG599" s="32" t="e">
        <x:f>IF(A599&lt;=Dashboard!$F$17,MIN(Dashboard!$F$10,AD599+AF599),0)</x:f>
      </x:c>
      <x:c r="AH599" s="32" t="e">
        <x:f>IF(A599&lt;=Dashboard!$F$17,MAX(0,AD599-MAX(0,AG599-AF599)),0)</x:f>
      </x:c>
      <x:c r="AI599" s="32" t="e">
        <x:f>IF(A599=1,AF599,AI598+AF599)</x:f>
      </x:c>
      <x:c r="AJ599" s="33"/>
      <x:c r="AK599" s="33"/>
      <x:c r="AL599" s="33"/>
      <x:c r="AM599" s="33"/>
    </x:row>
    <x:row r="600">
      <x:c r="A600" s="33" t="n">
        <x:v>588</x:v>
      </x:c>
      <x:c r="B600" s="32" t="e">
        <x:f>IF(A600=1,Dashboard!$F$14,F599)</x:f>
      </x:c>
      <x:c r="C600" s="32" t="n">
        <x:f>0</x:f>
        <x:v>0</x:v>
      </x:c>
      <x:c r="D600" s="32" t="e">
        <x:f>IF(A600&lt;=Dashboard!$F$15,B600*Dashboard!$F$6,0)</x:f>
      </x:c>
      <x:c r="E600" s="32" t="e">
        <x:f>IF(A600&lt;=Dashboard!$F$15,MIN(Dashboard!$F$10,B600+D600),0)</x:f>
      </x:c>
      <x:c r="F600" s="32" t="e">
        <x:f>IF(A600&lt;=Dashboard!$F$15,MAX(0,B600-MAX(0,E600-D600)),0)</x:f>
      </x:c>
      <x:c r="G600" s="32" t="e">
        <x:f>IF(A600=1,D600,G599+D600)</x:f>
      </x:c>
      <x:c r="H600" s="32"/>
      <x:c r="I600" s="32" t="e">
        <x:f>IF(A600=1,Dashboard!$F$14,M599)</x:f>
      </x:c>
      <x:c r="J600" s="32" t="e">
        <x:f>IF(A600&lt;=Dashboard!$F$17,MIN(I600,$B$5),0)</x:f>
      </x:c>
      <x:c r="K600" s="32" t="e">
        <x:f>IF(A600&lt;=Dashboard!$F$17,MAX(0,I600-J600)*Dashboard!$F$6,0)</x:f>
      </x:c>
      <x:c r="L600" s="32" t="e">
        <x:f>IF(A600&lt;=Dashboard!$F$17,MIN(Dashboard!$F$10,MAX(0,I600-J600)+K600),0)</x:f>
      </x:c>
      <x:c r="M600" s="32" t="e">
        <x:f>IF(A600&lt;=Dashboard!$F$17,MAX(0,I600-J600-MAX(0,L600-K600)),0)</x:f>
      </x:c>
      <x:c r="N600" s="32" t="e">
        <x:f>IF(A600=1,K600,N599+K600)</x:f>
      </x:c>
      <x:c r="O600" s="32"/>
      <x:c r="P600" s="32" t="e">
        <x:f>IF(A600=1,Dashboard!$F$14,T599)</x:f>
      </x:c>
      <x:c r="Q600" s="32" t="e">
        <x:f>IF(A600&lt;=Dashboard!$F$17,MIN(P600,$B$6*52/12),0)</x:f>
      </x:c>
      <x:c r="R600" s="32" t="e">
        <x:f>IF(A600&lt;=Dashboard!$F$17,MAX(0,P600-Q600)*Dashboard!$F$6,0)</x:f>
      </x:c>
      <x:c r="S600" s="32" t="e">
        <x:f>IF(A600&lt;=Dashboard!$F$17,MIN(Dashboard!$F$10,MAX(0,P600-Q600)+R600),0)</x:f>
      </x:c>
      <x:c r="T600" s="32" t="e">
        <x:f>IF(A600&lt;=Dashboard!$F$17,MAX(0,P600-Q600-MAX(0,S600-R600)),0)</x:f>
      </x:c>
      <x:c r="U600" s="32" t="e">
        <x:f>IF(A600=1,R600,U599+R600)</x:f>
      </x:c>
      <x:c r="V600" s="32"/>
      <x:c r="W600" s="32" t="e">
        <x:f>IF(A600=1,Dashboard!$F$14,AA599)</x:f>
      </x:c>
      <x:c r="X600" s="32" t="e">
        <x:f>IF(AND(A600&lt;=Dashboard!$F$17,MOD(A600-1,12)=0),MIN(W600,$B$7),0)</x:f>
      </x:c>
      <x:c r="Y600" s="32" t="e">
        <x:f>IF(A600&lt;=Dashboard!$F$17,MAX(0,W600-X600)*Dashboard!$F$6,0)</x:f>
      </x:c>
      <x:c r="Z600" s="32" t="e">
        <x:f>IF(A600&lt;=Dashboard!$F$17,MIN(Dashboard!$F$10,MAX(0,W600-X600)+Y600),0)</x:f>
      </x:c>
      <x:c r="AA600" s="32" t="e">
        <x:f>IF(A600&lt;=Dashboard!$F$17,MAX(0,W600-X600-MAX(0,Z600-Y600)),0)</x:f>
      </x:c>
      <x:c r="AB600" s="32" t="e">
        <x:f>IF(A600=1,Y600,AB599+Y600)</x:f>
      </x:c>
      <x:c r="AC600" s="32"/>
      <x:c r="AD600" s="32" t="e">
        <x:f>IF(A600=1,MAX(0,Dashboard!$F$14-$B$8),AG599)</x:f>
      </x:c>
      <x:c r="AE600" s="32" t="n">
        <x:f>0</x:f>
        <x:v>0</x:v>
      </x:c>
      <x:c r="AF600" s="32" t="e">
        <x:f>IF(A600&lt;=Dashboard!$F$17,AD600*Dashboard!$F$6,0)</x:f>
      </x:c>
      <x:c r="AG600" s="32" t="e">
        <x:f>IF(A600&lt;=Dashboard!$F$17,MIN(Dashboard!$F$10,AD600+AF600),0)</x:f>
      </x:c>
      <x:c r="AH600" s="32" t="e">
        <x:f>IF(A600&lt;=Dashboard!$F$17,MAX(0,AD600-MAX(0,AG600-AF600)),0)</x:f>
      </x:c>
      <x:c r="AI600" s="32" t="e">
        <x:f>IF(A600=1,AF600,AI599+AF600)</x:f>
      </x:c>
      <x:c r="AJ600" s="33"/>
      <x:c r="AK600" s="33"/>
      <x:c r="AL600" s="33"/>
      <x:c r="AM600" s="33"/>
    </x:row>
    <x:row r="601">
      <x:c r="A601" s="33" t="n">
        <x:v>589</x:v>
      </x:c>
      <x:c r="B601" s="32" t="e">
        <x:f>IF(A601=1,Dashboard!$F$14,F600)</x:f>
      </x:c>
      <x:c r="C601" s="32" t="n">
        <x:f>0</x:f>
        <x:v>0</x:v>
      </x:c>
      <x:c r="D601" s="32" t="e">
        <x:f>IF(A601&lt;=Dashboard!$F$15,B601*Dashboard!$F$6,0)</x:f>
      </x:c>
      <x:c r="E601" s="32" t="e">
        <x:f>IF(A601&lt;=Dashboard!$F$15,MIN(Dashboard!$F$10,B601+D601),0)</x:f>
      </x:c>
      <x:c r="F601" s="32" t="e">
        <x:f>IF(A601&lt;=Dashboard!$F$15,MAX(0,B601-MAX(0,E601-D601)),0)</x:f>
      </x:c>
      <x:c r="G601" s="32" t="e">
        <x:f>IF(A601=1,D601,G600+D601)</x:f>
      </x:c>
      <x:c r="H601" s="32"/>
      <x:c r="I601" s="32" t="e">
        <x:f>IF(A601=1,Dashboard!$F$14,M600)</x:f>
      </x:c>
      <x:c r="J601" s="32" t="e">
        <x:f>IF(A601&lt;=Dashboard!$F$17,MIN(I601,$B$5),0)</x:f>
      </x:c>
      <x:c r="K601" s="32" t="e">
        <x:f>IF(A601&lt;=Dashboard!$F$17,MAX(0,I601-J601)*Dashboard!$F$6,0)</x:f>
      </x:c>
      <x:c r="L601" s="32" t="e">
        <x:f>IF(A601&lt;=Dashboard!$F$17,MIN(Dashboard!$F$10,MAX(0,I601-J601)+K601),0)</x:f>
      </x:c>
      <x:c r="M601" s="32" t="e">
        <x:f>IF(A601&lt;=Dashboard!$F$17,MAX(0,I601-J601-MAX(0,L601-K601)),0)</x:f>
      </x:c>
      <x:c r="N601" s="32" t="e">
        <x:f>IF(A601=1,K601,N600+K601)</x:f>
      </x:c>
      <x:c r="O601" s="32"/>
      <x:c r="P601" s="32" t="e">
        <x:f>IF(A601=1,Dashboard!$F$14,T600)</x:f>
      </x:c>
      <x:c r="Q601" s="32" t="e">
        <x:f>IF(A601&lt;=Dashboard!$F$17,MIN(P601,$B$6*52/12),0)</x:f>
      </x:c>
      <x:c r="R601" s="32" t="e">
        <x:f>IF(A601&lt;=Dashboard!$F$17,MAX(0,P601-Q601)*Dashboard!$F$6,0)</x:f>
      </x:c>
      <x:c r="S601" s="32" t="e">
        <x:f>IF(A601&lt;=Dashboard!$F$17,MIN(Dashboard!$F$10,MAX(0,P601-Q601)+R601),0)</x:f>
      </x:c>
      <x:c r="T601" s="32" t="e">
        <x:f>IF(A601&lt;=Dashboard!$F$17,MAX(0,P601-Q601-MAX(0,S601-R601)),0)</x:f>
      </x:c>
      <x:c r="U601" s="32" t="e">
        <x:f>IF(A601=1,R601,U600+R601)</x:f>
      </x:c>
      <x:c r="V601" s="32"/>
      <x:c r="W601" s="32" t="e">
        <x:f>IF(A601=1,Dashboard!$F$14,AA600)</x:f>
      </x:c>
      <x:c r="X601" s="32" t="e">
        <x:f>IF(AND(A601&lt;=Dashboard!$F$17,MOD(A601-1,12)=0),MIN(W601,$B$7),0)</x:f>
      </x:c>
      <x:c r="Y601" s="32" t="e">
        <x:f>IF(A601&lt;=Dashboard!$F$17,MAX(0,W601-X601)*Dashboard!$F$6,0)</x:f>
      </x:c>
      <x:c r="Z601" s="32" t="e">
        <x:f>IF(A601&lt;=Dashboard!$F$17,MIN(Dashboard!$F$10,MAX(0,W601-X601)+Y601),0)</x:f>
      </x:c>
      <x:c r="AA601" s="32" t="e">
        <x:f>IF(A601&lt;=Dashboard!$F$17,MAX(0,W601-X601-MAX(0,Z601-Y601)),0)</x:f>
      </x:c>
      <x:c r="AB601" s="32" t="e">
        <x:f>IF(A601=1,Y601,AB600+Y601)</x:f>
      </x:c>
      <x:c r="AC601" s="32"/>
      <x:c r="AD601" s="32" t="e">
        <x:f>IF(A601=1,MAX(0,Dashboard!$F$14-$B$8),AG600)</x:f>
      </x:c>
      <x:c r="AE601" s="32" t="n">
        <x:f>0</x:f>
        <x:v>0</x:v>
      </x:c>
      <x:c r="AF601" s="32" t="e">
        <x:f>IF(A601&lt;=Dashboard!$F$17,AD601*Dashboard!$F$6,0)</x:f>
      </x:c>
      <x:c r="AG601" s="32" t="e">
        <x:f>IF(A601&lt;=Dashboard!$F$17,MIN(Dashboard!$F$10,AD601+AF601),0)</x:f>
      </x:c>
      <x:c r="AH601" s="32" t="e">
        <x:f>IF(A601&lt;=Dashboard!$F$17,MAX(0,AD601-MAX(0,AG601-AF601)),0)</x:f>
      </x:c>
      <x:c r="AI601" s="32" t="e">
        <x:f>IF(A601=1,AF601,AI600+AF601)</x:f>
      </x:c>
      <x:c r="AJ601" s="33"/>
      <x:c r="AK601" s="33"/>
      <x:c r="AL601" s="33"/>
      <x:c r="AM601" s="33"/>
    </x:row>
    <x:row r="602">
      <x:c r="A602" s="33" t="n">
        <x:v>590</x:v>
      </x:c>
      <x:c r="B602" s="32" t="e">
        <x:f>IF(A602=1,Dashboard!$F$14,F601)</x:f>
      </x:c>
      <x:c r="C602" s="32" t="n">
        <x:f>0</x:f>
        <x:v>0</x:v>
      </x:c>
      <x:c r="D602" s="32" t="e">
        <x:f>IF(A602&lt;=Dashboard!$F$15,B602*Dashboard!$F$6,0)</x:f>
      </x:c>
      <x:c r="E602" s="32" t="e">
        <x:f>IF(A602&lt;=Dashboard!$F$15,MIN(Dashboard!$F$10,B602+D602),0)</x:f>
      </x:c>
      <x:c r="F602" s="32" t="e">
        <x:f>IF(A602&lt;=Dashboard!$F$15,MAX(0,B602-MAX(0,E602-D602)),0)</x:f>
      </x:c>
      <x:c r="G602" s="32" t="e">
        <x:f>IF(A602=1,D602,G601+D602)</x:f>
      </x:c>
      <x:c r="H602" s="32"/>
      <x:c r="I602" s="32" t="e">
        <x:f>IF(A602=1,Dashboard!$F$14,M601)</x:f>
      </x:c>
      <x:c r="J602" s="32" t="e">
        <x:f>IF(A602&lt;=Dashboard!$F$17,MIN(I602,$B$5),0)</x:f>
      </x:c>
      <x:c r="K602" s="32" t="e">
        <x:f>IF(A602&lt;=Dashboard!$F$17,MAX(0,I602-J602)*Dashboard!$F$6,0)</x:f>
      </x:c>
      <x:c r="L602" s="32" t="e">
        <x:f>IF(A602&lt;=Dashboard!$F$17,MIN(Dashboard!$F$10,MAX(0,I602-J602)+K602),0)</x:f>
      </x:c>
      <x:c r="M602" s="32" t="e">
        <x:f>IF(A602&lt;=Dashboard!$F$17,MAX(0,I602-J602-MAX(0,L602-K602)),0)</x:f>
      </x:c>
      <x:c r="N602" s="32" t="e">
        <x:f>IF(A602=1,K602,N601+K602)</x:f>
      </x:c>
      <x:c r="O602" s="32"/>
      <x:c r="P602" s="32" t="e">
        <x:f>IF(A602=1,Dashboard!$F$14,T601)</x:f>
      </x:c>
      <x:c r="Q602" s="32" t="e">
        <x:f>IF(A602&lt;=Dashboard!$F$17,MIN(P602,$B$6*52/12),0)</x:f>
      </x:c>
      <x:c r="R602" s="32" t="e">
        <x:f>IF(A602&lt;=Dashboard!$F$17,MAX(0,P602-Q602)*Dashboard!$F$6,0)</x:f>
      </x:c>
      <x:c r="S602" s="32" t="e">
        <x:f>IF(A602&lt;=Dashboard!$F$17,MIN(Dashboard!$F$10,MAX(0,P602-Q602)+R602),0)</x:f>
      </x:c>
      <x:c r="T602" s="32" t="e">
        <x:f>IF(A602&lt;=Dashboard!$F$17,MAX(0,P602-Q602-MAX(0,S602-R602)),0)</x:f>
      </x:c>
      <x:c r="U602" s="32" t="e">
        <x:f>IF(A602=1,R602,U601+R602)</x:f>
      </x:c>
      <x:c r="V602" s="32"/>
      <x:c r="W602" s="32" t="e">
        <x:f>IF(A602=1,Dashboard!$F$14,AA601)</x:f>
      </x:c>
      <x:c r="X602" s="32" t="e">
        <x:f>IF(AND(A602&lt;=Dashboard!$F$17,MOD(A602-1,12)=0),MIN(W602,$B$7),0)</x:f>
      </x:c>
      <x:c r="Y602" s="32" t="e">
        <x:f>IF(A602&lt;=Dashboard!$F$17,MAX(0,W602-X602)*Dashboard!$F$6,0)</x:f>
      </x:c>
      <x:c r="Z602" s="32" t="e">
        <x:f>IF(A602&lt;=Dashboard!$F$17,MIN(Dashboard!$F$10,MAX(0,W602-X602)+Y602),0)</x:f>
      </x:c>
      <x:c r="AA602" s="32" t="e">
        <x:f>IF(A602&lt;=Dashboard!$F$17,MAX(0,W602-X602-MAX(0,Z602-Y602)),0)</x:f>
      </x:c>
      <x:c r="AB602" s="32" t="e">
        <x:f>IF(A602=1,Y602,AB601+Y602)</x:f>
      </x:c>
      <x:c r="AC602" s="32"/>
      <x:c r="AD602" s="32" t="e">
        <x:f>IF(A602=1,MAX(0,Dashboard!$F$14-$B$8),AG601)</x:f>
      </x:c>
      <x:c r="AE602" s="32" t="n">
        <x:f>0</x:f>
        <x:v>0</x:v>
      </x:c>
      <x:c r="AF602" s="32" t="e">
        <x:f>IF(A602&lt;=Dashboard!$F$17,AD602*Dashboard!$F$6,0)</x:f>
      </x:c>
      <x:c r="AG602" s="32" t="e">
        <x:f>IF(A602&lt;=Dashboard!$F$17,MIN(Dashboard!$F$10,AD602+AF602),0)</x:f>
      </x:c>
      <x:c r="AH602" s="32" t="e">
        <x:f>IF(A602&lt;=Dashboard!$F$17,MAX(0,AD602-MAX(0,AG602-AF602)),0)</x:f>
      </x:c>
      <x:c r="AI602" s="32" t="e">
        <x:f>IF(A602=1,AF602,AI601+AF602)</x:f>
      </x:c>
      <x:c r="AJ602" s="33"/>
      <x:c r="AK602" s="33"/>
      <x:c r="AL602" s="33"/>
      <x:c r="AM602" s="33"/>
    </x:row>
    <x:row r="603">
      <x:c r="A603" s="33" t="n">
        <x:v>591</x:v>
      </x:c>
      <x:c r="B603" s="32" t="e">
        <x:f>IF(A603=1,Dashboard!$F$14,F602)</x:f>
      </x:c>
      <x:c r="C603" s="32" t="n">
        <x:f>0</x:f>
        <x:v>0</x:v>
      </x:c>
      <x:c r="D603" s="32" t="e">
        <x:f>IF(A603&lt;=Dashboard!$F$15,B603*Dashboard!$F$6,0)</x:f>
      </x:c>
      <x:c r="E603" s="32" t="e">
        <x:f>IF(A603&lt;=Dashboard!$F$15,MIN(Dashboard!$F$10,B603+D603),0)</x:f>
      </x:c>
      <x:c r="F603" s="32" t="e">
        <x:f>IF(A603&lt;=Dashboard!$F$15,MAX(0,B603-MAX(0,E603-D603)),0)</x:f>
      </x:c>
      <x:c r="G603" s="32" t="e">
        <x:f>IF(A603=1,D603,G602+D603)</x:f>
      </x:c>
      <x:c r="H603" s="32"/>
      <x:c r="I603" s="32" t="e">
        <x:f>IF(A603=1,Dashboard!$F$14,M602)</x:f>
      </x:c>
      <x:c r="J603" s="32" t="e">
        <x:f>IF(A603&lt;=Dashboard!$F$17,MIN(I603,$B$5),0)</x:f>
      </x:c>
      <x:c r="K603" s="32" t="e">
        <x:f>IF(A603&lt;=Dashboard!$F$17,MAX(0,I603-J603)*Dashboard!$F$6,0)</x:f>
      </x:c>
      <x:c r="L603" s="32" t="e">
        <x:f>IF(A603&lt;=Dashboard!$F$17,MIN(Dashboard!$F$10,MAX(0,I603-J603)+K603),0)</x:f>
      </x:c>
      <x:c r="M603" s="32" t="e">
        <x:f>IF(A603&lt;=Dashboard!$F$17,MAX(0,I603-J603-MAX(0,L603-K603)),0)</x:f>
      </x:c>
      <x:c r="N603" s="32" t="e">
        <x:f>IF(A603=1,K603,N602+K603)</x:f>
      </x:c>
      <x:c r="O603" s="32"/>
      <x:c r="P603" s="32" t="e">
        <x:f>IF(A603=1,Dashboard!$F$14,T602)</x:f>
      </x:c>
      <x:c r="Q603" s="32" t="e">
        <x:f>IF(A603&lt;=Dashboard!$F$17,MIN(P603,$B$6*52/12),0)</x:f>
      </x:c>
      <x:c r="R603" s="32" t="e">
        <x:f>IF(A603&lt;=Dashboard!$F$17,MAX(0,P603-Q603)*Dashboard!$F$6,0)</x:f>
      </x:c>
      <x:c r="S603" s="32" t="e">
        <x:f>IF(A603&lt;=Dashboard!$F$17,MIN(Dashboard!$F$10,MAX(0,P603-Q603)+R603),0)</x:f>
      </x:c>
      <x:c r="T603" s="32" t="e">
        <x:f>IF(A603&lt;=Dashboard!$F$17,MAX(0,P603-Q603-MAX(0,S603-R603)),0)</x:f>
      </x:c>
      <x:c r="U603" s="32" t="e">
        <x:f>IF(A603=1,R603,U602+R603)</x:f>
      </x:c>
      <x:c r="V603" s="32"/>
      <x:c r="W603" s="32" t="e">
        <x:f>IF(A603=1,Dashboard!$F$14,AA602)</x:f>
      </x:c>
      <x:c r="X603" s="32" t="e">
        <x:f>IF(AND(A603&lt;=Dashboard!$F$17,MOD(A603-1,12)=0),MIN(W603,$B$7),0)</x:f>
      </x:c>
      <x:c r="Y603" s="32" t="e">
        <x:f>IF(A603&lt;=Dashboard!$F$17,MAX(0,W603-X603)*Dashboard!$F$6,0)</x:f>
      </x:c>
      <x:c r="Z603" s="32" t="e">
        <x:f>IF(A603&lt;=Dashboard!$F$17,MIN(Dashboard!$F$10,MAX(0,W603-X603)+Y603),0)</x:f>
      </x:c>
      <x:c r="AA603" s="32" t="e">
        <x:f>IF(A603&lt;=Dashboard!$F$17,MAX(0,W603-X603-MAX(0,Z603-Y603)),0)</x:f>
      </x:c>
      <x:c r="AB603" s="32" t="e">
        <x:f>IF(A603=1,Y603,AB602+Y603)</x:f>
      </x:c>
      <x:c r="AC603" s="32"/>
      <x:c r="AD603" s="32" t="e">
        <x:f>IF(A603=1,MAX(0,Dashboard!$F$14-$B$8),AG602)</x:f>
      </x:c>
      <x:c r="AE603" s="32" t="n">
        <x:f>0</x:f>
        <x:v>0</x:v>
      </x:c>
      <x:c r="AF603" s="32" t="e">
        <x:f>IF(A603&lt;=Dashboard!$F$17,AD603*Dashboard!$F$6,0)</x:f>
      </x:c>
      <x:c r="AG603" s="32" t="e">
        <x:f>IF(A603&lt;=Dashboard!$F$17,MIN(Dashboard!$F$10,AD603+AF603),0)</x:f>
      </x:c>
      <x:c r="AH603" s="32" t="e">
        <x:f>IF(A603&lt;=Dashboard!$F$17,MAX(0,AD603-MAX(0,AG603-AF603)),0)</x:f>
      </x:c>
      <x:c r="AI603" s="32" t="e">
        <x:f>IF(A603=1,AF603,AI602+AF603)</x:f>
      </x:c>
      <x:c r="AJ603" s="33"/>
      <x:c r="AK603" s="33"/>
      <x:c r="AL603" s="33"/>
      <x:c r="AM603" s="33"/>
    </x:row>
    <x:row r="604">
      <x:c r="A604" s="33" t="n">
        <x:v>592</x:v>
      </x:c>
      <x:c r="B604" s="32" t="e">
        <x:f>IF(A604=1,Dashboard!$F$14,F603)</x:f>
      </x:c>
      <x:c r="C604" s="32" t="n">
        <x:f>0</x:f>
        <x:v>0</x:v>
      </x:c>
      <x:c r="D604" s="32" t="e">
        <x:f>IF(A604&lt;=Dashboard!$F$15,B604*Dashboard!$F$6,0)</x:f>
      </x:c>
      <x:c r="E604" s="32" t="e">
        <x:f>IF(A604&lt;=Dashboard!$F$15,MIN(Dashboard!$F$10,B604+D604),0)</x:f>
      </x:c>
      <x:c r="F604" s="32" t="e">
        <x:f>IF(A604&lt;=Dashboard!$F$15,MAX(0,B604-MAX(0,E604-D604)),0)</x:f>
      </x:c>
      <x:c r="G604" s="32" t="e">
        <x:f>IF(A604=1,D604,G603+D604)</x:f>
      </x:c>
      <x:c r="H604" s="32"/>
      <x:c r="I604" s="32" t="e">
        <x:f>IF(A604=1,Dashboard!$F$14,M603)</x:f>
      </x:c>
      <x:c r="J604" s="32" t="e">
        <x:f>IF(A604&lt;=Dashboard!$F$17,MIN(I604,$B$5),0)</x:f>
      </x:c>
      <x:c r="K604" s="32" t="e">
        <x:f>IF(A604&lt;=Dashboard!$F$17,MAX(0,I604-J604)*Dashboard!$F$6,0)</x:f>
      </x:c>
      <x:c r="L604" s="32" t="e">
        <x:f>IF(A604&lt;=Dashboard!$F$17,MIN(Dashboard!$F$10,MAX(0,I604-J604)+K604),0)</x:f>
      </x:c>
      <x:c r="M604" s="32" t="e">
        <x:f>IF(A604&lt;=Dashboard!$F$17,MAX(0,I604-J604-MAX(0,L604-K604)),0)</x:f>
      </x:c>
      <x:c r="N604" s="32" t="e">
        <x:f>IF(A604=1,K604,N603+K604)</x:f>
      </x:c>
      <x:c r="O604" s="32"/>
      <x:c r="P604" s="32" t="e">
        <x:f>IF(A604=1,Dashboard!$F$14,T603)</x:f>
      </x:c>
      <x:c r="Q604" s="32" t="e">
        <x:f>IF(A604&lt;=Dashboard!$F$17,MIN(P604,$B$6*52/12),0)</x:f>
      </x:c>
      <x:c r="R604" s="32" t="e">
        <x:f>IF(A604&lt;=Dashboard!$F$17,MAX(0,P604-Q604)*Dashboard!$F$6,0)</x:f>
      </x:c>
      <x:c r="S604" s="32" t="e">
        <x:f>IF(A604&lt;=Dashboard!$F$17,MIN(Dashboard!$F$10,MAX(0,P604-Q604)+R604),0)</x:f>
      </x:c>
      <x:c r="T604" s="32" t="e">
        <x:f>IF(A604&lt;=Dashboard!$F$17,MAX(0,P604-Q604-MAX(0,S604-R604)),0)</x:f>
      </x:c>
      <x:c r="U604" s="32" t="e">
        <x:f>IF(A604=1,R604,U603+R604)</x:f>
      </x:c>
      <x:c r="V604" s="32"/>
      <x:c r="W604" s="32" t="e">
        <x:f>IF(A604=1,Dashboard!$F$14,AA603)</x:f>
      </x:c>
      <x:c r="X604" s="32" t="e">
        <x:f>IF(AND(A604&lt;=Dashboard!$F$17,MOD(A604-1,12)=0),MIN(W604,$B$7),0)</x:f>
      </x:c>
      <x:c r="Y604" s="32" t="e">
        <x:f>IF(A604&lt;=Dashboard!$F$17,MAX(0,W604-X604)*Dashboard!$F$6,0)</x:f>
      </x:c>
      <x:c r="Z604" s="32" t="e">
        <x:f>IF(A604&lt;=Dashboard!$F$17,MIN(Dashboard!$F$10,MAX(0,W604-X604)+Y604),0)</x:f>
      </x:c>
      <x:c r="AA604" s="32" t="e">
        <x:f>IF(A604&lt;=Dashboard!$F$17,MAX(0,W604-X604-MAX(0,Z604-Y604)),0)</x:f>
      </x:c>
      <x:c r="AB604" s="32" t="e">
        <x:f>IF(A604=1,Y604,AB603+Y604)</x:f>
      </x:c>
      <x:c r="AC604" s="32"/>
      <x:c r="AD604" s="32" t="e">
        <x:f>IF(A604=1,MAX(0,Dashboard!$F$14-$B$8),AG603)</x:f>
      </x:c>
      <x:c r="AE604" s="32" t="n">
        <x:f>0</x:f>
        <x:v>0</x:v>
      </x:c>
      <x:c r="AF604" s="32" t="e">
        <x:f>IF(A604&lt;=Dashboard!$F$17,AD604*Dashboard!$F$6,0)</x:f>
      </x:c>
      <x:c r="AG604" s="32" t="e">
        <x:f>IF(A604&lt;=Dashboard!$F$17,MIN(Dashboard!$F$10,AD604+AF604),0)</x:f>
      </x:c>
      <x:c r="AH604" s="32" t="e">
        <x:f>IF(A604&lt;=Dashboard!$F$17,MAX(0,AD604-MAX(0,AG604-AF604)),0)</x:f>
      </x:c>
      <x:c r="AI604" s="32" t="e">
        <x:f>IF(A604=1,AF604,AI603+AF604)</x:f>
      </x:c>
      <x:c r="AJ604" s="33"/>
      <x:c r="AK604" s="33"/>
      <x:c r="AL604" s="33"/>
      <x:c r="AM604" s="33"/>
    </x:row>
    <x:row r="605">
      <x:c r="A605" s="33" t="n">
        <x:v>593</x:v>
      </x:c>
      <x:c r="B605" s="32" t="e">
        <x:f>IF(A605=1,Dashboard!$F$14,F604)</x:f>
      </x:c>
      <x:c r="C605" s="32" t="n">
        <x:f>0</x:f>
        <x:v>0</x:v>
      </x:c>
      <x:c r="D605" s="32" t="e">
        <x:f>IF(A605&lt;=Dashboard!$F$15,B605*Dashboard!$F$6,0)</x:f>
      </x:c>
      <x:c r="E605" s="32" t="e">
        <x:f>IF(A605&lt;=Dashboard!$F$15,MIN(Dashboard!$F$10,B605+D605),0)</x:f>
      </x:c>
      <x:c r="F605" s="32" t="e">
        <x:f>IF(A605&lt;=Dashboard!$F$15,MAX(0,B605-MAX(0,E605-D605)),0)</x:f>
      </x:c>
      <x:c r="G605" s="32" t="e">
        <x:f>IF(A605=1,D605,G604+D605)</x:f>
      </x:c>
      <x:c r="H605" s="32"/>
      <x:c r="I605" s="32" t="e">
        <x:f>IF(A605=1,Dashboard!$F$14,M604)</x:f>
      </x:c>
      <x:c r="J605" s="32" t="e">
        <x:f>IF(A605&lt;=Dashboard!$F$17,MIN(I605,$B$5),0)</x:f>
      </x:c>
      <x:c r="K605" s="32" t="e">
        <x:f>IF(A605&lt;=Dashboard!$F$17,MAX(0,I605-J605)*Dashboard!$F$6,0)</x:f>
      </x:c>
      <x:c r="L605" s="32" t="e">
        <x:f>IF(A605&lt;=Dashboard!$F$17,MIN(Dashboard!$F$10,MAX(0,I605-J605)+K605),0)</x:f>
      </x:c>
      <x:c r="M605" s="32" t="e">
        <x:f>IF(A605&lt;=Dashboard!$F$17,MAX(0,I605-J605-MAX(0,L605-K605)),0)</x:f>
      </x:c>
      <x:c r="N605" s="32" t="e">
        <x:f>IF(A605=1,K605,N604+K605)</x:f>
      </x:c>
      <x:c r="O605" s="32"/>
      <x:c r="P605" s="32" t="e">
        <x:f>IF(A605=1,Dashboard!$F$14,T604)</x:f>
      </x:c>
      <x:c r="Q605" s="32" t="e">
        <x:f>IF(A605&lt;=Dashboard!$F$17,MIN(P605,$B$6*52/12),0)</x:f>
      </x:c>
      <x:c r="R605" s="32" t="e">
        <x:f>IF(A605&lt;=Dashboard!$F$17,MAX(0,P605-Q605)*Dashboard!$F$6,0)</x:f>
      </x:c>
      <x:c r="S605" s="32" t="e">
        <x:f>IF(A605&lt;=Dashboard!$F$17,MIN(Dashboard!$F$10,MAX(0,P605-Q605)+R605),0)</x:f>
      </x:c>
      <x:c r="T605" s="32" t="e">
        <x:f>IF(A605&lt;=Dashboard!$F$17,MAX(0,P605-Q605-MAX(0,S605-R605)),0)</x:f>
      </x:c>
      <x:c r="U605" s="32" t="e">
        <x:f>IF(A605=1,R605,U604+R605)</x:f>
      </x:c>
      <x:c r="V605" s="32"/>
      <x:c r="W605" s="32" t="e">
        <x:f>IF(A605=1,Dashboard!$F$14,AA604)</x:f>
      </x:c>
      <x:c r="X605" s="32" t="e">
        <x:f>IF(AND(A605&lt;=Dashboard!$F$17,MOD(A605-1,12)=0),MIN(W605,$B$7),0)</x:f>
      </x:c>
      <x:c r="Y605" s="32" t="e">
        <x:f>IF(A605&lt;=Dashboard!$F$17,MAX(0,W605-X605)*Dashboard!$F$6,0)</x:f>
      </x:c>
      <x:c r="Z605" s="32" t="e">
        <x:f>IF(A605&lt;=Dashboard!$F$17,MIN(Dashboard!$F$10,MAX(0,W605-X605)+Y605),0)</x:f>
      </x:c>
      <x:c r="AA605" s="32" t="e">
        <x:f>IF(A605&lt;=Dashboard!$F$17,MAX(0,W605-X605-MAX(0,Z605-Y605)),0)</x:f>
      </x:c>
      <x:c r="AB605" s="32" t="e">
        <x:f>IF(A605=1,Y605,AB604+Y605)</x:f>
      </x:c>
      <x:c r="AC605" s="32"/>
      <x:c r="AD605" s="32" t="e">
        <x:f>IF(A605=1,MAX(0,Dashboard!$F$14-$B$8),AG604)</x:f>
      </x:c>
      <x:c r="AE605" s="32" t="n">
        <x:f>0</x:f>
        <x:v>0</x:v>
      </x:c>
      <x:c r="AF605" s="32" t="e">
        <x:f>IF(A605&lt;=Dashboard!$F$17,AD605*Dashboard!$F$6,0)</x:f>
      </x:c>
      <x:c r="AG605" s="32" t="e">
        <x:f>IF(A605&lt;=Dashboard!$F$17,MIN(Dashboard!$F$10,AD605+AF605),0)</x:f>
      </x:c>
      <x:c r="AH605" s="32" t="e">
        <x:f>IF(A605&lt;=Dashboard!$F$17,MAX(0,AD605-MAX(0,AG605-AF605)),0)</x:f>
      </x:c>
      <x:c r="AI605" s="32" t="e">
        <x:f>IF(A605=1,AF605,AI604+AF605)</x:f>
      </x:c>
      <x:c r="AJ605" s="33"/>
      <x:c r="AK605" s="33"/>
      <x:c r="AL605" s="33"/>
      <x:c r="AM605" s="33"/>
    </x:row>
    <x:row r="606">
      <x:c r="A606" s="33" t="n">
        <x:v>594</x:v>
      </x:c>
      <x:c r="B606" s="32" t="e">
        <x:f>IF(A606=1,Dashboard!$F$14,F605)</x:f>
      </x:c>
      <x:c r="C606" s="32" t="n">
        <x:f>0</x:f>
        <x:v>0</x:v>
      </x:c>
      <x:c r="D606" s="32" t="e">
        <x:f>IF(A606&lt;=Dashboard!$F$15,B606*Dashboard!$F$6,0)</x:f>
      </x:c>
      <x:c r="E606" s="32" t="e">
        <x:f>IF(A606&lt;=Dashboard!$F$15,MIN(Dashboard!$F$10,B606+D606),0)</x:f>
      </x:c>
      <x:c r="F606" s="32" t="e">
        <x:f>IF(A606&lt;=Dashboard!$F$15,MAX(0,B606-MAX(0,E606-D606)),0)</x:f>
      </x:c>
      <x:c r="G606" s="32" t="e">
        <x:f>IF(A606=1,D606,G605+D606)</x:f>
      </x:c>
      <x:c r="H606" s="32"/>
      <x:c r="I606" s="32" t="e">
        <x:f>IF(A606=1,Dashboard!$F$14,M605)</x:f>
      </x:c>
      <x:c r="J606" s="32" t="e">
        <x:f>IF(A606&lt;=Dashboard!$F$17,MIN(I606,$B$5),0)</x:f>
      </x:c>
      <x:c r="K606" s="32" t="e">
        <x:f>IF(A606&lt;=Dashboard!$F$17,MAX(0,I606-J606)*Dashboard!$F$6,0)</x:f>
      </x:c>
      <x:c r="L606" s="32" t="e">
        <x:f>IF(A606&lt;=Dashboard!$F$17,MIN(Dashboard!$F$10,MAX(0,I606-J606)+K606),0)</x:f>
      </x:c>
      <x:c r="M606" s="32" t="e">
        <x:f>IF(A606&lt;=Dashboard!$F$17,MAX(0,I606-J606-MAX(0,L606-K606)),0)</x:f>
      </x:c>
      <x:c r="N606" s="32" t="e">
        <x:f>IF(A606=1,K606,N605+K606)</x:f>
      </x:c>
      <x:c r="O606" s="32"/>
      <x:c r="P606" s="32" t="e">
        <x:f>IF(A606=1,Dashboard!$F$14,T605)</x:f>
      </x:c>
      <x:c r="Q606" s="32" t="e">
        <x:f>IF(A606&lt;=Dashboard!$F$17,MIN(P606,$B$6*52/12),0)</x:f>
      </x:c>
      <x:c r="R606" s="32" t="e">
        <x:f>IF(A606&lt;=Dashboard!$F$17,MAX(0,P606-Q606)*Dashboard!$F$6,0)</x:f>
      </x:c>
      <x:c r="S606" s="32" t="e">
        <x:f>IF(A606&lt;=Dashboard!$F$17,MIN(Dashboard!$F$10,MAX(0,P606-Q606)+R606),0)</x:f>
      </x:c>
      <x:c r="T606" s="32" t="e">
        <x:f>IF(A606&lt;=Dashboard!$F$17,MAX(0,P606-Q606-MAX(0,S606-R606)),0)</x:f>
      </x:c>
      <x:c r="U606" s="32" t="e">
        <x:f>IF(A606=1,R606,U605+R606)</x:f>
      </x:c>
      <x:c r="V606" s="32"/>
      <x:c r="W606" s="32" t="e">
        <x:f>IF(A606=1,Dashboard!$F$14,AA605)</x:f>
      </x:c>
      <x:c r="X606" s="32" t="e">
        <x:f>IF(AND(A606&lt;=Dashboard!$F$17,MOD(A606-1,12)=0),MIN(W606,$B$7),0)</x:f>
      </x:c>
      <x:c r="Y606" s="32" t="e">
        <x:f>IF(A606&lt;=Dashboard!$F$17,MAX(0,W606-X606)*Dashboard!$F$6,0)</x:f>
      </x:c>
      <x:c r="Z606" s="32" t="e">
        <x:f>IF(A606&lt;=Dashboard!$F$17,MIN(Dashboard!$F$10,MAX(0,W606-X606)+Y606),0)</x:f>
      </x:c>
      <x:c r="AA606" s="32" t="e">
        <x:f>IF(A606&lt;=Dashboard!$F$17,MAX(0,W606-X606-MAX(0,Z606-Y606)),0)</x:f>
      </x:c>
      <x:c r="AB606" s="32" t="e">
        <x:f>IF(A606=1,Y606,AB605+Y606)</x:f>
      </x:c>
      <x:c r="AC606" s="32"/>
      <x:c r="AD606" s="32" t="e">
        <x:f>IF(A606=1,MAX(0,Dashboard!$F$14-$B$8),AG605)</x:f>
      </x:c>
      <x:c r="AE606" s="32" t="n">
        <x:f>0</x:f>
        <x:v>0</x:v>
      </x:c>
      <x:c r="AF606" s="32" t="e">
        <x:f>IF(A606&lt;=Dashboard!$F$17,AD606*Dashboard!$F$6,0)</x:f>
      </x:c>
      <x:c r="AG606" s="32" t="e">
        <x:f>IF(A606&lt;=Dashboard!$F$17,MIN(Dashboard!$F$10,AD606+AF606),0)</x:f>
      </x:c>
      <x:c r="AH606" s="32" t="e">
        <x:f>IF(A606&lt;=Dashboard!$F$17,MAX(0,AD606-MAX(0,AG606-AF606)),0)</x:f>
      </x:c>
      <x:c r="AI606" s="32" t="e">
        <x:f>IF(A606=1,AF606,AI605+AF606)</x:f>
      </x:c>
      <x:c r="AJ606" s="33"/>
      <x:c r="AK606" s="33"/>
      <x:c r="AL606" s="33"/>
      <x:c r="AM606" s="33"/>
    </x:row>
    <x:row r="607">
      <x:c r="A607" s="33" t="n">
        <x:v>595</x:v>
      </x:c>
      <x:c r="B607" s="32" t="e">
        <x:f>IF(A607=1,Dashboard!$F$14,F606)</x:f>
      </x:c>
      <x:c r="C607" s="32" t="n">
        <x:f>0</x:f>
        <x:v>0</x:v>
      </x:c>
      <x:c r="D607" s="32" t="e">
        <x:f>IF(A607&lt;=Dashboard!$F$15,B607*Dashboard!$F$6,0)</x:f>
      </x:c>
      <x:c r="E607" s="32" t="e">
        <x:f>IF(A607&lt;=Dashboard!$F$15,MIN(Dashboard!$F$10,B607+D607),0)</x:f>
      </x:c>
      <x:c r="F607" s="32" t="e">
        <x:f>IF(A607&lt;=Dashboard!$F$15,MAX(0,B607-MAX(0,E607-D607)),0)</x:f>
      </x:c>
      <x:c r="G607" s="32" t="e">
        <x:f>IF(A607=1,D607,G606+D607)</x:f>
      </x:c>
      <x:c r="H607" s="32"/>
      <x:c r="I607" s="32" t="e">
        <x:f>IF(A607=1,Dashboard!$F$14,M606)</x:f>
      </x:c>
      <x:c r="J607" s="32" t="e">
        <x:f>IF(A607&lt;=Dashboard!$F$17,MIN(I607,$B$5),0)</x:f>
      </x:c>
      <x:c r="K607" s="32" t="e">
        <x:f>IF(A607&lt;=Dashboard!$F$17,MAX(0,I607-J607)*Dashboard!$F$6,0)</x:f>
      </x:c>
      <x:c r="L607" s="32" t="e">
        <x:f>IF(A607&lt;=Dashboard!$F$17,MIN(Dashboard!$F$10,MAX(0,I607-J607)+K607),0)</x:f>
      </x:c>
      <x:c r="M607" s="32" t="e">
        <x:f>IF(A607&lt;=Dashboard!$F$17,MAX(0,I607-J607-MAX(0,L607-K607)),0)</x:f>
      </x:c>
      <x:c r="N607" s="32" t="e">
        <x:f>IF(A607=1,K607,N606+K607)</x:f>
      </x:c>
      <x:c r="O607" s="32"/>
      <x:c r="P607" s="32" t="e">
        <x:f>IF(A607=1,Dashboard!$F$14,T606)</x:f>
      </x:c>
      <x:c r="Q607" s="32" t="e">
        <x:f>IF(A607&lt;=Dashboard!$F$17,MIN(P607,$B$6*52/12),0)</x:f>
      </x:c>
      <x:c r="R607" s="32" t="e">
        <x:f>IF(A607&lt;=Dashboard!$F$17,MAX(0,P607-Q607)*Dashboard!$F$6,0)</x:f>
      </x:c>
      <x:c r="S607" s="32" t="e">
        <x:f>IF(A607&lt;=Dashboard!$F$17,MIN(Dashboard!$F$10,MAX(0,P607-Q607)+R607),0)</x:f>
      </x:c>
      <x:c r="T607" s="32" t="e">
        <x:f>IF(A607&lt;=Dashboard!$F$17,MAX(0,P607-Q607-MAX(0,S607-R607)),0)</x:f>
      </x:c>
      <x:c r="U607" s="32" t="e">
        <x:f>IF(A607=1,R607,U606+R607)</x:f>
      </x:c>
      <x:c r="V607" s="32"/>
      <x:c r="W607" s="32" t="e">
        <x:f>IF(A607=1,Dashboard!$F$14,AA606)</x:f>
      </x:c>
      <x:c r="X607" s="32" t="e">
        <x:f>IF(AND(A607&lt;=Dashboard!$F$17,MOD(A607-1,12)=0),MIN(W607,$B$7),0)</x:f>
      </x:c>
      <x:c r="Y607" s="32" t="e">
        <x:f>IF(A607&lt;=Dashboard!$F$17,MAX(0,W607-X607)*Dashboard!$F$6,0)</x:f>
      </x:c>
      <x:c r="Z607" s="32" t="e">
        <x:f>IF(A607&lt;=Dashboard!$F$17,MIN(Dashboard!$F$10,MAX(0,W607-X607)+Y607),0)</x:f>
      </x:c>
      <x:c r="AA607" s="32" t="e">
        <x:f>IF(A607&lt;=Dashboard!$F$17,MAX(0,W607-X607-MAX(0,Z607-Y607)),0)</x:f>
      </x:c>
      <x:c r="AB607" s="32" t="e">
        <x:f>IF(A607=1,Y607,AB606+Y607)</x:f>
      </x:c>
      <x:c r="AC607" s="32"/>
      <x:c r="AD607" s="32" t="e">
        <x:f>IF(A607=1,MAX(0,Dashboard!$F$14-$B$8),AG606)</x:f>
      </x:c>
      <x:c r="AE607" s="32" t="n">
        <x:f>0</x:f>
        <x:v>0</x:v>
      </x:c>
      <x:c r="AF607" s="32" t="e">
        <x:f>IF(A607&lt;=Dashboard!$F$17,AD607*Dashboard!$F$6,0)</x:f>
      </x:c>
      <x:c r="AG607" s="32" t="e">
        <x:f>IF(A607&lt;=Dashboard!$F$17,MIN(Dashboard!$F$10,AD607+AF607),0)</x:f>
      </x:c>
      <x:c r="AH607" s="32" t="e">
        <x:f>IF(A607&lt;=Dashboard!$F$17,MAX(0,AD607-MAX(0,AG607-AF607)),0)</x:f>
      </x:c>
      <x:c r="AI607" s="32" t="e">
        <x:f>IF(A607=1,AF607,AI606+AF607)</x:f>
      </x:c>
      <x:c r="AJ607" s="33"/>
      <x:c r="AK607" s="33"/>
      <x:c r="AL607" s="33"/>
      <x:c r="AM607" s="33"/>
    </x:row>
    <x:row r="608">
      <x:c r="A608" s="33" t="n">
        <x:v>596</x:v>
      </x:c>
      <x:c r="B608" s="32" t="e">
        <x:f>IF(A608=1,Dashboard!$F$14,F607)</x:f>
      </x:c>
      <x:c r="C608" s="32" t="n">
        <x:f>0</x:f>
        <x:v>0</x:v>
      </x:c>
      <x:c r="D608" s="32" t="e">
        <x:f>IF(A608&lt;=Dashboard!$F$15,B608*Dashboard!$F$6,0)</x:f>
      </x:c>
      <x:c r="E608" s="32" t="e">
        <x:f>IF(A608&lt;=Dashboard!$F$15,MIN(Dashboard!$F$10,B608+D608),0)</x:f>
      </x:c>
      <x:c r="F608" s="32" t="e">
        <x:f>IF(A608&lt;=Dashboard!$F$15,MAX(0,B608-MAX(0,E608-D608)),0)</x:f>
      </x:c>
      <x:c r="G608" s="32" t="e">
        <x:f>IF(A608=1,D608,G607+D608)</x:f>
      </x:c>
      <x:c r="H608" s="32"/>
      <x:c r="I608" s="32" t="e">
        <x:f>IF(A608=1,Dashboard!$F$14,M607)</x:f>
      </x:c>
      <x:c r="J608" s="32" t="e">
        <x:f>IF(A608&lt;=Dashboard!$F$17,MIN(I608,$B$5),0)</x:f>
      </x:c>
      <x:c r="K608" s="32" t="e">
        <x:f>IF(A608&lt;=Dashboard!$F$17,MAX(0,I608-J608)*Dashboard!$F$6,0)</x:f>
      </x:c>
      <x:c r="L608" s="32" t="e">
        <x:f>IF(A608&lt;=Dashboard!$F$17,MIN(Dashboard!$F$10,MAX(0,I608-J608)+K608),0)</x:f>
      </x:c>
      <x:c r="M608" s="32" t="e">
        <x:f>IF(A608&lt;=Dashboard!$F$17,MAX(0,I608-J608-MAX(0,L608-K608)),0)</x:f>
      </x:c>
      <x:c r="N608" s="32" t="e">
        <x:f>IF(A608=1,K608,N607+K608)</x:f>
      </x:c>
      <x:c r="O608" s="32"/>
      <x:c r="P608" s="32" t="e">
        <x:f>IF(A608=1,Dashboard!$F$14,T607)</x:f>
      </x:c>
      <x:c r="Q608" s="32" t="e">
        <x:f>IF(A608&lt;=Dashboard!$F$17,MIN(P608,$B$6*52/12),0)</x:f>
      </x:c>
      <x:c r="R608" s="32" t="e">
        <x:f>IF(A608&lt;=Dashboard!$F$17,MAX(0,P608-Q608)*Dashboard!$F$6,0)</x:f>
      </x:c>
      <x:c r="S608" s="32" t="e">
        <x:f>IF(A608&lt;=Dashboard!$F$17,MIN(Dashboard!$F$10,MAX(0,P608-Q608)+R608),0)</x:f>
      </x:c>
      <x:c r="T608" s="32" t="e">
        <x:f>IF(A608&lt;=Dashboard!$F$17,MAX(0,P608-Q608-MAX(0,S608-R608)),0)</x:f>
      </x:c>
      <x:c r="U608" s="32" t="e">
        <x:f>IF(A608=1,R608,U607+R608)</x:f>
      </x:c>
      <x:c r="V608" s="32"/>
      <x:c r="W608" s="32" t="e">
        <x:f>IF(A608=1,Dashboard!$F$14,AA607)</x:f>
      </x:c>
      <x:c r="X608" s="32" t="e">
        <x:f>IF(AND(A608&lt;=Dashboard!$F$17,MOD(A608-1,12)=0),MIN(W608,$B$7),0)</x:f>
      </x:c>
      <x:c r="Y608" s="32" t="e">
        <x:f>IF(A608&lt;=Dashboard!$F$17,MAX(0,W608-X608)*Dashboard!$F$6,0)</x:f>
      </x:c>
      <x:c r="Z608" s="32" t="e">
        <x:f>IF(A608&lt;=Dashboard!$F$17,MIN(Dashboard!$F$10,MAX(0,W608-X608)+Y608),0)</x:f>
      </x:c>
      <x:c r="AA608" s="32" t="e">
        <x:f>IF(A608&lt;=Dashboard!$F$17,MAX(0,W608-X608-MAX(0,Z608-Y608)),0)</x:f>
      </x:c>
      <x:c r="AB608" s="32" t="e">
        <x:f>IF(A608=1,Y608,AB607+Y608)</x:f>
      </x:c>
      <x:c r="AC608" s="32"/>
      <x:c r="AD608" s="32" t="e">
        <x:f>IF(A608=1,MAX(0,Dashboard!$F$14-$B$8),AG607)</x:f>
      </x:c>
      <x:c r="AE608" s="32" t="n">
        <x:f>0</x:f>
        <x:v>0</x:v>
      </x:c>
      <x:c r="AF608" s="32" t="e">
        <x:f>IF(A608&lt;=Dashboard!$F$17,AD608*Dashboard!$F$6,0)</x:f>
      </x:c>
      <x:c r="AG608" s="32" t="e">
        <x:f>IF(A608&lt;=Dashboard!$F$17,MIN(Dashboard!$F$10,AD608+AF608),0)</x:f>
      </x:c>
      <x:c r="AH608" s="32" t="e">
        <x:f>IF(A608&lt;=Dashboard!$F$17,MAX(0,AD608-MAX(0,AG608-AF608)),0)</x:f>
      </x:c>
      <x:c r="AI608" s="32" t="e">
        <x:f>IF(A608=1,AF608,AI607+AF608)</x:f>
      </x:c>
      <x:c r="AJ608" s="33"/>
      <x:c r="AK608" s="33"/>
      <x:c r="AL608" s="33"/>
      <x:c r="AM608" s="33"/>
    </x:row>
    <x:row r="609">
      <x:c r="A609" s="33" t="n">
        <x:v>597</x:v>
      </x:c>
      <x:c r="B609" s="32" t="e">
        <x:f>IF(A609=1,Dashboard!$F$14,F608)</x:f>
      </x:c>
      <x:c r="C609" s="32" t="n">
        <x:f>0</x:f>
        <x:v>0</x:v>
      </x:c>
      <x:c r="D609" s="32" t="e">
        <x:f>IF(A609&lt;=Dashboard!$F$15,B609*Dashboard!$F$6,0)</x:f>
      </x:c>
      <x:c r="E609" s="32" t="e">
        <x:f>IF(A609&lt;=Dashboard!$F$15,MIN(Dashboard!$F$10,B609+D609),0)</x:f>
      </x:c>
      <x:c r="F609" s="32" t="e">
        <x:f>IF(A609&lt;=Dashboard!$F$15,MAX(0,B609-MAX(0,E609-D609)),0)</x:f>
      </x:c>
      <x:c r="G609" s="32" t="e">
        <x:f>IF(A609=1,D609,G608+D609)</x:f>
      </x:c>
      <x:c r="H609" s="32"/>
      <x:c r="I609" s="32" t="e">
        <x:f>IF(A609=1,Dashboard!$F$14,M608)</x:f>
      </x:c>
      <x:c r="J609" s="32" t="e">
        <x:f>IF(A609&lt;=Dashboard!$F$17,MIN(I609,$B$5),0)</x:f>
      </x:c>
      <x:c r="K609" s="32" t="e">
        <x:f>IF(A609&lt;=Dashboard!$F$17,MAX(0,I609-J609)*Dashboard!$F$6,0)</x:f>
      </x:c>
      <x:c r="L609" s="32" t="e">
        <x:f>IF(A609&lt;=Dashboard!$F$17,MIN(Dashboard!$F$10,MAX(0,I609-J609)+K609),0)</x:f>
      </x:c>
      <x:c r="M609" s="32" t="e">
        <x:f>IF(A609&lt;=Dashboard!$F$17,MAX(0,I609-J609-MAX(0,L609-K609)),0)</x:f>
      </x:c>
      <x:c r="N609" s="32" t="e">
        <x:f>IF(A609=1,K609,N608+K609)</x:f>
      </x:c>
      <x:c r="O609" s="32"/>
      <x:c r="P609" s="32" t="e">
        <x:f>IF(A609=1,Dashboard!$F$14,T608)</x:f>
      </x:c>
      <x:c r="Q609" s="32" t="e">
        <x:f>IF(A609&lt;=Dashboard!$F$17,MIN(P609,$B$6*52/12),0)</x:f>
      </x:c>
      <x:c r="R609" s="32" t="e">
        <x:f>IF(A609&lt;=Dashboard!$F$17,MAX(0,P609-Q609)*Dashboard!$F$6,0)</x:f>
      </x:c>
      <x:c r="S609" s="32" t="e">
        <x:f>IF(A609&lt;=Dashboard!$F$17,MIN(Dashboard!$F$10,MAX(0,P609-Q609)+R609),0)</x:f>
      </x:c>
      <x:c r="T609" s="32" t="e">
        <x:f>IF(A609&lt;=Dashboard!$F$17,MAX(0,P609-Q609-MAX(0,S609-R609)),0)</x:f>
      </x:c>
      <x:c r="U609" s="32" t="e">
        <x:f>IF(A609=1,R609,U608+R609)</x:f>
      </x:c>
      <x:c r="V609" s="32"/>
      <x:c r="W609" s="32" t="e">
        <x:f>IF(A609=1,Dashboard!$F$14,AA608)</x:f>
      </x:c>
      <x:c r="X609" s="32" t="e">
        <x:f>IF(AND(A609&lt;=Dashboard!$F$17,MOD(A609-1,12)=0),MIN(W609,$B$7),0)</x:f>
      </x:c>
      <x:c r="Y609" s="32" t="e">
        <x:f>IF(A609&lt;=Dashboard!$F$17,MAX(0,W609-X609)*Dashboard!$F$6,0)</x:f>
      </x:c>
      <x:c r="Z609" s="32" t="e">
        <x:f>IF(A609&lt;=Dashboard!$F$17,MIN(Dashboard!$F$10,MAX(0,W609-X609)+Y609),0)</x:f>
      </x:c>
      <x:c r="AA609" s="32" t="e">
        <x:f>IF(A609&lt;=Dashboard!$F$17,MAX(0,W609-X609-MAX(0,Z609-Y609)),0)</x:f>
      </x:c>
      <x:c r="AB609" s="32" t="e">
        <x:f>IF(A609=1,Y609,AB608+Y609)</x:f>
      </x:c>
      <x:c r="AC609" s="32"/>
      <x:c r="AD609" s="32" t="e">
        <x:f>IF(A609=1,MAX(0,Dashboard!$F$14-$B$8),AG608)</x:f>
      </x:c>
      <x:c r="AE609" s="32" t="n">
        <x:f>0</x:f>
        <x:v>0</x:v>
      </x:c>
      <x:c r="AF609" s="32" t="e">
        <x:f>IF(A609&lt;=Dashboard!$F$17,AD609*Dashboard!$F$6,0)</x:f>
      </x:c>
      <x:c r="AG609" s="32" t="e">
        <x:f>IF(A609&lt;=Dashboard!$F$17,MIN(Dashboard!$F$10,AD609+AF609),0)</x:f>
      </x:c>
      <x:c r="AH609" s="32" t="e">
        <x:f>IF(A609&lt;=Dashboard!$F$17,MAX(0,AD609-MAX(0,AG609-AF609)),0)</x:f>
      </x:c>
      <x:c r="AI609" s="32" t="e">
        <x:f>IF(A609=1,AF609,AI608+AF609)</x:f>
      </x:c>
      <x:c r="AJ609" s="33"/>
      <x:c r="AK609" s="33"/>
      <x:c r="AL609" s="33"/>
      <x:c r="AM609" s="33"/>
    </x:row>
    <x:row r="610">
      <x:c r="A610" s="33" t="n">
        <x:v>598</x:v>
      </x:c>
      <x:c r="B610" s="32" t="e">
        <x:f>IF(A610=1,Dashboard!$F$14,F609)</x:f>
      </x:c>
      <x:c r="C610" s="32" t="n">
        <x:f>0</x:f>
        <x:v>0</x:v>
      </x:c>
      <x:c r="D610" s="32" t="e">
        <x:f>IF(A610&lt;=Dashboard!$F$15,B610*Dashboard!$F$6,0)</x:f>
      </x:c>
      <x:c r="E610" s="32" t="e">
        <x:f>IF(A610&lt;=Dashboard!$F$15,MIN(Dashboard!$F$10,B610+D610),0)</x:f>
      </x:c>
      <x:c r="F610" s="32" t="e">
        <x:f>IF(A610&lt;=Dashboard!$F$15,MAX(0,B610-MAX(0,E610-D610)),0)</x:f>
      </x:c>
      <x:c r="G610" s="32" t="e">
        <x:f>IF(A610=1,D610,G609+D610)</x:f>
      </x:c>
      <x:c r="H610" s="32"/>
      <x:c r="I610" s="32" t="e">
        <x:f>IF(A610=1,Dashboard!$F$14,M609)</x:f>
      </x:c>
      <x:c r="J610" s="32" t="e">
        <x:f>IF(A610&lt;=Dashboard!$F$17,MIN(I610,$B$5),0)</x:f>
      </x:c>
      <x:c r="K610" s="32" t="e">
        <x:f>IF(A610&lt;=Dashboard!$F$17,MAX(0,I610-J610)*Dashboard!$F$6,0)</x:f>
      </x:c>
      <x:c r="L610" s="32" t="e">
        <x:f>IF(A610&lt;=Dashboard!$F$17,MIN(Dashboard!$F$10,MAX(0,I610-J610)+K610),0)</x:f>
      </x:c>
      <x:c r="M610" s="32" t="e">
        <x:f>IF(A610&lt;=Dashboard!$F$17,MAX(0,I610-J610-MAX(0,L610-K610)),0)</x:f>
      </x:c>
      <x:c r="N610" s="32" t="e">
        <x:f>IF(A610=1,K610,N609+K610)</x:f>
      </x:c>
      <x:c r="O610" s="32"/>
      <x:c r="P610" s="32" t="e">
        <x:f>IF(A610=1,Dashboard!$F$14,T609)</x:f>
      </x:c>
      <x:c r="Q610" s="32" t="e">
        <x:f>IF(A610&lt;=Dashboard!$F$17,MIN(P610,$B$6*52/12),0)</x:f>
      </x:c>
      <x:c r="R610" s="32" t="e">
        <x:f>IF(A610&lt;=Dashboard!$F$17,MAX(0,P610-Q610)*Dashboard!$F$6,0)</x:f>
      </x:c>
      <x:c r="S610" s="32" t="e">
        <x:f>IF(A610&lt;=Dashboard!$F$17,MIN(Dashboard!$F$10,MAX(0,P610-Q610)+R610),0)</x:f>
      </x:c>
      <x:c r="T610" s="32" t="e">
        <x:f>IF(A610&lt;=Dashboard!$F$17,MAX(0,P610-Q610-MAX(0,S610-R610)),0)</x:f>
      </x:c>
      <x:c r="U610" s="32" t="e">
        <x:f>IF(A610=1,R610,U609+R610)</x:f>
      </x:c>
      <x:c r="V610" s="32"/>
      <x:c r="W610" s="32" t="e">
        <x:f>IF(A610=1,Dashboard!$F$14,AA609)</x:f>
      </x:c>
      <x:c r="X610" s="32" t="e">
        <x:f>IF(AND(A610&lt;=Dashboard!$F$17,MOD(A610-1,12)=0),MIN(W610,$B$7),0)</x:f>
      </x:c>
      <x:c r="Y610" s="32" t="e">
        <x:f>IF(A610&lt;=Dashboard!$F$17,MAX(0,W610-X610)*Dashboard!$F$6,0)</x:f>
      </x:c>
      <x:c r="Z610" s="32" t="e">
        <x:f>IF(A610&lt;=Dashboard!$F$17,MIN(Dashboard!$F$10,MAX(0,W610-X610)+Y610),0)</x:f>
      </x:c>
      <x:c r="AA610" s="32" t="e">
        <x:f>IF(A610&lt;=Dashboard!$F$17,MAX(0,W610-X610-MAX(0,Z610-Y610)),0)</x:f>
      </x:c>
      <x:c r="AB610" s="32" t="e">
        <x:f>IF(A610=1,Y610,AB609+Y610)</x:f>
      </x:c>
      <x:c r="AC610" s="32"/>
      <x:c r="AD610" s="32" t="e">
        <x:f>IF(A610=1,MAX(0,Dashboard!$F$14-$B$8),AG609)</x:f>
      </x:c>
      <x:c r="AE610" s="32" t="n">
        <x:f>0</x:f>
        <x:v>0</x:v>
      </x:c>
      <x:c r="AF610" s="32" t="e">
        <x:f>IF(A610&lt;=Dashboard!$F$17,AD610*Dashboard!$F$6,0)</x:f>
      </x:c>
      <x:c r="AG610" s="32" t="e">
        <x:f>IF(A610&lt;=Dashboard!$F$17,MIN(Dashboard!$F$10,AD610+AF610),0)</x:f>
      </x:c>
      <x:c r="AH610" s="32" t="e">
        <x:f>IF(A610&lt;=Dashboard!$F$17,MAX(0,AD610-MAX(0,AG610-AF610)),0)</x:f>
      </x:c>
      <x:c r="AI610" s="32" t="e">
        <x:f>IF(A610=1,AF610,AI609+AF610)</x:f>
      </x:c>
      <x:c r="AJ610" s="33"/>
      <x:c r="AK610" s="33"/>
      <x:c r="AL610" s="33"/>
      <x:c r="AM610" s="33"/>
    </x:row>
    <x:row r="611">
      <x:c r="A611" s="33" t="n">
        <x:v>599</x:v>
      </x:c>
      <x:c r="B611" s="32" t="e">
        <x:f>IF(A611=1,Dashboard!$F$14,F610)</x:f>
      </x:c>
      <x:c r="C611" s="32" t="n">
        <x:f>0</x:f>
        <x:v>0</x:v>
      </x:c>
      <x:c r="D611" s="32" t="e">
        <x:f>IF(A611&lt;=Dashboard!$F$15,B611*Dashboard!$F$6,0)</x:f>
      </x:c>
      <x:c r="E611" s="32" t="e">
        <x:f>IF(A611&lt;=Dashboard!$F$15,MIN(Dashboard!$F$10,B611+D611),0)</x:f>
      </x:c>
      <x:c r="F611" s="32" t="e">
        <x:f>IF(A611&lt;=Dashboard!$F$15,MAX(0,B611-MAX(0,E611-D611)),0)</x:f>
      </x:c>
      <x:c r="G611" s="32" t="e">
        <x:f>IF(A611=1,D611,G610+D611)</x:f>
      </x:c>
      <x:c r="H611" s="32"/>
      <x:c r="I611" s="32" t="e">
        <x:f>IF(A611=1,Dashboard!$F$14,M610)</x:f>
      </x:c>
      <x:c r="J611" s="32" t="e">
        <x:f>IF(A611&lt;=Dashboard!$F$17,MIN(I611,$B$5),0)</x:f>
      </x:c>
      <x:c r="K611" s="32" t="e">
        <x:f>IF(A611&lt;=Dashboard!$F$17,MAX(0,I611-J611)*Dashboard!$F$6,0)</x:f>
      </x:c>
      <x:c r="L611" s="32" t="e">
        <x:f>IF(A611&lt;=Dashboard!$F$17,MIN(Dashboard!$F$10,MAX(0,I611-J611)+K611),0)</x:f>
      </x:c>
      <x:c r="M611" s="32" t="e">
        <x:f>IF(A611&lt;=Dashboard!$F$17,MAX(0,I611-J611-MAX(0,L611-K611)),0)</x:f>
      </x:c>
      <x:c r="N611" s="32" t="e">
        <x:f>IF(A611=1,K611,N610+K611)</x:f>
      </x:c>
      <x:c r="O611" s="32"/>
      <x:c r="P611" s="32" t="e">
        <x:f>IF(A611=1,Dashboard!$F$14,T610)</x:f>
      </x:c>
      <x:c r="Q611" s="32" t="e">
        <x:f>IF(A611&lt;=Dashboard!$F$17,MIN(P611,$B$6*52/12),0)</x:f>
      </x:c>
      <x:c r="R611" s="32" t="e">
        <x:f>IF(A611&lt;=Dashboard!$F$17,MAX(0,P611-Q611)*Dashboard!$F$6,0)</x:f>
      </x:c>
      <x:c r="S611" s="32" t="e">
        <x:f>IF(A611&lt;=Dashboard!$F$17,MIN(Dashboard!$F$10,MAX(0,P611-Q611)+R611),0)</x:f>
      </x:c>
      <x:c r="T611" s="32" t="e">
        <x:f>IF(A611&lt;=Dashboard!$F$17,MAX(0,P611-Q611-MAX(0,S611-R611)),0)</x:f>
      </x:c>
      <x:c r="U611" s="32" t="e">
        <x:f>IF(A611=1,R611,U610+R611)</x:f>
      </x:c>
      <x:c r="V611" s="32"/>
      <x:c r="W611" s="32" t="e">
        <x:f>IF(A611=1,Dashboard!$F$14,AA610)</x:f>
      </x:c>
      <x:c r="X611" s="32" t="e">
        <x:f>IF(AND(A611&lt;=Dashboard!$F$17,MOD(A611-1,12)=0),MIN(W611,$B$7),0)</x:f>
      </x:c>
      <x:c r="Y611" s="32" t="e">
        <x:f>IF(A611&lt;=Dashboard!$F$17,MAX(0,W611-X611)*Dashboard!$F$6,0)</x:f>
      </x:c>
      <x:c r="Z611" s="32" t="e">
        <x:f>IF(A611&lt;=Dashboard!$F$17,MIN(Dashboard!$F$10,MAX(0,W611-X611)+Y611),0)</x:f>
      </x:c>
      <x:c r="AA611" s="32" t="e">
        <x:f>IF(A611&lt;=Dashboard!$F$17,MAX(0,W611-X611-MAX(0,Z611-Y611)),0)</x:f>
      </x:c>
      <x:c r="AB611" s="32" t="e">
        <x:f>IF(A611=1,Y611,AB610+Y611)</x:f>
      </x:c>
      <x:c r="AC611" s="32"/>
      <x:c r="AD611" s="32" t="e">
        <x:f>IF(A611=1,MAX(0,Dashboard!$F$14-$B$8),AG610)</x:f>
      </x:c>
      <x:c r="AE611" s="32" t="n">
        <x:f>0</x:f>
        <x:v>0</x:v>
      </x:c>
      <x:c r="AF611" s="32" t="e">
        <x:f>IF(A611&lt;=Dashboard!$F$17,AD611*Dashboard!$F$6,0)</x:f>
      </x:c>
      <x:c r="AG611" s="32" t="e">
        <x:f>IF(A611&lt;=Dashboard!$F$17,MIN(Dashboard!$F$10,AD611+AF611),0)</x:f>
      </x:c>
      <x:c r="AH611" s="32" t="e">
        <x:f>IF(A611&lt;=Dashboard!$F$17,MAX(0,AD611-MAX(0,AG611-AF611)),0)</x:f>
      </x:c>
      <x:c r="AI611" s="32" t="e">
        <x:f>IF(A611=1,AF611,AI610+AF611)</x:f>
      </x:c>
      <x:c r="AJ611" s="33"/>
      <x:c r="AK611" s="33"/>
      <x:c r="AL611" s="33"/>
      <x:c r="AM611" s="33"/>
    </x:row>
    <x:row r="612">
      <x:c r="A612" s="33" t="n">
        <x:v>600</x:v>
      </x:c>
      <x:c r="B612" s="32" t="e">
        <x:f>IF(A612=1,Dashboard!$F$14,F611)</x:f>
      </x:c>
      <x:c r="C612" s="32" t="n">
        <x:f>0</x:f>
        <x:v>0</x:v>
      </x:c>
      <x:c r="D612" s="32" t="e">
        <x:f>IF(A612&lt;=Dashboard!$F$15,B612*Dashboard!$F$6,0)</x:f>
      </x:c>
      <x:c r="E612" s="32" t="e">
        <x:f>IF(A612&lt;=Dashboard!$F$15,MIN(Dashboard!$F$10,B612+D612),0)</x:f>
      </x:c>
      <x:c r="F612" s="32" t="e">
        <x:f>IF(A612&lt;=Dashboard!$F$15,MAX(0,B612-MAX(0,E612-D612)),0)</x:f>
      </x:c>
      <x:c r="G612" s="32" t="e">
        <x:f>IF(A612=1,D612,G611+D612)</x:f>
      </x:c>
      <x:c r="H612" s="32"/>
      <x:c r="I612" s="32" t="e">
        <x:f>IF(A612=1,Dashboard!$F$14,M611)</x:f>
      </x:c>
      <x:c r="J612" s="32" t="e">
        <x:f>IF(A612&lt;=Dashboard!$F$17,MIN(I612,$B$5),0)</x:f>
      </x:c>
      <x:c r="K612" s="32" t="e">
        <x:f>IF(A612&lt;=Dashboard!$F$17,MAX(0,I612-J612)*Dashboard!$F$6,0)</x:f>
      </x:c>
      <x:c r="L612" s="32" t="e">
        <x:f>IF(A612&lt;=Dashboard!$F$17,MIN(Dashboard!$F$10,MAX(0,I612-J612)+K612),0)</x:f>
      </x:c>
      <x:c r="M612" s="32" t="e">
        <x:f>IF(A612&lt;=Dashboard!$F$17,MAX(0,I612-J612-MAX(0,L612-K612)),0)</x:f>
      </x:c>
      <x:c r="N612" s="32" t="e">
        <x:f>IF(A612=1,K612,N611+K612)</x:f>
      </x:c>
      <x:c r="O612" s="32"/>
      <x:c r="P612" s="32" t="e">
        <x:f>IF(A612=1,Dashboard!$F$14,T611)</x:f>
      </x:c>
      <x:c r="Q612" s="32" t="e">
        <x:f>IF(A612&lt;=Dashboard!$F$17,MIN(P612,$B$6*52/12),0)</x:f>
      </x:c>
      <x:c r="R612" s="32" t="e">
        <x:f>IF(A612&lt;=Dashboard!$F$17,MAX(0,P612-Q612)*Dashboard!$F$6,0)</x:f>
      </x:c>
      <x:c r="S612" s="32" t="e">
        <x:f>IF(A612&lt;=Dashboard!$F$17,MIN(Dashboard!$F$10,MAX(0,P612-Q612)+R612),0)</x:f>
      </x:c>
      <x:c r="T612" s="32" t="e">
        <x:f>IF(A612&lt;=Dashboard!$F$17,MAX(0,P612-Q612-MAX(0,S612-R612)),0)</x:f>
      </x:c>
      <x:c r="U612" s="32" t="e">
        <x:f>IF(A612=1,R612,U611+R612)</x:f>
      </x:c>
      <x:c r="V612" s="32"/>
      <x:c r="W612" s="32" t="e">
        <x:f>IF(A612=1,Dashboard!$F$14,AA611)</x:f>
      </x:c>
      <x:c r="X612" s="32" t="e">
        <x:f>IF(AND(A612&lt;=Dashboard!$F$17,MOD(A612-1,12)=0),MIN(W612,$B$7),0)</x:f>
      </x:c>
      <x:c r="Y612" s="32" t="e">
        <x:f>IF(A612&lt;=Dashboard!$F$17,MAX(0,W612-X612)*Dashboard!$F$6,0)</x:f>
      </x:c>
      <x:c r="Z612" s="32" t="e">
        <x:f>IF(A612&lt;=Dashboard!$F$17,MIN(Dashboard!$F$10,MAX(0,W612-X612)+Y612),0)</x:f>
      </x:c>
      <x:c r="AA612" s="32" t="e">
        <x:f>IF(A612&lt;=Dashboard!$F$17,MAX(0,W612-X612-MAX(0,Z612-Y612)),0)</x:f>
      </x:c>
      <x:c r="AB612" s="32" t="e">
        <x:f>IF(A612=1,Y612,AB611+Y612)</x:f>
      </x:c>
      <x:c r="AC612" s="32"/>
      <x:c r="AD612" s="32" t="e">
        <x:f>IF(A612=1,MAX(0,Dashboard!$F$14-$B$8),AG611)</x:f>
      </x:c>
      <x:c r="AE612" s="32" t="n">
        <x:f>0</x:f>
        <x:v>0</x:v>
      </x:c>
      <x:c r="AF612" s="32" t="e">
        <x:f>IF(A612&lt;=Dashboard!$F$17,AD612*Dashboard!$F$6,0)</x:f>
      </x:c>
      <x:c r="AG612" s="32" t="e">
        <x:f>IF(A612&lt;=Dashboard!$F$17,MIN(Dashboard!$F$10,AD612+AF612),0)</x:f>
      </x:c>
      <x:c r="AH612" s="32" t="e">
        <x:f>IF(A612&lt;=Dashboard!$F$17,MAX(0,AD612-MAX(0,AG612-AF612)),0)</x:f>
      </x:c>
      <x:c r="AI612" s="32" t="e">
        <x:f>IF(A612=1,AF612,AI611+AF612)</x:f>
      </x:c>
      <x:c r="AJ612" s="33"/>
      <x:c r="AK612" s="33"/>
      <x:c r="AL612" s="33"/>
      <x:c r="AM612" s="33"/>
    </x:row>
    <x:row r="613">
      <x:c r="A613" s="33" t="n">
        <x:v>601</x:v>
      </x:c>
      <x:c r="B613" s="32" t="e">
        <x:f>IF(A613=1,Dashboard!$F$14,F612)</x:f>
      </x:c>
      <x:c r="C613" s="32" t="n">
        <x:f>0</x:f>
        <x:v>0</x:v>
      </x:c>
      <x:c r="D613" s="32" t="e">
        <x:f>IF(A613&lt;=Dashboard!$F$15,B613*Dashboard!$F$6,0)</x:f>
      </x:c>
      <x:c r="E613" s="32" t="e">
        <x:f>IF(A613&lt;=Dashboard!$F$15,MIN(Dashboard!$F$10,B613+D613),0)</x:f>
      </x:c>
      <x:c r="F613" s="32" t="e">
        <x:f>IF(A613&lt;=Dashboard!$F$15,MAX(0,B613-MAX(0,E613-D613)),0)</x:f>
      </x:c>
      <x:c r="G613" s="32" t="e">
        <x:f>IF(A613=1,D613,G612+D613)</x:f>
      </x:c>
      <x:c r="H613" s="32"/>
      <x:c r="I613" s="32" t="e">
        <x:f>IF(A613=1,Dashboard!$F$14,M612)</x:f>
      </x:c>
      <x:c r="J613" s="32" t="e">
        <x:f>IF(A613&lt;=Dashboard!$F$17,MIN(I613,$B$5),0)</x:f>
      </x:c>
      <x:c r="K613" s="32" t="e">
        <x:f>IF(A613&lt;=Dashboard!$F$17,MAX(0,I613-J613)*Dashboard!$F$6,0)</x:f>
      </x:c>
      <x:c r="L613" s="32" t="e">
        <x:f>IF(A613&lt;=Dashboard!$F$17,MIN(Dashboard!$F$10,MAX(0,I613-J613)+K613),0)</x:f>
      </x:c>
      <x:c r="M613" s="32" t="e">
        <x:f>IF(A613&lt;=Dashboard!$F$17,MAX(0,I613-J613-MAX(0,L613-K613)),0)</x:f>
      </x:c>
      <x:c r="N613" s="32" t="e">
        <x:f>IF(A613=1,K613,N612+K613)</x:f>
      </x:c>
      <x:c r="O613" s="32"/>
      <x:c r="P613" s="32" t="e">
        <x:f>IF(A613=1,Dashboard!$F$14,T612)</x:f>
      </x:c>
      <x:c r="Q613" s="32" t="e">
        <x:f>IF(A613&lt;=Dashboard!$F$17,MIN(P613,$B$6*52/12),0)</x:f>
      </x:c>
      <x:c r="R613" s="32" t="e">
        <x:f>IF(A613&lt;=Dashboard!$F$17,MAX(0,P613-Q613)*Dashboard!$F$6,0)</x:f>
      </x:c>
      <x:c r="S613" s="32" t="e">
        <x:f>IF(A613&lt;=Dashboard!$F$17,MIN(Dashboard!$F$10,MAX(0,P613-Q613)+R613),0)</x:f>
      </x:c>
      <x:c r="T613" s="32" t="e">
        <x:f>IF(A613&lt;=Dashboard!$F$17,MAX(0,P613-Q613-MAX(0,S613-R613)),0)</x:f>
      </x:c>
      <x:c r="U613" s="32" t="e">
        <x:f>IF(A613=1,R613,U612+R613)</x:f>
      </x:c>
      <x:c r="V613" s="32"/>
      <x:c r="W613" s="32" t="e">
        <x:f>IF(A613=1,Dashboard!$F$14,AA612)</x:f>
      </x:c>
      <x:c r="X613" s="32" t="e">
        <x:f>IF(AND(A613&lt;=Dashboard!$F$17,MOD(A613-1,12)=0),MIN(W613,$B$7),0)</x:f>
      </x:c>
      <x:c r="Y613" s="32" t="e">
        <x:f>IF(A613&lt;=Dashboard!$F$17,MAX(0,W613-X613)*Dashboard!$F$6,0)</x:f>
      </x:c>
      <x:c r="Z613" s="32" t="e">
        <x:f>IF(A613&lt;=Dashboard!$F$17,MIN(Dashboard!$F$10,MAX(0,W613-X613)+Y613),0)</x:f>
      </x:c>
      <x:c r="AA613" s="32" t="e">
        <x:f>IF(A613&lt;=Dashboard!$F$17,MAX(0,W613-X613-MAX(0,Z613-Y613)),0)</x:f>
      </x:c>
      <x:c r="AB613" s="32" t="e">
        <x:f>IF(A613=1,Y613,AB612+Y613)</x:f>
      </x:c>
      <x:c r="AC613" s="32"/>
      <x:c r="AD613" s="32" t="e">
        <x:f>IF(A613=1,MAX(0,Dashboard!$F$14-$B$8),AG612)</x:f>
      </x:c>
      <x:c r="AE613" s="32" t="n">
        <x:f>0</x:f>
        <x:v>0</x:v>
      </x:c>
      <x:c r="AF613" s="32" t="e">
        <x:f>IF(A613&lt;=Dashboard!$F$17,AD613*Dashboard!$F$6,0)</x:f>
      </x:c>
      <x:c r="AG613" s="32" t="e">
        <x:f>IF(A613&lt;=Dashboard!$F$17,MIN(Dashboard!$F$10,AD613+AF613),0)</x:f>
      </x:c>
      <x:c r="AH613" s="32" t="e">
        <x:f>IF(A613&lt;=Dashboard!$F$17,MAX(0,AD613-MAX(0,AG613-AF613)),0)</x:f>
      </x:c>
      <x:c r="AI613" s="32" t="e">
        <x:f>IF(A613=1,AF613,AI612+AF613)</x:f>
      </x:c>
      <x:c r="AJ613" s="33"/>
      <x:c r="AK613" s="33"/>
      <x:c r="AL613" s="33"/>
      <x:c r="AM613" s="33"/>
    </x:row>
    <x:row r="614">
      <x:c r="A614" s="33" t="n">
        <x:v>602</x:v>
      </x:c>
      <x:c r="B614" s="32" t="e">
        <x:f>IF(A614=1,Dashboard!$F$14,F613)</x:f>
      </x:c>
      <x:c r="C614" s="32" t="n">
        <x:f>0</x:f>
        <x:v>0</x:v>
      </x:c>
      <x:c r="D614" s="32" t="e">
        <x:f>IF(A614&lt;=Dashboard!$F$15,B614*Dashboard!$F$6,0)</x:f>
      </x:c>
      <x:c r="E614" s="32" t="e">
        <x:f>IF(A614&lt;=Dashboard!$F$15,MIN(Dashboard!$F$10,B614+D614),0)</x:f>
      </x:c>
      <x:c r="F614" s="32" t="e">
        <x:f>IF(A614&lt;=Dashboard!$F$15,MAX(0,B614-MAX(0,E614-D614)),0)</x:f>
      </x:c>
      <x:c r="G614" s="32" t="e">
        <x:f>IF(A614=1,D614,G613+D614)</x:f>
      </x:c>
      <x:c r="H614" s="32"/>
      <x:c r="I614" s="32" t="e">
        <x:f>IF(A614=1,Dashboard!$F$14,M613)</x:f>
      </x:c>
      <x:c r="J614" s="32" t="e">
        <x:f>IF(A614&lt;=Dashboard!$F$17,MIN(I614,$B$5),0)</x:f>
      </x:c>
      <x:c r="K614" s="32" t="e">
        <x:f>IF(A614&lt;=Dashboard!$F$17,MAX(0,I614-J614)*Dashboard!$F$6,0)</x:f>
      </x:c>
      <x:c r="L614" s="32" t="e">
        <x:f>IF(A614&lt;=Dashboard!$F$17,MIN(Dashboard!$F$10,MAX(0,I614-J614)+K614),0)</x:f>
      </x:c>
      <x:c r="M614" s="32" t="e">
        <x:f>IF(A614&lt;=Dashboard!$F$17,MAX(0,I614-J614-MAX(0,L614-K614)),0)</x:f>
      </x:c>
      <x:c r="N614" s="32" t="e">
        <x:f>IF(A614=1,K614,N613+K614)</x:f>
      </x:c>
      <x:c r="O614" s="32"/>
      <x:c r="P614" s="32" t="e">
        <x:f>IF(A614=1,Dashboard!$F$14,T613)</x:f>
      </x:c>
      <x:c r="Q614" s="32" t="e">
        <x:f>IF(A614&lt;=Dashboard!$F$17,MIN(P614,$B$6*52/12),0)</x:f>
      </x:c>
      <x:c r="R614" s="32" t="e">
        <x:f>IF(A614&lt;=Dashboard!$F$17,MAX(0,P614-Q614)*Dashboard!$F$6,0)</x:f>
      </x:c>
      <x:c r="S614" s="32" t="e">
        <x:f>IF(A614&lt;=Dashboard!$F$17,MIN(Dashboard!$F$10,MAX(0,P614-Q614)+R614),0)</x:f>
      </x:c>
      <x:c r="T614" s="32" t="e">
        <x:f>IF(A614&lt;=Dashboard!$F$17,MAX(0,P614-Q614-MAX(0,S614-R614)),0)</x:f>
      </x:c>
      <x:c r="U614" s="32" t="e">
        <x:f>IF(A614=1,R614,U613+R614)</x:f>
      </x:c>
      <x:c r="V614" s="32"/>
      <x:c r="W614" s="32" t="e">
        <x:f>IF(A614=1,Dashboard!$F$14,AA613)</x:f>
      </x:c>
      <x:c r="X614" s="32" t="e">
        <x:f>IF(AND(A614&lt;=Dashboard!$F$17,MOD(A614-1,12)=0),MIN(W614,$B$7),0)</x:f>
      </x:c>
      <x:c r="Y614" s="32" t="e">
        <x:f>IF(A614&lt;=Dashboard!$F$17,MAX(0,W614-X614)*Dashboard!$F$6,0)</x:f>
      </x:c>
      <x:c r="Z614" s="32" t="e">
        <x:f>IF(A614&lt;=Dashboard!$F$17,MIN(Dashboard!$F$10,MAX(0,W614-X614)+Y614),0)</x:f>
      </x:c>
      <x:c r="AA614" s="32" t="e">
        <x:f>IF(A614&lt;=Dashboard!$F$17,MAX(0,W614-X614-MAX(0,Z614-Y614)),0)</x:f>
      </x:c>
      <x:c r="AB614" s="32" t="e">
        <x:f>IF(A614=1,Y614,AB613+Y614)</x:f>
      </x:c>
      <x:c r="AC614" s="32"/>
      <x:c r="AD614" s="32" t="e">
        <x:f>IF(A614=1,MAX(0,Dashboard!$F$14-$B$8),AG613)</x:f>
      </x:c>
      <x:c r="AE614" s="32" t="n">
        <x:f>0</x:f>
        <x:v>0</x:v>
      </x:c>
      <x:c r="AF614" s="32" t="e">
        <x:f>IF(A614&lt;=Dashboard!$F$17,AD614*Dashboard!$F$6,0)</x:f>
      </x:c>
      <x:c r="AG614" s="32" t="e">
        <x:f>IF(A614&lt;=Dashboard!$F$17,MIN(Dashboard!$F$10,AD614+AF614),0)</x:f>
      </x:c>
      <x:c r="AH614" s="32" t="e">
        <x:f>IF(A614&lt;=Dashboard!$F$17,MAX(0,AD614-MAX(0,AG614-AF614)),0)</x:f>
      </x:c>
      <x:c r="AI614" s="32" t="e">
        <x:f>IF(A614=1,AF614,AI613+AF614)</x:f>
      </x:c>
      <x:c r="AJ614" s="33"/>
      <x:c r="AK614" s="33"/>
      <x:c r="AL614" s="33"/>
      <x:c r="AM614" s="33"/>
    </x:row>
    <x:row r="615">
      <x:c r="A615" s="33" t="n">
        <x:v>603</x:v>
      </x:c>
      <x:c r="B615" s="32" t="e">
        <x:f>IF(A615=1,Dashboard!$F$14,F614)</x:f>
      </x:c>
      <x:c r="C615" s="32" t="n">
        <x:f>0</x:f>
        <x:v>0</x:v>
      </x:c>
      <x:c r="D615" s="32" t="e">
        <x:f>IF(A615&lt;=Dashboard!$F$15,B615*Dashboard!$F$6,0)</x:f>
      </x:c>
      <x:c r="E615" s="32" t="e">
        <x:f>IF(A615&lt;=Dashboard!$F$15,MIN(Dashboard!$F$10,B615+D615),0)</x:f>
      </x:c>
      <x:c r="F615" s="32" t="e">
        <x:f>IF(A615&lt;=Dashboard!$F$15,MAX(0,B615-MAX(0,E615-D615)),0)</x:f>
      </x:c>
      <x:c r="G615" s="32" t="e">
        <x:f>IF(A615=1,D615,G614+D615)</x:f>
      </x:c>
      <x:c r="H615" s="32"/>
      <x:c r="I615" s="32" t="e">
        <x:f>IF(A615=1,Dashboard!$F$14,M614)</x:f>
      </x:c>
      <x:c r="J615" s="32" t="e">
        <x:f>IF(A615&lt;=Dashboard!$F$17,MIN(I615,$B$5),0)</x:f>
      </x:c>
      <x:c r="K615" s="32" t="e">
        <x:f>IF(A615&lt;=Dashboard!$F$17,MAX(0,I615-J615)*Dashboard!$F$6,0)</x:f>
      </x:c>
      <x:c r="L615" s="32" t="e">
        <x:f>IF(A615&lt;=Dashboard!$F$17,MIN(Dashboard!$F$10,MAX(0,I615-J615)+K615),0)</x:f>
      </x:c>
      <x:c r="M615" s="32" t="e">
        <x:f>IF(A615&lt;=Dashboard!$F$17,MAX(0,I615-J615-MAX(0,L615-K615)),0)</x:f>
      </x:c>
      <x:c r="N615" s="32" t="e">
        <x:f>IF(A615=1,K615,N614+K615)</x:f>
      </x:c>
      <x:c r="O615" s="32"/>
      <x:c r="P615" s="32" t="e">
        <x:f>IF(A615=1,Dashboard!$F$14,T614)</x:f>
      </x:c>
      <x:c r="Q615" s="32" t="e">
        <x:f>IF(A615&lt;=Dashboard!$F$17,MIN(P615,$B$6*52/12),0)</x:f>
      </x:c>
      <x:c r="R615" s="32" t="e">
        <x:f>IF(A615&lt;=Dashboard!$F$17,MAX(0,P615-Q615)*Dashboard!$F$6,0)</x:f>
      </x:c>
      <x:c r="S615" s="32" t="e">
        <x:f>IF(A615&lt;=Dashboard!$F$17,MIN(Dashboard!$F$10,MAX(0,P615-Q615)+R615),0)</x:f>
      </x:c>
      <x:c r="T615" s="32" t="e">
        <x:f>IF(A615&lt;=Dashboard!$F$17,MAX(0,P615-Q615-MAX(0,S615-R615)),0)</x:f>
      </x:c>
      <x:c r="U615" s="32" t="e">
        <x:f>IF(A615=1,R615,U614+R615)</x:f>
      </x:c>
      <x:c r="V615" s="32"/>
      <x:c r="W615" s="32" t="e">
        <x:f>IF(A615=1,Dashboard!$F$14,AA614)</x:f>
      </x:c>
      <x:c r="X615" s="32" t="e">
        <x:f>IF(AND(A615&lt;=Dashboard!$F$17,MOD(A615-1,12)=0),MIN(W615,$B$7),0)</x:f>
      </x:c>
      <x:c r="Y615" s="32" t="e">
        <x:f>IF(A615&lt;=Dashboard!$F$17,MAX(0,W615-X615)*Dashboard!$F$6,0)</x:f>
      </x:c>
      <x:c r="Z615" s="32" t="e">
        <x:f>IF(A615&lt;=Dashboard!$F$17,MIN(Dashboard!$F$10,MAX(0,W615-X615)+Y615),0)</x:f>
      </x:c>
      <x:c r="AA615" s="32" t="e">
        <x:f>IF(A615&lt;=Dashboard!$F$17,MAX(0,W615-X615-MAX(0,Z615-Y615)),0)</x:f>
      </x:c>
      <x:c r="AB615" s="32" t="e">
        <x:f>IF(A615=1,Y615,AB614+Y615)</x:f>
      </x:c>
      <x:c r="AC615" s="32"/>
      <x:c r="AD615" s="32" t="e">
        <x:f>IF(A615=1,MAX(0,Dashboard!$F$14-$B$8),AG614)</x:f>
      </x:c>
      <x:c r="AE615" s="32" t="n">
        <x:f>0</x:f>
        <x:v>0</x:v>
      </x:c>
      <x:c r="AF615" s="32" t="e">
        <x:f>IF(A615&lt;=Dashboard!$F$17,AD615*Dashboard!$F$6,0)</x:f>
      </x:c>
      <x:c r="AG615" s="32" t="e">
        <x:f>IF(A615&lt;=Dashboard!$F$17,MIN(Dashboard!$F$10,AD615+AF615),0)</x:f>
      </x:c>
      <x:c r="AH615" s="32" t="e">
        <x:f>IF(A615&lt;=Dashboard!$F$17,MAX(0,AD615-MAX(0,AG615-AF615)),0)</x:f>
      </x:c>
      <x:c r="AI615" s="32" t="e">
        <x:f>IF(A615=1,AF615,AI614+AF615)</x:f>
      </x:c>
      <x:c r="AJ615" s="33"/>
      <x:c r="AK615" s="33"/>
      <x:c r="AL615" s="33"/>
      <x:c r="AM615" s="33"/>
    </x:row>
    <x:row r="616">
      <x:c r="A616" s="33" t="n">
        <x:v>604</x:v>
      </x:c>
      <x:c r="B616" s="32" t="e">
        <x:f>IF(A616=1,Dashboard!$F$14,F615)</x:f>
      </x:c>
      <x:c r="C616" s="32" t="n">
        <x:f>0</x:f>
        <x:v>0</x:v>
      </x:c>
      <x:c r="D616" s="32" t="e">
        <x:f>IF(A616&lt;=Dashboard!$F$15,B616*Dashboard!$F$6,0)</x:f>
      </x:c>
      <x:c r="E616" s="32" t="e">
        <x:f>IF(A616&lt;=Dashboard!$F$15,MIN(Dashboard!$F$10,B616+D616),0)</x:f>
      </x:c>
      <x:c r="F616" s="32" t="e">
        <x:f>IF(A616&lt;=Dashboard!$F$15,MAX(0,B616-MAX(0,E616-D616)),0)</x:f>
      </x:c>
      <x:c r="G616" s="32" t="e">
        <x:f>IF(A616=1,D616,G615+D616)</x:f>
      </x:c>
      <x:c r="H616" s="32"/>
      <x:c r="I616" s="32" t="e">
        <x:f>IF(A616=1,Dashboard!$F$14,M615)</x:f>
      </x:c>
      <x:c r="J616" s="32" t="e">
        <x:f>IF(A616&lt;=Dashboard!$F$17,MIN(I616,$B$5),0)</x:f>
      </x:c>
      <x:c r="K616" s="32" t="e">
        <x:f>IF(A616&lt;=Dashboard!$F$17,MAX(0,I616-J616)*Dashboard!$F$6,0)</x:f>
      </x:c>
      <x:c r="L616" s="32" t="e">
        <x:f>IF(A616&lt;=Dashboard!$F$17,MIN(Dashboard!$F$10,MAX(0,I616-J616)+K616),0)</x:f>
      </x:c>
      <x:c r="M616" s="32" t="e">
        <x:f>IF(A616&lt;=Dashboard!$F$17,MAX(0,I616-J616-MAX(0,L616-K616)),0)</x:f>
      </x:c>
      <x:c r="N616" s="32" t="e">
        <x:f>IF(A616=1,K616,N615+K616)</x:f>
      </x:c>
      <x:c r="O616" s="32"/>
      <x:c r="P616" s="32" t="e">
        <x:f>IF(A616=1,Dashboard!$F$14,T615)</x:f>
      </x:c>
      <x:c r="Q616" s="32" t="e">
        <x:f>IF(A616&lt;=Dashboard!$F$17,MIN(P616,$B$6*52/12),0)</x:f>
      </x:c>
      <x:c r="R616" s="32" t="e">
        <x:f>IF(A616&lt;=Dashboard!$F$17,MAX(0,P616-Q616)*Dashboard!$F$6,0)</x:f>
      </x:c>
      <x:c r="S616" s="32" t="e">
        <x:f>IF(A616&lt;=Dashboard!$F$17,MIN(Dashboard!$F$10,MAX(0,P616-Q616)+R616),0)</x:f>
      </x:c>
      <x:c r="T616" s="32" t="e">
        <x:f>IF(A616&lt;=Dashboard!$F$17,MAX(0,P616-Q616-MAX(0,S616-R616)),0)</x:f>
      </x:c>
      <x:c r="U616" s="32" t="e">
        <x:f>IF(A616=1,R616,U615+R616)</x:f>
      </x:c>
      <x:c r="V616" s="32"/>
      <x:c r="W616" s="32" t="e">
        <x:f>IF(A616=1,Dashboard!$F$14,AA615)</x:f>
      </x:c>
      <x:c r="X616" s="32" t="e">
        <x:f>IF(AND(A616&lt;=Dashboard!$F$17,MOD(A616-1,12)=0),MIN(W616,$B$7),0)</x:f>
      </x:c>
      <x:c r="Y616" s="32" t="e">
        <x:f>IF(A616&lt;=Dashboard!$F$17,MAX(0,W616-X616)*Dashboard!$F$6,0)</x:f>
      </x:c>
      <x:c r="Z616" s="32" t="e">
        <x:f>IF(A616&lt;=Dashboard!$F$17,MIN(Dashboard!$F$10,MAX(0,W616-X616)+Y616),0)</x:f>
      </x:c>
      <x:c r="AA616" s="32" t="e">
        <x:f>IF(A616&lt;=Dashboard!$F$17,MAX(0,W616-X616-MAX(0,Z616-Y616)),0)</x:f>
      </x:c>
      <x:c r="AB616" s="32" t="e">
        <x:f>IF(A616=1,Y616,AB615+Y616)</x:f>
      </x:c>
      <x:c r="AC616" s="32"/>
      <x:c r="AD616" s="32" t="e">
        <x:f>IF(A616=1,MAX(0,Dashboard!$F$14-$B$8),AG615)</x:f>
      </x:c>
      <x:c r="AE616" s="32" t="n">
        <x:f>0</x:f>
        <x:v>0</x:v>
      </x:c>
      <x:c r="AF616" s="32" t="e">
        <x:f>IF(A616&lt;=Dashboard!$F$17,AD616*Dashboard!$F$6,0)</x:f>
      </x:c>
      <x:c r="AG616" s="32" t="e">
        <x:f>IF(A616&lt;=Dashboard!$F$17,MIN(Dashboard!$F$10,AD616+AF616),0)</x:f>
      </x:c>
      <x:c r="AH616" s="32" t="e">
        <x:f>IF(A616&lt;=Dashboard!$F$17,MAX(0,AD616-MAX(0,AG616-AF616)),0)</x:f>
      </x:c>
      <x:c r="AI616" s="32" t="e">
        <x:f>IF(A616=1,AF616,AI615+AF616)</x:f>
      </x:c>
      <x:c r="AJ616" s="33"/>
      <x:c r="AK616" s="33"/>
      <x:c r="AL616" s="33"/>
      <x:c r="AM616" s="33"/>
    </x:row>
    <x:row r="617">
      <x:c r="A617" s="33" t="n">
        <x:v>605</x:v>
      </x:c>
      <x:c r="B617" s="32" t="e">
        <x:f>IF(A617=1,Dashboard!$F$14,F616)</x:f>
      </x:c>
      <x:c r="C617" s="32" t="n">
        <x:f>0</x:f>
        <x:v>0</x:v>
      </x:c>
      <x:c r="D617" s="32" t="e">
        <x:f>IF(A617&lt;=Dashboard!$F$15,B617*Dashboard!$F$6,0)</x:f>
      </x:c>
      <x:c r="E617" s="32" t="e">
        <x:f>IF(A617&lt;=Dashboard!$F$15,MIN(Dashboard!$F$10,B617+D617),0)</x:f>
      </x:c>
      <x:c r="F617" s="32" t="e">
        <x:f>IF(A617&lt;=Dashboard!$F$15,MAX(0,B617-MAX(0,E617-D617)),0)</x:f>
      </x:c>
      <x:c r="G617" s="32" t="e">
        <x:f>IF(A617=1,D617,G616+D617)</x:f>
      </x:c>
      <x:c r="H617" s="32"/>
      <x:c r="I617" s="32" t="e">
        <x:f>IF(A617=1,Dashboard!$F$14,M616)</x:f>
      </x:c>
      <x:c r="J617" s="32" t="e">
        <x:f>IF(A617&lt;=Dashboard!$F$17,MIN(I617,$B$5),0)</x:f>
      </x:c>
      <x:c r="K617" s="32" t="e">
        <x:f>IF(A617&lt;=Dashboard!$F$17,MAX(0,I617-J617)*Dashboard!$F$6,0)</x:f>
      </x:c>
      <x:c r="L617" s="32" t="e">
        <x:f>IF(A617&lt;=Dashboard!$F$17,MIN(Dashboard!$F$10,MAX(0,I617-J617)+K617),0)</x:f>
      </x:c>
      <x:c r="M617" s="32" t="e">
        <x:f>IF(A617&lt;=Dashboard!$F$17,MAX(0,I617-J617-MAX(0,L617-K617)),0)</x:f>
      </x:c>
      <x:c r="N617" s="32" t="e">
        <x:f>IF(A617=1,K617,N616+K617)</x:f>
      </x:c>
      <x:c r="O617" s="32"/>
      <x:c r="P617" s="32" t="e">
        <x:f>IF(A617=1,Dashboard!$F$14,T616)</x:f>
      </x:c>
      <x:c r="Q617" s="32" t="e">
        <x:f>IF(A617&lt;=Dashboard!$F$17,MIN(P617,$B$6*52/12),0)</x:f>
      </x:c>
      <x:c r="R617" s="32" t="e">
        <x:f>IF(A617&lt;=Dashboard!$F$17,MAX(0,P617-Q617)*Dashboard!$F$6,0)</x:f>
      </x:c>
      <x:c r="S617" s="32" t="e">
        <x:f>IF(A617&lt;=Dashboard!$F$17,MIN(Dashboard!$F$10,MAX(0,P617-Q617)+R617),0)</x:f>
      </x:c>
      <x:c r="T617" s="32" t="e">
        <x:f>IF(A617&lt;=Dashboard!$F$17,MAX(0,P617-Q617-MAX(0,S617-R617)),0)</x:f>
      </x:c>
      <x:c r="U617" s="32" t="e">
        <x:f>IF(A617=1,R617,U616+R617)</x:f>
      </x:c>
      <x:c r="V617" s="32"/>
      <x:c r="W617" s="32" t="e">
        <x:f>IF(A617=1,Dashboard!$F$14,AA616)</x:f>
      </x:c>
      <x:c r="X617" s="32" t="e">
        <x:f>IF(AND(A617&lt;=Dashboard!$F$17,MOD(A617-1,12)=0),MIN(W617,$B$7),0)</x:f>
      </x:c>
      <x:c r="Y617" s="32" t="e">
        <x:f>IF(A617&lt;=Dashboard!$F$17,MAX(0,W617-X617)*Dashboard!$F$6,0)</x:f>
      </x:c>
      <x:c r="Z617" s="32" t="e">
        <x:f>IF(A617&lt;=Dashboard!$F$17,MIN(Dashboard!$F$10,MAX(0,W617-X617)+Y617),0)</x:f>
      </x:c>
      <x:c r="AA617" s="32" t="e">
        <x:f>IF(A617&lt;=Dashboard!$F$17,MAX(0,W617-X617-MAX(0,Z617-Y617)),0)</x:f>
      </x:c>
      <x:c r="AB617" s="32" t="e">
        <x:f>IF(A617=1,Y617,AB616+Y617)</x:f>
      </x:c>
      <x:c r="AC617" s="32"/>
      <x:c r="AD617" s="32" t="e">
        <x:f>IF(A617=1,MAX(0,Dashboard!$F$14-$B$8),AG616)</x:f>
      </x:c>
      <x:c r="AE617" s="32" t="n">
        <x:f>0</x:f>
        <x:v>0</x:v>
      </x:c>
      <x:c r="AF617" s="32" t="e">
        <x:f>IF(A617&lt;=Dashboard!$F$17,AD617*Dashboard!$F$6,0)</x:f>
      </x:c>
      <x:c r="AG617" s="32" t="e">
        <x:f>IF(A617&lt;=Dashboard!$F$17,MIN(Dashboard!$F$10,AD617+AF617),0)</x:f>
      </x:c>
      <x:c r="AH617" s="32" t="e">
        <x:f>IF(A617&lt;=Dashboard!$F$17,MAX(0,AD617-MAX(0,AG617-AF617)),0)</x:f>
      </x:c>
      <x:c r="AI617" s="32" t="e">
        <x:f>IF(A617=1,AF617,AI616+AF617)</x:f>
      </x:c>
      <x:c r="AJ617" s="33"/>
      <x:c r="AK617" s="33"/>
      <x:c r="AL617" s="33"/>
      <x:c r="AM617" s="33"/>
    </x:row>
    <x:row r="618">
      <x:c r="A618" s="33" t="n">
        <x:v>606</x:v>
      </x:c>
      <x:c r="B618" s="32" t="e">
        <x:f>IF(A618=1,Dashboard!$F$14,F617)</x:f>
      </x:c>
      <x:c r="C618" s="32" t="n">
        <x:f>0</x:f>
        <x:v>0</x:v>
      </x:c>
      <x:c r="D618" s="32" t="e">
        <x:f>IF(A618&lt;=Dashboard!$F$15,B618*Dashboard!$F$6,0)</x:f>
      </x:c>
      <x:c r="E618" s="32" t="e">
        <x:f>IF(A618&lt;=Dashboard!$F$15,MIN(Dashboard!$F$10,B618+D618),0)</x:f>
      </x:c>
      <x:c r="F618" s="32" t="e">
        <x:f>IF(A618&lt;=Dashboard!$F$15,MAX(0,B618-MAX(0,E618-D618)),0)</x:f>
      </x:c>
      <x:c r="G618" s="32" t="e">
        <x:f>IF(A618=1,D618,G617+D618)</x:f>
      </x:c>
      <x:c r="H618" s="32"/>
      <x:c r="I618" s="32" t="e">
        <x:f>IF(A618=1,Dashboard!$F$14,M617)</x:f>
      </x:c>
      <x:c r="J618" s="32" t="e">
        <x:f>IF(A618&lt;=Dashboard!$F$17,MIN(I618,$B$5),0)</x:f>
      </x:c>
      <x:c r="K618" s="32" t="e">
        <x:f>IF(A618&lt;=Dashboard!$F$17,MAX(0,I618-J618)*Dashboard!$F$6,0)</x:f>
      </x:c>
      <x:c r="L618" s="32" t="e">
        <x:f>IF(A618&lt;=Dashboard!$F$17,MIN(Dashboard!$F$10,MAX(0,I618-J618)+K618),0)</x:f>
      </x:c>
      <x:c r="M618" s="32" t="e">
        <x:f>IF(A618&lt;=Dashboard!$F$17,MAX(0,I618-J618-MAX(0,L618-K618)),0)</x:f>
      </x:c>
      <x:c r="N618" s="32" t="e">
        <x:f>IF(A618=1,K618,N617+K618)</x:f>
      </x:c>
      <x:c r="O618" s="32"/>
      <x:c r="P618" s="32" t="e">
        <x:f>IF(A618=1,Dashboard!$F$14,T617)</x:f>
      </x:c>
      <x:c r="Q618" s="32" t="e">
        <x:f>IF(A618&lt;=Dashboard!$F$17,MIN(P618,$B$6*52/12),0)</x:f>
      </x:c>
      <x:c r="R618" s="32" t="e">
        <x:f>IF(A618&lt;=Dashboard!$F$17,MAX(0,P618-Q618)*Dashboard!$F$6,0)</x:f>
      </x:c>
      <x:c r="S618" s="32" t="e">
        <x:f>IF(A618&lt;=Dashboard!$F$17,MIN(Dashboard!$F$10,MAX(0,P618-Q618)+R618),0)</x:f>
      </x:c>
      <x:c r="T618" s="32" t="e">
        <x:f>IF(A618&lt;=Dashboard!$F$17,MAX(0,P618-Q618-MAX(0,S618-R618)),0)</x:f>
      </x:c>
      <x:c r="U618" s="32" t="e">
        <x:f>IF(A618=1,R618,U617+R618)</x:f>
      </x:c>
      <x:c r="V618" s="32"/>
      <x:c r="W618" s="32" t="e">
        <x:f>IF(A618=1,Dashboard!$F$14,AA617)</x:f>
      </x:c>
      <x:c r="X618" s="32" t="e">
        <x:f>IF(AND(A618&lt;=Dashboard!$F$17,MOD(A618-1,12)=0),MIN(W618,$B$7),0)</x:f>
      </x:c>
      <x:c r="Y618" s="32" t="e">
        <x:f>IF(A618&lt;=Dashboard!$F$17,MAX(0,W618-X618)*Dashboard!$F$6,0)</x:f>
      </x:c>
      <x:c r="Z618" s="32" t="e">
        <x:f>IF(A618&lt;=Dashboard!$F$17,MIN(Dashboard!$F$10,MAX(0,W618-X618)+Y618),0)</x:f>
      </x:c>
      <x:c r="AA618" s="32" t="e">
        <x:f>IF(A618&lt;=Dashboard!$F$17,MAX(0,W618-X618-MAX(0,Z618-Y618)),0)</x:f>
      </x:c>
      <x:c r="AB618" s="32" t="e">
        <x:f>IF(A618=1,Y618,AB617+Y618)</x:f>
      </x:c>
      <x:c r="AC618" s="32"/>
      <x:c r="AD618" s="32" t="e">
        <x:f>IF(A618=1,MAX(0,Dashboard!$F$14-$B$8),AG617)</x:f>
      </x:c>
      <x:c r="AE618" s="32" t="n">
        <x:f>0</x:f>
        <x:v>0</x:v>
      </x:c>
      <x:c r="AF618" s="32" t="e">
        <x:f>IF(A618&lt;=Dashboard!$F$17,AD618*Dashboard!$F$6,0)</x:f>
      </x:c>
      <x:c r="AG618" s="32" t="e">
        <x:f>IF(A618&lt;=Dashboard!$F$17,MIN(Dashboard!$F$10,AD618+AF618),0)</x:f>
      </x:c>
      <x:c r="AH618" s="32" t="e">
        <x:f>IF(A618&lt;=Dashboard!$F$17,MAX(0,AD618-MAX(0,AG618-AF618)),0)</x:f>
      </x:c>
      <x:c r="AI618" s="32" t="e">
        <x:f>IF(A618=1,AF618,AI617+AF618)</x:f>
      </x:c>
      <x:c r="AJ618" s="33"/>
      <x:c r="AK618" s="33"/>
      <x:c r="AL618" s="33"/>
      <x:c r="AM618" s="33"/>
    </x:row>
    <x:row r="619">
      <x:c r="A619" s="33" t="n">
        <x:v>607</x:v>
      </x:c>
      <x:c r="B619" s="32" t="e">
        <x:f>IF(A619=1,Dashboard!$F$14,F618)</x:f>
      </x:c>
      <x:c r="C619" s="32" t="n">
        <x:f>0</x:f>
        <x:v>0</x:v>
      </x:c>
      <x:c r="D619" s="32" t="e">
        <x:f>IF(A619&lt;=Dashboard!$F$15,B619*Dashboard!$F$6,0)</x:f>
      </x:c>
      <x:c r="E619" s="32" t="e">
        <x:f>IF(A619&lt;=Dashboard!$F$15,MIN(Dashboard!$F$10,B619+D619),0)</x:f>
      </x:c>
      <x:c r="F619" s="32" t="e">
        <x:f>IF(A619&lt;=Dashboard!$F$15,MAX(0,B619-MAX(0,E619-D619)),0)</x:f>
      </x:c>
      <x:c r="G619" s="32" t="e">
        <x:f>IF(A619=1,D619,G618+D619)</x:f>
      </x:c>
      <x:c r="H619" s="32"/>
      <x:c r="I619" s="32" t="e">
        <x:f>IF(A619=1,Dashboard!$F$14,M618)</x:f>
      </x:c>
      <x:c r="J619" s="32" t="e">
        <x:f>IF(A619&lt;=Dashboard!$F$17,MIN(I619,$B$5),0)</x:f>
      </x:c>
      <x:c r="K619" s="32" t="e">
        <x:f>IF(A619&lt;=Dashboard!$F$17,MAX(0,I619-J619)*Dashboard!$F$6,0)</x:f>
      </x:c>
      <x:c r="L619" s="32" t="e">
        <x:f>IF(A619&lt;=Dashboard!$F$17,MIN(Dashboard!$F$10,MAX(0,I619-J619)+K619),0)</x:f>
      </x:c>
      <x:c r="M619" s="32" t="e">
        <x:f>IF(A619&lt;=Dashboard!$F$17,MAX(0,I619-J619-MAX(0,L619-K619)),0)</x:f>
      </x:c>
      <x:c r="N619" s="32" t="e">
        <x:f>IF(A619=1,K619,N618+K619)</x:f>
      </x:c>
      <x:c r="O619" s="32"/>
      <x:c r="P619" s="32" t="e">
        <x:f>IF(A619=1,Dashboard!$F$14,T618)</x:f>
      </x:c>
      <x:c r="Q619" s="32" t="e">
        <x:f>IF(A619&lt;=Dashboard!$F$17,MIN(P619,$B$6*52/12),0)</x:f>
      </x:c>
      <x:c r="R619" s="32" t="e">
        <x:f>IF(A619&lt;=Dashboard!$F$17,MAX(0,P619-Q619)*Dashboard!$F$6,0)</x:f>
      </x:c>
      <x:c r="S619" s="32" t="e">
        <x:f>IF(A619&lt;=Dashboard!$F$17,MIN(Dashboard!$F$10,MAX(0,P619-Q619)+R619),0)</x:f>
      </x:c>
      <x:c r="T619" s="32" t="e">
        <x:f>IF(A619&lt;=Dashboard!$F$17,MAX(0,P619-Q619-MAX(0,S619-R619)),0)</x:f>
      </x:c>
      <x:c r="U619" s="32" t="e">
        <x:f>IF(A619=1,R619,U618+R619)</x:f>
      </x:c>
      <x:c r="V619" s="32"/>
      <x:c r="W619" s="32" t="e">
        <x:f>IF(A619=1,Dashboard!$F$14,AA618)</x:f>
      </x:c>
      <x:c r="X619" s="32" t="e">
        <x:f>IF(AND(A619&lt;=Dashboard!$F$17,MOD(A619-1,12)=0),MIN(W619,$B$7),0)</x:f>
      </x:c>
      <x:c r="Y619" s="32" t="e">
        <x:f>IF(A619&lt;=Dashboard!$F$17,MAX(0,W619-X619)*Dashboard!$F$6,0)</x:f>
      </x:c>
      <x:c r="Z619" s="32" t="e">
        <x:f>IF(A619&lt;=Dashboard!$F$17,MIN(Dashboard!$F$10,MAX(0,W619-X619)+Y619),0)</x:f>
      </x:c>
      <x:c r="AA619" s="32" t="e">
        <x:f>IF(A619&lt;=Dashboard!$F$17,MAX(0,W619-X619-MAX(0,Z619-Y619)),0)</x:f>
      </x:c>
      <x:c r="AB619" s="32" t="e">
        <x:f>IF(A619=1,Y619,AB618+Y619)</x:f>
      </x:c>
      <x:c r="AC619" s="32"/>
      <x:c r="AD619" s="32" t="e">
        <x:f>IF(A619=1,MAX(0,Dashboard!$F$14-$B$8),AG618)</x:f>
      </x:c>
      <x:c r="AE619" s="32" t="n">
        <x:f>0</x:f>
        <x:v>0</x:v>
      </x:c>
      <x:c r="AF619" s="32" t="e">
        <x:f>IF(A619&lt;=Dashboard!$F$17,AD619*Dashboard!$F$6,0)</x:f>
      </x:c>
      <x:c r="AG619" s="32" t="e">
        <x:f>IF(A619&lt;=Dashboard!$F$17,MIN(Dashboard!$F$10,AD619+AF619),0)</x:f>
      </x:c>
      <x:c r="AH619" s="32" t="e">
        <x:f>IF(A619&lt;=Dashboard!$F$17,MAX(0,AD619-MAX(0,AG619-AF619)),0)</x:f>
      </x:c>
      <x:c r="AI619" s="32" t="e">
        <x:f>IF(A619=1,AF619,AI618+AF619)</x:f>
      </x:c>
      <x:c r="AJ619" s="33"/>
      <x:c r="AK619" s="33"/>
      <x:c r="AL619" s="33"/>
      <x:c r="AM619" s="33"/>
    </x:row>
    <x:row r="620">
      <x:c r="A620" s="33" t="n">
        <x:v>608</x:v>
      </x:c>
      <x:c r="B620" s="32" t="e">
        <x:f>IF(A620=1,Dashboard!$F$14,F619)</x:f>
      </x:c>
      <x:c r="C620" s="32" t="n">
        <x:f>0</x:f>
        <x:v>0</x:v>
      </x:c>
      <x:c r="D620" s="32" t="e">
        <x:f>IF(A620&lt;=Dashboard!$F$15,B620*Dashboard!$F$6,0)</x:f>
      </x:c>
      <x:c r="E620" s="32" t="e">
        <x:f>IF(A620&lt;=Dashboard!$F$15,MIN(Dashboard!$F$10,B620+D620),0)</x:f>
      </x:c>
      <x:c r="F620" s="32" t="e">
        <x:f>IF(A620&lt;=Dashboard!$F$15,MAX(0,B620-MAX(0,E620-D620)),0)</x:f>
      </x:c>
      <x:c r="G620" s="32" t="e">
        <x:f>IF(A620=1,D620,G619+D620)</x:f>
      </x:c>
      <x:c r="H620" s="32"/>
      <x:c r="I620" s="32" t="e">
        <x:f>IF(A620=1,Dashboard!$F$14,M619)</x:f>
      </x:c>
      <x:c r="J620" s="32" t="e">
        <x:f>IF(A620&lt;=Dashboard!$F$17,MIN(I620,$B$5),0)</x:f>
      </x:c>
      <x:c r="K620" s="32" t="e">
        <x:f>IF(A620&lt;=Dashboard!$F$17,MAX(0,I620-J620)*Dashboard!$F$6,0)</x:f>
      </x:c>
      <x:c r="L620" s="32" t="e">
        <x:f>IF(A620&lt;=Dashboard!$F$17,MIN(Dashboard!$F$10,MAX(0,I620-J620)+K620),0)</x:f>
      </x:c>
      <x:c r="M620" s="32" t="e">
        <x:f>IF(A620&lt;=Dashboard!$F$17,MAX(0,I620-J620-MAX(0,L620-K620)),0)</x:f>
      </x:c>
      <x:c r="N620" s="32" t="e">
        <x:f>IF(A620=1,K620,N619+K620)</x:f>
      </x:c>
      <x:c r="O620" s="32"/>
      <x:c r="P620" s="32" t="e">
        <x:f>IF(A620=1,Dashboard!$F$14,T619)</x:f>
      </x:c>
      <x:c r="Q620" s="32" t="e">
        <x:f>IF(A620&lt;=Dashboard!$F$17,MIN(P620,$B$6*52/12),0)</x:f>
      </x:c>
      <x:c r="R620" s="32" t="e">
        <x:f>IF(A620&lt;=Dashboard!$F$17,MAX(0,P620-Q620)*Dashboard!$F$6,0)</x:f>
      </x:c>
      <x:c r="S620" s="32" t="e">
        <x:f>IF(A620&lt;=Dashboard!$F$17,MIN(Dashboard!$F$10,MAX(0,P620-Q620)+R620),0)</x:f>
      </x:c>
      <x:c r="T620" s="32" t="e">
        <x:f>IF(A620&lt;=Dashboard!$F$17,MAX(0,P620-Q620-MAX(0,S620-R620)),0)</x:f>
      </x:c>
      <x:c r="U620" s="32" t="e">
        <x:f>IF(A620=1,R620,U619+R620)</x:f>
      </x:c>
      <x:c r="V620" s="32"/>
      <x:c r="W620" s="32" t="e">
        <x:f>IF(A620=1,Dashboard!$F$14,AA619)</x:f>
      </x:c>
      <x:c r="X620" s="32" t="e">
        <x:f>IF(AND(A620&lt;=Dashboard!$F$17,MOD(A620-1,12)=0),MIN(W620,$B$7),0)</x:f>
      </x:c>
      <x:c r="Y620" s="32" t="e">
        <x:f>IF(A620&lt;=Dashboard!$F$17,MAX(0,W620-X620)*Dashboard!$F$6,0)</x:f>
      </x:c>
      <x:c r="Z620" s="32" t="e">
        <x:f>IF(A620&lt;=Dashboard!$F$17,MIN(Dashboard!$F$10,MAX(0,W620-X620)+Y620),0)</x:f>
      </x:c>
      <x:c r="AA620" s="32" t="e">
        <x:f>IF(A620&lt;=Dashboard!$F$17,MAX(0,W620-X620-MAX(0,Z620-Y620)),0)</x:f>
      </x:c>
      <x:c r="AB620" s="32" t="e">
        <x:f>IF(A620=1,Y620,AB619+Y620)</x:f>
      </x:c>
      <x:c r="AC620" s="32"/>
      <x:c r="AD620" s="32" t="e">
        <x:f>IF(A620=1,MAX(0,Dashboard!$F$14-$B$8),AG619)</x:f>
      </x:c>
      <x:c r="AE620" s="32" t="n">
        <x:f>0</x:f>
        <x:v>0</x:v>
      </x:c>
      <x:c r="AF620" s="32" t="e">
        <x:f>IF(A620&lt;=Dashboard!$F$17,AD620*Dashboard!$F$6,0)</x:f>
      </x:c>
      <x:c r="AG620" s="32" t="e">
        <x:f>IF(A620&lt;=Dashboard!$F$17,MIN(Dashboard!$F$10,AD620+AF620),0)</x:f>
      </x:c>
      <x:c r="AH620" s="32" t="e">
        <x:f>IF(A620&lt;=Dashboard!$F$17,MAX(0,AD620-MAX(0,AG620-AF620)),0)</x:f>
      </x:c>
      <x:c r="AI620" s="32" t="e">
        <x:f>IF(A620=1,AF620,AI619+AF620)</x:f>
      </x:c>
      <x:c r="AJ620" s="33"/>
      <x:c r="AK620" s="33"/>
      <x:c r="AL620" s="33"/>
      <x:c r="AM620" s="33"/>
    </x:row>
    <x:row r="621">
      <x:c r="A621" s="33" t="n">
        <x:v>609</x:v>
      </x:c>
      <x:c r="B621" s="32" t="e">
        <x:f>IF(A621=1,Dashboard!$F$14,F620)</x:f>
      </x:c>
      <x:c r="C621" s="32" t="n">
        <x:f>0</x:f>
        <x:v>0</x:v>
      </x:c>
      <x:c r="D621" s="32" t="e">
        <x:f>IF(A621&lt;=Dashboard!$F$15,B621*Dashboard!$F$6,0)</x:f>
      </x:c>
      <x:c r="E621" s="32" t="e">
        <x:f>IF(A621&lt;=Dashboard!$F$15,MIN(Dashboard!$F$10,B621+D621),0)</x:f>
      </x:c>
      <x:c r="F621" s="32" t="e">
        <x:f>IF(A621&lt;=Dashboard!$F$15,MAX(0,B621-MAX(0,E621-D621)),0)</x:f>
      </x:c>
      <x:c r="G621" s="32" t="e">
        <x:f>IF(A621=1,D621,G620+D621)</x:f>
      </x:c>
      <x:c r="H621" s="32"/>
      <x:c r="I621" s="32" t="e">
        <x:f>IF(A621=1,Dashboard!$F$14,M620)</x:f>
      </x:c>
      <x:c r="J621" s="32" t="e">
        <x:f>IF(A621&lt;=Dashboard!$F$17,MIN(I621,$B$5),0)</x:f>
      </x:c>
      <x:c r="K621" s="32" t="e">
        <x:f>IF(A621&lt;=Dashboard!$F$17,MAX(0,I621-J621)*Dashboard!$F$6,0)</x:f>
      </x:c>
      <x:c r="L621" s="32" t="e">
        <x:f>IF(A621&lt;=Dashboard!$F$17,MIN(Dashboard!$F$10,MAX(0,I621-J621)+K621),0)</x:f>
      </x:c>
      <x:c r="M621" s="32" t="e">
        <x:f>IF(A621&lt;=Dashboard!$F$17,MAX(0,I621-J621-MAX(0,L621-K621)),0)</x:f>
      </x:c>
      <x:c r="N621" s="32" t="e">
        <x:f>IF(A621=1,K621,N620+K621)</x:f>
      </x:c>
      <x:c r="O621" s="32"/>
      <x:c r="P621" s="32" t="e">
        <x:f>IF(A621=1,Dashboard!$F$14,T620)</x:f>
      </x:c>
      <x:c r="Q621" s="32" t="e">
        <x:f>IF(A621&lt;=Dashboard!$F$17,MIN(P621,$B$6*52/12),0)</x:f>
      </x:c>
      <x:c r="R621" s="32" t="e">
        <x:f>IF(A621&lt;=Dashboard!$F$17,MAX(0,P621-Q621)*Dashboard!$F$6,0)</x:f>
      </x:c>
      <x:c r="S621" s="32" t="e">
        <x:f>IF(A621&lt;=Dashboard!$F$17,MIN(Dashboard!$F$10,MAX(0,P621-Q621)+R621),0)</x:f>
      </x:c>
      <x:c r="T621" s="32" t="e">
        <x:f>IF(A621&lt;=Dashboard!$F$17,MAX(0,P621-Q621-MAX(0,S621-R621)),0)</x:f>
      </x:c>
      <x:c r="U621" s="32" t="e">
        <x:f>IF(A621=1,R621,U620+R621)</x:f>
      </x:c>
      <x:c r="V621" s="32"/>
      <x:c r="W621" s="32" t="e">
        <x:f>IF(A621=1,Dashboard!$F$14,AA620)</x:f>
      </x:c>
      <x:c r="X621" s="32" t="e">
        <x:f>IF(AND(A621&lt;=Dashboard!$F$17,MOD(A621-1,12)=0),MIN(W621,$B$7),0)</x:f>
      </x:c>
      <x:c r="Y621" s="32" t="e">
        <x:f>IF(A621&lt;=Dashboard!$F$17,MAX(0,W621-X621)*Dashboard!$F$6,0)</x:f>
      </x:c>
      <x:c r="Z621" s="32" t="e">
        <x:f>IF(A621&lt;=Dashboard!$F$17,MIN(Dashboard!$F$10,MAX(0,W621-X621)+Y621),0)</x:f>
      </x:c>
      <x:c r="AA621" s="32" t="e">
        <x:f>IF(A621&lt;=Dashboard!$F$17,MAX(0,W621-X621-MAX(0,Z621-Y621)),0)</x:f>
      </x:c>
      <x:c r="AB621" s="32" t="e">
        <x:f>IF(A621=1,Y621,AB620+Y621)</x:f>
      </x:c>
      <x:c r="AC621" s="32"/>
      <x:c r="AD621" s="32" t="e">
        <x:f>IF(A621=1,MAX(0,Dashboard!$F$14-$B$8),AG620)</x:f>
      </x:c>
      <x:c r="AE621" s="32" t="n">
        <x:f>0</x:f>
        <x:v>0</x:v>
      </x:c>
      <x:c r="AF621" s="32" t="e">
        <x:f>IF(A621&lt;=Dashboard!$F$17,AD621*Dashboard!$F$6,0)</x:f>
      </x:c>
      <x:c r="AG621" s="32" t="e">
        <x:f>IF(A621&lt;=Dashboard!$F$17,MIN(Dashboard!$F$10,AD621+AF621),0)</x:f>
      </x:c>
      <x:c r="AH621" s="32" t="e">
        <x:f>IF(A621&lt;=Dashboard!$F$17,MAX(0,AD621-MAX(0,AG621-AF621)),0)</x:f>
      </x:c>
      <x:c r="AI621" s="32" t="e">
        <x:f>IF(A621=1,AF621,AI620+AF621)</x:f>
      </x:c>
      <x:c r="AJ621" s="33"/>
      <x:c r="AK621" s="33"/>
      <x:c r="AL621" s="33"/>
      <x:c r="AM621" s="33"/>
    </x:row>
    <x:row r="622">
      <x:c r="A622" s="33" t="n">
        <x:v>610</x:v>
      </x:c>
      <x:c r="B622" s="32" t="e">
        <x:f>IF(A622=1,Dashboard!$F$14,F621)</x:f>
      </x:c>
      <x:c r="C622" s="32" t="n">
        <x:f>0</x:f>
        <x:v>0</x:v>
      </x:c>
      <x:c r="D622" s="32" t="e">
        <x:f>IF(A622&lt;=Dashboard!$F$15,B622*Dashboard!$F$6,0)</x:f>
      </x:c>
      <x:c r="E622" s="32" t="e">
        <x:f>IF(A622&lt;=Dashboard!$F$15,MIN(Dashboard!$F$10,B622+D622),0)</x:f>
      </x:c>
      <x:c r="F622" s="32" t="e">
        <x:f>IF(A622&lt;=Dashboard!$F$15,MAX(0,B622-MAX(0,E622-D622)),0)</x:f>
      </x:c>
      <x:c r="G622" s="32" t="e">
        <x:f>IF(A622=1,D622,G621+D622)</x:f>
      </x:c>
      <x:c r="H622" s="32"/>
      <x:c r="I622" s="32" t="e">
        <x:f>IF(A622=1,Dashboard!$F$14,M621)</x:f>
      </x:c>
      <x:c r="J622" s="32" t="e">
        <x:f>IF(A622&lt;=Dashboard!$F$17,MIN(I622,$B$5),0)</x:f>
      </x:c>
      <x:c r="K622" s="32" t="e">
        <x:f>IF(A622&lt;=Dashboard!$F$17,MAX(0,I622-J622)*Dashboard!$F$6,0)</x:f>
      </x:c>
      <x:c r="L622" s="32" t="e">
        <x:f>IF(A622&lt;=Dashboard!$F$17,MIN(Dashboard!$F$10,MAX(0,I622-J622)+K622),0)</x:f>
      </x:c>
      <x:c r="M622" s="32" t="e">
        <x:f>IF(A622&lt;=Dashboard!$F$17,MAX(0,I622-J622-MAX(0,L622-K622)),0)</x:f>
      </x:c>
      <x:c r="N622" s="32" t="e">
        <x:f>IF(A622=1,K622,N621+K622)</x:f>
      </x:c>
      <x:c r="O622" s="32"/>
      <x:c r="P622" s="32" t="e">
        <x:f>IF(A622=1,Dashboard!$F$14,T621)</x:f>
      </x:c>
      <x:c r="Q622" s="32" t="e">
        <x:f>IF(A622&lt;=Dashboard!$F$17,MIN(P622,$B$6*52/12),0)</x:f>
      </x:c>
      <x:c r="R622" s="32" t="e">
        <x:f>IF(A622&lt;=Dashboard!$F$17,MAX(0,P622-Q622)*Dashboard!$F$6,0)</x:f>
      </x:c>
      <x:c r="S622" s="32" t="e">
        <x:f>IF(A622&lt;=Dashboard!$F$17,MIN(Dashboard!$F$10,MAX(0,P622-Q622)+R622),0)</x:f>
      </x:c>
      <x:c r="T622" s="32" t="e">
        <x:f>IF(A622&lt;=Dashboard!$F$17,MAX(0,P622-Q622-MAX(0,S622-R622)),0)</x:f>
      </x:c>
      <x:c r="U622" s="32" t="e">
        <x:f>IF(A622=1,R622,U621+R622)</x:f>
      </x:c>
      <x:c r="V622" s="32"/>
      <x:c r="W622" s="32" t="e">
        <x:f>IF(A622=1,Dashboard!$F$14,AA621)</x:f>
      </x:c>
      <x:c r="X622" s="32" t="e">
        <x:f>IF(AND(A622&lt;=Dashboard!$F$17,MOD(A622-1,12)=0),MIN(W622,$B$7),0)</x:f>
      </x:c>
      <x:c r="Y622" s="32" t="e">
        <x:f>IF(A622&lt;=Dashboard!$F$17,MAX(0,W622-X622)*Dashboard!$F$6,0)</x:f>
      </x:c>
      <x:c r="Z622" s="32" t="e">
        <x:f>IF(A622&lt;=Dashboard!$F$17,MIN(Dashboard!$F$10,MAX(0,W622-X622)+Y622),0)</x:f>
      </x:c>
      <x:c r="AA622" s="32" t="e">
        <x:f>IF(A622&lt;=Dashboard!$F$17,MAX(0,W622-X622-MAX(0,Z622-Y622)),0)</x:f>
      </x:c>
      <x:c r="AB622" s="32" t="e">
        <x:f>IF(A622=1,Y622,AB621+Y622)</x:f>
      </x:c>
      <x:c r="AC622" s="32"/>
      <x:c r="AD622" s="32" t="e">
        <x:f>IF(A622=1,MAX(0,Dashboard!$F$14-$B$8),AG621)</x:f>
      </x:c>
      <x:c r="AE622" s="32" t="n">
        <x:f>0</x:f>
        <x:v>0</x:v>
      </x:c>
      <x:c r="AF622" s="32" t="e">
        <x:f>IF(A622&lt;=Dashboard!$F$17,AD622*Dashboard!$F$6,0)</x:f>
      </x:c>
      <x:c r="AG622" s="32" t="e">
        <x:f>IF(A622&lt;=Dashboard!$F$17,MIN(Dashboard!$F$10,AD622+AF622),0)</x:f>
      </x:c>
      <x:c r="AH622" s="32" t="e">
        <x:f>IF(A622&lt;=Dashboard!$F$17,MAX(0,AD622-MAX(0,AG622-AF622)),0)</x:f>
      </x:c>
      <x:c r="AI622" s="32" t="e">
        <x:f>IF(A622=1,AF622,AI621+AF622)</x:f>
      </x:c>
      <x:c r="AJ622" s="33"/>
      <x:c r="AK622" s="33"/>
      <x:c r="AL622" s="33"/>
      <x:c r="AM622" s="33"/>
    </x:row>
    <x:row r="623">
      <x:c r="A623" s="33" t="n">
        <x:v>611</x:v>
      </x:c>
      <x:c r="B623" s="32" t="e">
        <x:f>IF(A623=1,Dashboard!$F$14,F622)</x:f>
      </x:c>
      <x:c r="C623" s="32" t="n">
        <x:f>0</x:f>
        <x:v>0</x:v>
      </x:c>
      <x:c r="D623" s="32" t="e">
        <x:f>IF(A623&lt;=Dashboard!$F$15,B623*Dashboard!$F$6,0)</x:f>
      </x:c>
      <x:c r="E623" s="32" t="e">
        <x:f>IF(A623&lt;=Dashboard!$F$15,MIN(Dashboard!$F$10,B623+D623),0)</x:f>
      </x:c>
      <x:c r="F623" s="32" t="e">
        <x:f>IF(A623&lt;=Dashboard!$F$15,MAX(0,B623-MAX(0,E623-D623)),0)</x:f>
      </x:c>
      <x:c r="G623" s="32" t="e">
        <x:f>IF(A623=1,D623,G622+D623)</x:f>
      </x:c>
      <x:c r="H623" s="32"/>
      <x:c r="I623" s="32" t="e">
        <x:f>IF(A623=1,Dashboard!$F$14,M622)</x:f>
      </x:c>
      <x:c r="J623" s="32" t="e">
        <x:f>IF(A623&lt;=Dashboard!$F$17,MIN(I623,$B$5),0)</x:f>
      </x:c>
      <x:c r="K623" s="32" t="e">
        <x:f>IF(A623&lt;=Dashboard!$F$17,MAX(0,I623-J623)*Dashboard!$F$6,0)</x:f>
      </x:c>
      <x:c r="L623" s="32" t="e">
        <x:f>IF(A623&lt;=Dashboard!$F$17,MIN(Dashboard!$F$10,MAX(0,I623-J623)+K623),0)</x:f>
      </x:c>
      <x:c r="M623" s="32" t="e">
        <x:f>IF(A623&lt;=Dashboard!$F$17,MAX(0,I623-J623-MAX(0,L623-K623)),0)</x:f>
      </x:c>
      <x:c r="N623" s="32" t="e">
        <x:f>IF(A623=1,K623,N622+K623)</x:f>
      </x:c>
      <x:c r="O623" s="32"/>
      <x:c r="P623" s="32" t="e">
        <x:f>IF(A623=1,Dashboard!$F$14,T622)</x:f>
      </x:c>
      <x:c r="Q623" s="32" t="e">
        <x:f>IF(A623&lt;=Dashboard!$F$17,MIN(P623,$B$6*52/12),0)</x:f>
      </x:c>
      <x:c r="R623" s="32" t="e">
        <x:f>IF(A623&lt;=Dashboard!$F$17,MAX(0,P623-Q623)*Dashboard!$F$6,0)</x:f>
      </x:c>
      <x:c r="S623" s="32" t="e">
        <x:f>IF(A623&lt;=Dashboard!$F$17,MIN(Dashboard!$F$10,MAX(0,P623-Q623)+R623),0)</x:f>
      </x:c>
      <x:c r="T623" s="32" t="e">
        <x:f>IF(A623&lt;=Dashboard!$F$17,MAX(0,P623-Q623-MAX(0,S623-R623)),0)</x:f>
      </x:c>
      <x:c r="U623" s="32" t="e">
        <x:f>IF(A623=1,R623,U622+R623)</x:f>
      </x:c>
      <x:c r="V623" s="32"/>
      <x:c r="W623" s="32" t="e">
        <x:f>IF(A623=1,Dashboard!$F$14,AA622)</x:f>
      </x:c>
      <x:c r="X623" s="32" t="e">
        <x:f>IF(AND(A623&lt;=Dashboard!$F$17,MOD(A623-1,12)=0),MIN(W623,$B$7),0)</x:f>
      </x:c>
      <x:c r="Y623" s="32" t="e">
        <x:f>IF(A623&lt;=Dashboard!$F$17,MAX(0,W623-X623)*Dashboard!$F$6,0)</x:f>
      </x:c>
      <x:c r="Z623" s="32" t="e">
        <x:f>IF(A623&lt;=Dashboard!$F$17,MIN(Dashboard!$F$10,MAX(0,W623-X623)+Y623),0)</x:f>
      </x:c>
      <x:c r="AA623" s="32" t="e">
        <x:f>IF(A623&lt;=Dashboard!$F$17,MAX(0,W623-X623-MAX(0,Z623-Y623)),0)</x:f>
      </x:c>
      <x:c r="AB623" s="32" t="e">
        <x:f>IF(A623=1,Y623,AB622+Y623)</x:f>
      </x:c>
      <x:c r="AC623" s="32"/>
      <x:c r="AD623" s="32" t="e">
        <x:f>IF(A623=1,MAX(0,Dashboard!$F$14-$B$8),AG622)</x:f>
      </x:c>
      <x:c r="AE623" s="32" t="n">
        <x:f>0</x:f>
        <x:v>0</x:v>
      </x:c>
      <x:c r="AF623" s="32" t="e">
        <x:f>IF(A623&lt;=Dashboard!$F$17,AD623*Dashboard!$F$6,0)</x:f>
      </x:c>
      <x:c r="AG623" s="32" t="e">
        <x:f>IF(A623&lt;=Dashboard!$F$17,MIN(Dashboard!$F$10,AD623+AF623),0)</x:f>
      </x:c>
      <x:c r="AH623" s="32" t="e">
        <x:f>IF(A623&lt;=Dashboard!$F$17,MAX(0,AD623-MAX(0,AG623-AF623)),0)</x:f>
      </x:c>
      <x:c r="AI623" s="32" t="e">
        <x:f>IF(A623=1,AF623,AI622+AF623)</x:f>
      </x:c>
      <x:c r="AJ623" s="33"/>
      <x:c r="AK623" s="33"/>
      <x:c r="AL623" s="33"/>
      <x:c r="AM623" s="33"/>
    </x:row>
    <x:row r="624">
      <x:c r="A624" s="33" t="n">
        <x:v>612</x:v>
      </x:c>
      <x:c r="B624" s="32" t="e">
        <x:f>IF(A624=1,Dashboard!$F$14,F623)</x:f>
      </x:c>
      <x:c r="C624" s="32" t="n">
        <x:f>0</x:f>
        <x:v>0</x:v>
      </x:c>
      <x:c r="D624" s="32" t="e">
        <x:f>IF(A624&lt;=Dashboard!$F$15,B624*Dashboard!$F$6,0)</x:f>
      </x:c>
      <x:c r="E624" s="32" t="e">
        <x:f>IF(A624&lt;=Dashboard!$F$15,MIN(Dashboard!$F$10,B624+D624),0)</x:f>
      </x:c>
      <x:c r="F624" s="32" t="e">
        <x:f>IF(A624&lt;=Dashboard!$F$15,MAX(0,B624-MAX(0,E624-D624)),0)</x:f>
      </x:c>
      <x:c r="G624" s="32" t="e">
        <x:f>IF(A624=1,D624,G623+D624)</x:f>
      </x:c>
      <x:c r="H624" s="32"/>
      <x:c r="I624" s="32" t="e">
        <x:f>IF(A624=1,Dashboard!$F$14,M623)</x:f>
      </x:c>
      <x:c r="J624" s="32" t="e">
        <x:f>IF(A624&lt;=Dashboard!$F$17,MIN(I624,$B$5),0)</x:f>
      </x:c>
      <x:c r="K624" s="32" t="e">
        <x:f>IF(A624&lt;=Dashboard!$F$17,MAX(0,I624-J624)*Dashboard!$F$6,0)</x:f>
      </x:c>
      <x:c r="L624" s="32" t="e">
        <x:f>IF(A624&lt;=Dashboard!$F$17,MIN(Dashboard!$F$10,MAX(0,I624-J624)+K624),0)</x:f>
      </x:c>
      <x:c r="M624" s="32" t="e">
        <x:f>IF(A624&lt;=Dashboard!$F$17,MAX(0,I624-J624-MAX(0,L624-K624)),0)</x:f>
      </x:c>
      <x:c r="N624" s="32" t="e">
        <x:f>IF(A624=1,K624,N623+K624)</x:f>
      </x:c>
      <x:c r="O624" s="32"/>
      <x:c r="P624" s="32" t="e">
        <x:f>IF(A624=1,Dashboard!$F$14,T623)</x:f>
      </x:c>
      <x:c r="Q624" s="32" t="e">
        <x:f>IF(A624&lt;=Dashboard!$F$17,MIN(P624,$B$6*52/12),0)</x:f>
      </x:c>
      <x:c r="R624" s="32" t="e">
        <x:f>IF(A624&lt;=Dashboard!$F$17,MAX(0,P624-Q624)*Dashboard!$F$6,0)</x:f>
      </x:c>
      <x:c r="S624" s="32" t="e">
        <x:f>IF(A624&lt;=Dashboard!$F$17,MIN(Dashboard!$F$10,MAX(0,P624-Q624)+R624),0)</x:f>
      </x:c>
      <x:c r="T624" s="32" t="e">
        <x:f>IF(A624&lt;=Dashboard!$F$17,MAX(0,P624-Q624-MAX(0,S624-R624)),0)</x:f>
      </x:c>
      <x:c r="U624" s="32" t="e">
        <x:f>IF(A624=1,R624,U623+R624)</x:f>
      </x:c>
      <x:c r="V624" s="32"/>
      <x:c r="W624" s="32" t="e">
        <x:f>IF(A624=1,Dashboard!$F$14,AA623)</x:f>
      </x:c>
      <x:c r="X624" s="32" t="e">
        <x:f>IF(AND(A624&lt;=Dashboard!$F$17,MOD(A624-1,12)=0),MIN(W624,$B$7),0)</x:f>
      </x:c>
      <x:c r="Y624" s="32" t="e">
        <x:f>IF(A624&lt;=Dashboard!$F$17,MAX(0,W624-X624)*Dashboard!$F$6,0)</x:f>
      </x:c>
      <x:c r="Z624" s="32" t="e">
        <x:f>IF(A624&lt;=Dashboard!$F$17,MIN(Dashboard!$F$10,MAX(0,W624-X624)+Y624),0)</x:f>
      </x:c>
      <x:c r="AA624" s="32" t="e">
        <x:f>IF(A624&lt;=Dashboard!$F$17,MAX(0,W624-X624-MAX(0,Z624-Y624)),0)</x:f>
      </x:c>
      <x:c r="AB624" s="32" t="e">
        <x:f>IF(A624=1,Y624,AB623+Y624)</x:f>
      </x:c>
      <x:c r="AC624" s="32"/>
      <x:c r="AD624" s="32" t="e">
        <x:f>IF(A624=1,MAX(0,Dashboard!$F$14-$B$8),AG623)</x:f>
      </x:c>
      <x:c r="AE624" s="32" t="n">
        <x:f>0</x:f>
        <x:v>0</x:v>
      </x:c>
      <x:c r="AF624" s="32" t="e">
        <x:f>IF(A624&lt;=Dashboard!$F$17,AD624*Dashboard!$F$6,0)</x:f>
      </x:c>
      <x:c r="AG624" s="32" t="e">
        <x:f>IF(A624&lt;=Dashboard!$F$17,MIN(Dashboard!$F$10,AD624+AF624),0)</x:f>
      </x:c>
      <x:c r="AH624" s="32" t="e">
        <x:f>IF(A624&lt;=Dashboard!$F$17,MAX(0,AD624-MAX(0,AG624-AF624)),0)</x:f>
      </x:c>
      <x:c r="AI624" s="32" t="e">
        <x:f>IF(A624=1,AF624,AI623+AF624)</x:f>
      </x:c>
      <x:c r="AJ624" s="33"/>
      <x:c r="AK624" s="33"/>
      <x:c r="AL624" s="33"/>
      <x:c r="AM624" s="33"/>
    </x:row>
    <x:row r="625">
      <x:c r="A625" s="33" t="n">
        <x:v>613</x:v>
      </x:c>
      <x:c r="B625" s="32" t="e">
        <x:f>IF(A625=1,Dashboard!$F$14,F624)</x:f>
      </x:c>
      <x:c r="C625" s="32" t="n">
        <x:f>0</x:f>
        <x:v>0</x:v>
      </x:c>
      <x:c r="D625" s="32" t="e">
        <x:f>IF(A625&lt;=Dashboard!$F$15,B625*Dashboard!$F$6,0)</x:f>
      </x:c>
      <x:c r="E625" s="32" t="e">
        <x:f>IF(A625&lt;=Dashboard!$F$15,MIN(Dashboard!$F$10,B625+D625),0)</x:f>
      </x:c>
      <x:c r="F625" s="32" t="e">
        <x:f>IF(A625&lt;=Dashboard!$F$15,MAX(0,B625-MAX(0,E625-D625)),0)</x:f>
      </x:c>
      <x:c r="G625" s="32" t="e">
        <x:f>IF(A625=1,D625,G624+D625)</x:f>
      </x:c>
      <x:c r="H625" s="32"/>
      <x:c r="I625" s="32" t="e">
        <x:f>IF(A625=1,Dashboard!$F$14,M624)</x:f>
      </x:c>
      <x:c r="J625" s="32" t="e">
        <x:f>IF(A625&lt;=Dashboard!$F$17,MIN(I625,$B$5),0)</x:f>
      </x:c>
      <x:c r="K625" s="32" t="e">
        <x:f>IF(A625&lt;=Dashboard!$F$17,MAX(0,I625-J625)*Dashboard!$F$6,0)</x:f>
      </x:c>
      <x:c r="L625" s="32" t="e">
        <x:f>IF(A625&lt;=Dashboard!$F$17,MIN(Dashboard!$F$10,MAX(0,I625-J625)+K625),0)</x:f>
      </x:c>
      <x:c r="M625" s="32" t="e">
        <x:f>IF(A625&lt;=Dashboard!$F$17,MAX(0,I625-J625-MAX(0,L625-K625)),0)</x:f>
      </x:c>
      <x:c r="N625" s="32" t="e">
        <x:f>IF(A625=1,K625,N624+K625)</x:f>
      </x:c>
      <x:c r="O625" s="32"/>
      <x:c r="P625" s="32" t="e">
        <x:f>IF(A625=1,Dashboard!$F$14,T624)</x:f>
      </x:c>
      <x:c r="Q625" s="32" t="e">
        <x:f>IF(A625&lt;=Dashboard!$F$17,MIN(P625,$B$6*52/12),0)</x:f>
      </x:c>
      <x:c r="R625" s="32" t="e">
        <x:f>IF(A625&lt;=Dashboard!$F$17,MAX(0,P625-Q625)*Dashboard!$F$6,0)</x:f>
      </x:c>
      <x:c r="S625" s="32" t="e">
        <x:f>IF(A625&lt;=Dashboard!$F$17,MIN(Dashboard!$F$10,MAX(0,P625-Q625)+R625),0)</x:f>
      </x:c>
      <x:c r="T625" s="32" t="e">
        <x:f>IF(A625&lt;=Dashboard!$F$17,MAX(0,P625-Q625-MAX(0,S625-R625)),0)</x:f>
      </x:c>
      <x:c r="U625" s="32" t="e">
        <x:f>IF(A625=1,R625,U624+R625)</x:f>
      </x:c>
      <x:c r="V625" s="32"/>
      <x:c r="W625" s="32" t="e">
        <x:f>IF(A625=1,Dashboard!$F$14,AA624)</x:f>
      </x:c>
      <x:c r="X625" s="32" t="e">
        <x:f>IF(AND(A625&lt;=Dashboard!$F$17,MOD(A625-1,12)=0),MIN(W625,$B$7),0)</x:f>
      </x:c>
      <x:c r="Y625" s="32" t="e">
        <x:f>IF(A625&lt;=Dashboard!$F$17,MAX(0,W625-X625)*Dashboard!$F$6,0)</x:f>
      </x:c>
      <x:c r="Z625" s="32" t="e">
        <x:f>IF(A625&lt;=Dashboard!$F$17,MIN(Dashboard!$F$10,MAX(0,W625-X625)+Y625),0)</x:f>
      </x:c>
      <x:c r="AA625" s="32" t="e">
        <x:f>IF(A625&lt;=Dashboard!$F$17,MAX(0,W625-X625-MAX(0,Z625-Y625)),0)</x:f>
      </x:c>
      <x:c r="AB625" s="32" t="e">
        <x:f>IF(A625=1,Y625,AB624+Y625)</x:f>
      </x:c>
      <x:c r="AC625" s="32"/>
      <x:c r="AD625" s="32" t="e">
        <x:f>IF(A625=1,MAX(0,Dashboard!$F$14-$B$8),AG624)</x:f>
      </x:c>
      <x:c r="AE625" s="32" t="n">
        <x:f>0</x:f>
        <x:v>0</x:v>
      </x:c>
      <x:c r="AF625" s="32" t="e">
        <x:f>IF(A625&lt;=Dashboard!$F$17,AD625*Dashboard!$F$6,0)</x:f>
      </x:c>
      <x:c r="AG625" s="32" t="e">
        <x:f>IF(A625&lt;=Dashboard!$F$17,MIN(Dashboard!$F$10,AD625+AF625),0)</x:f>
      </x:c>
      <x:c r="AH625" s="32" t="e">
        <x:f>IF(A625&lt;=Dashboard!$F$17,MAX(0,AD625-MAX(0,AG625-AF625)),0)</x:f>
      </x:c>
      <x:c r="AI625" s="32" t="e">
        <x:f>IF(A625=1,AF625,AI624+AF625)</x:f>
      </x:c>
      <x:c r="AJ625" s="33"/>
      <x:c r="AK625" s="33"/>
      <x:c r="AL625" s="33"/>
      <x:c r="AM625" s="33"/>
    </x:row>
    <x:row r="626">
      <x:c r="A626" s="33" t="n">
        <x:v>614</x:v>
      </x:c>
      <x:c r="B626" s="32" t="e">
        <x:f>IF(A626=1,Dashboard!$F$14,F625)</x:f>
      </x:c>
      <x:c r="C626" s="32" t="n">
        <x:f>0</x:f>
        <x:v>0</x:v>
      </x:c>
      <x:c r="D626" s="32" t="e">
        <x:f>IF(A626&lt;=Dashboard!$F$15,B626*Dashboard!$F$6,0)</x:f>
      </x:c>
      <x:c r="E626" s="32" t="e">
        <x:f>IF(A626&lt;=Dashboard!$F$15,MIN(Dashboard!$F$10,B626+D626),0)</x:f>
      </x:c>
      <x:c r="F626" s="32" t="e">
        <x:f>IF(A626&lt;=Dashboard!$F$15,MAX(0,B626-MAX(0,E626-D626)),0)</x:f>
      </x:c>
      <x:c r="G626" s="32" t="e">
        <x:f>IF(A626=1,D626,G625+D626)</x:f>
      </x:c>
      <x:c r="H626" s="32"/>
      <x:c r="I626" s="32" t="e">
        <x:f>IF(A626=1,Dashboard!$F$14,M625)</x:f>
      </x:c>
      <x:c r="J626" s="32" t="e">
        <x:f>IF(A626&lt;=Dashboard!$F$17,MIN(I626,$B$5),0)</x:f>
      </x:c>
      <x:c r="K626" s="32" t="e">
        <x:f>IF(A626&lt;=Dashboard!$F$17,MAX(0,I626-J626)*Dashboard!$F$6,0)</x:f>
      </x:c>
      <x:c r="L626" s="32" t="e">
        <x:f>IF(A626&lt;=Dashboard!$F$17,MIN(Dashboard!$F$10,MAX(0,I626-J626)+K626),0)</x:f>
      </x:c>
      <x:c r="M626" s="32" t="e">
        <x:f>IF(A626&lt;=Dashboard!$F$17,MAX(0,I626-J626-MAX(0,L626-K626)),0)</x:f>
      </x:c>
      <x:c r="N626" s="32" t="e">
        <x:f>IF(A626=1,K626,N625+K626)</x:f>
      </x:c>
      <x:c r="O626" s="32"/>
      <x:c r="P626" s="32" t="e">
        <x:f>IF(A626=1,Dashboard!$F$14,T625)</x:f>
      </x:c>
      <x:c r="Q626" s="32" t="e">
        <x:f>IF(A626&lt;=Dashboard!$F$17,MIN(P626,$B$6*52/12),0)</x:f>
      </x:c>
      <x:c r="R626" s="32" t="e">
        <x:f>IF(A626&lt;=Dashboard!$F$17,MAX(0,P626-Q626)*Dashboard!$F$6,0)</x:f>
      </x:c>
      <x:c r="S626" s="32" t="e">
        <x:f>IF(A626&lt;=Dashboard!$F$17,MIN(Dashboard!$F$10,MAX(0,P626-Q626)+R626),0)</x:f>
      </x:c>
      <x:c r="T626" s="32" t="e">
        <x:f>IF(A626&lt;=Dashboard!$F$17,MAX(0,P626-Q626-MAX(0,S626-R626)),0)</x:f>
      </x:c>
      <x:c r="U626" s="32" t="e">
        <x:f>IF(A626=1,R626,U625+R626)</x:f>
      </x:c>
      <x:c r="V626" s="32"/>
      <x:c r="W626" s="32" t="e">
        <x:f>IF(A626=1,Dashboard!$F$14,AA625)</x:f>
      </x:c>
      <x:c r="X626" s="32" t="e">
        <x:f>IF(AND(A626&lt;=Dashboard!$F$17,MOD(A626-1,12)=0),MIN(W626,$B$7),0)</x:f>
      </x:c>
      <x:c r="Y626" s="32" t="e">
        <x:f>IF(A626&lt;=Dashboard!$F$17,MAX(0,W626-X626)*Dashboard!$F$6,0)</x:f>
      </x:c>
      <x:c r="Z626" s="32" t="e">
        <x:f>IF(A626&lt;=Dashboard!$F$17,MIN(Dashboard!$F$10,MAX(0,W626-X626)+Y626),0)</x:f>
      </x:c>
      <x:c r="AA626" s="32" t="e">
        <x:f>IF(A626&lt;=Dashboard!$F$17,MAX(0,W626-X626-MAX(0,Z626-Y626)),0)</x:f>
      </x:c>
      <x:c r="AB626" s="32" t="e">
        <x:f>IF(A626=1,Y626,AB625+Y626)</x:f>
      </x:c>
      <x:c r="AC626" s="32"/>
      <x:c r="AD626" s="32" t="e">
        <x:f>IF(A626=1,MAX(0,Dashboard!$F$14-$B$8),AG625)</x:f>
      </x:c>
      <x:c r="AE626" s="32" t="n">
        <x:f>0</x:f>
        <x:v>0</x:v>
      </x:c>
      <x:c r="AF626" s="32" t="e">
        <x:f>IF(A626&lt;=Dashboard!$F$17,AD626*Dashboard!$F$6,0)</x:f>
      </x:c>
      <x:c r="AG626" s="32" t="e">
        <x:f>IF(A626&lt;=Dashboard!$F$17,MIN(Dashboard!$F$10,AD626+AF626),0)</x:f>
      </x:c>
      <x:c r="AH626" s="32" t="e">
        <x:f>IF(A626&lt;=Dashboard!$F$17,MAX(0,AD626-MAX(0,AG626-AF626)),0)</x:f>
      </x:c>
      <x:c r="AI626" s="32" t="e">
        <x:f>IF(A626=1,AF626,AI625+AF626)</x:f>
      </x:c>
      <x:c r="AJ626" s="33"/>
      <x:c r="AK626" s="33"/>
      <x:c r="AL626" s="33"/>
      <x:c r="AM626" s="33"/>
    </x:row>
    <x:row r="627">
      <x:c r="A627" s="33" t="n">
        <x:v>615</x:v>
      </x:c>
      <x:c r="B627" s="32" t="e">
        <x:f>IF(A627=1,Dashboard!$F$14,F626)</x:f>
      </x:c>
      <x:c r="C627" s="32" t="n">
        <x:f>0</x:f>
        <x:v>0</x:v>
      </x:c>
      <x:c r="D627" s="32" t="e">
        <x:f>IF(A627&lt;=Dashboard!$F$15,B627*Dashboard!$F$6,0)</x:f>
      </x:c>
      <x:c r="E627" s="32" t="e">
        <x:f>IF(A627&lt;=Dashboard!$F$15,MIN(Dashboard!$F$10,B627+D627),0)</x:f>
      </x:c>
      <x:c r="F627" s="32" t="e">
        <x:f>IF(A627&lt;=Dashboard!$F$15,MAX(0,B627-MAX(0,E627-D627)),0)</x:f>
      </x:c>
      <x:c r="G627" s="32" t="e">
        <x:f>IF(A627=1,D627,G626+D627)</x:f>
      </x:c>
      <x:c r="H627" s="32"/>
      <x:c r="I627" s="32" t="e">
        <x:f>IF(A627=1,Dashboard!$F$14,M626)</x:f>
      </x:c>
      <x:c r="J627" s="32" t="e">
        <x:f>IF(A627&lt;=Dashboard!$F$17,MIN(I627,$B$5),0)</x:f>
      </x:c>
      <x:c r="K627" s="32" t="e">
        <x:f>IF(A627&lt;=Dashboard!$F$17,MAX(0,I627-J627)*Dashboard!$F$6,0)</x:f>
      </x:c>
      <x:c r="L627" s="32" t="e">
        <x:f>IF(A627&lt;=Dashboard!$F$17,MIN(Dashboard!$F$10,MAX(0,I627-J627)+K627),0)</x:f>
      </x:c>
      <x:c r="M627" s="32" t="e">
        <x:f>IF(A627&lt;=Dashboard!$F$17,MAX(0,I627-J627-MAX(0,L627-K627)),0)</x:f>
      </x:c>
      <x:c r="N627" s="32" t="e">
        <x:f>IF(A627=1,K627,N626+K627)</x:f>
      </x:c>
      <x:c r="O627" s="32"/>
      <x:c r="P627" s="32" t="e">
        <x:f>IF(A627=1,Dashboard!$F$14,T626)</x:f>
      </x:c>
      <x:c r="Q627" s="32" t="e">
        <x:f>IF(A627&lt;=Dashboard!$F$17,MIN(P627,$B$6*52/12),0)</x:f>
      </x:c>
      <x:c r="R627" s="32" t="e">
        <x:f>IF(A627&lt;=Dashboard!$F$17,MAX(0,P627-Q627)*Dashboard!$F$6,0)</x:f>
      </x:c>
      <x:c r="S627" s="32" t="e">
        <x:f>IF(A627&lt;=Dashboard!$F$17,MIN(Dashboard!$F$10,MAX(0,P627-Q627)+R627),0)</x:f>
      </x:c>
      <x:c r="T627" s="32" t="e">
        <x:f>IF(A627&lt;=Dashboard!$F$17,MAX(0,P627-Q627-MAX(0,S627-R627)),0)</x:f>
      </x:c>
      <x:c r="U627" s="32" t="e">
        <x:f>IF(A627=1,R627,U626+R627)</x:f>
      </x:c>
      <x:c r="V627" s="32"/>
      <x:c r="W627" s="32" t="e">
        <x:f>IF(A627=1,Dashboard!$F$14,AA626)</x:f>
      </x:c>
      <x:c r="X627" s="32" t="e">
        <x:f>IF(AND(A627&lt;=Dashboard!$F$17,MOD(A627-1,12)=0),MIN(W627,$B$7),0)</x:f>
      </x:c>
      <x:c r="Y627" s="32" t="e">
        <x:f>IF(A627&lt;=Dashboard!$F$17,MAX(0,W627-X627)*Dashboard!$F$6,0)</x:f>
      </x:c>
      <x:c r="Z627" s="32" t="e">
        <x:f>IF(A627&lt;=Dashboard!$F$17,MIN(Dashboard!$F$10,MAX(0,W627-X627)+Y627),0)</x:f>
      </x:c>
      <x:c r="AA627" s="32" t="e">
        <x:f>IF(A627&lt;=Dashboard!$F$17,MAX(0,W627-X627-MAX(0,Z627-Y627)),0)</x:f>
      </x:c>
      <x:c r="AB627" s="32" t="e">
        <x:f>IF(A627=1,Y627,AB626+Y627)</x:f>
      </x:c>
      <x:c r="AC627" s="32"/>
      <x:c r="AD627" s="32" t="e">
        <x:f>IF(A627=1,MAX(0,Dashboard!$F$14-$B$8),AG626)</x:f>
      </x:c>
      <x:c r="AE627" s="32" t="n">
        <x:f>0</x:f>
        <x:v>0</x:v>
      </x:c>
      <x:c r="AF627" s="32" t="e">
        <x:f>IF(A627&lt;=Dashboard!$F$17,AD627*Dashboard!$F$6,0)</x:f>
      </x:c>
      <x:c r="AG627" s="32" t="e">
        <x:f>IF(A627&lt;=Dashboard!$F$17,MIN(Dashboard!$F$10,AD627+AF627),0)</x:f>
      </x:c>
      <x:c r="AH627" s="32" t="e">
        <x:f>IF(A627&lt;=Dashboard!$F$17,MAX(0,AD627-MAX(0,AG627-AF627)),0)</x:f>
      </x:c>
      <x:c r="AI627" s="32" t="e">
        <x:f>IF(A627=1,AF627,AI626+AF627)</x:f>
      </x:c>
      <x:c r="AJ627" s="33"/>
      <x:c r="AK627" s="33"/>
      <x:c r="AL627" s="33"/>
      <x:c r="AM627" s="33"/>
    </x:row>
    <x:row r="628">
      <x:c r="A628" s="33" t="n">
        <x:v>616</x:v>
      </x:c>
      <x:c r="B628" s="32" t="e">
        <x:f>IF(A628=1,Dashboard!$F$14,F627)</x:f>
      </x:c>
      <x:c r="C628" s="32" t="n">
        <x:f>0</x:f>
        <x:v>0</x:v>
      </x:c>
      <x:c r="D628" s="32" t="e">
        <x:f>IF(A628&lt;=Dashboard!$F$15,B628*Dashboard!$F$6,0)</x:f>
      </x:c>
      <x:c r="E628" s="32" t="e">
        <x:f>IF(A628&lt;=Dashboard!$F$15,MIN(Dashboard!$F$10,B628+D628),0)</x:f>
      </x:c>
      <x:c r="F628" s="32" t="e">
        <x:f>IF(A628&lt;=Dashboard!$F$15,MAX(0,B628-MAX(0,E628-D628)),0)</x:f>
      </x:c>
      <x:c r="G628" s="32" t="e">
        <x:f>IF(A628=1,D628,G627+D628)</x:f>
      </x:c>
      <x:c r="H628" s="32"/>
      <x:c r="I628" s="32" t="e">
        <x:f>IF(A628=1,Dashboard!$F$14,M627)</x:f>
      </x:c>
      <x:c r="J628" s="32" t="e">
        <x:f>IF(A628&lt;=Dashboard!$F$17,MIN(I628,$B$5),0)</x:f>
      </x:c>
      <x:c r="K628" s="32" t="e">
        <x:f>IF(A628&lt;=Dashboard!$F$17,MAX(0,I628-J628)*Dashboard!$F$6,0)</x:f>
      </x:c>
      <x:c r="L628" s="32" t="e">
        <x:f>IF(A628&lt;=Dashboard!$F$17,MIN(Dashboard!$F$10,MAX(0,I628-J628)+K628),0)</x:f>
      </x:c>
      <x:c r="M628" s="32" t="e">
        <x:f>IF(A628&lt;=Dashboard!$F$17,MAX(0,I628-J628-MAX(0,L628-K628)),0)</x:f>
      </x:c>
      <x:c r="N628" s="32" t="e">
        <x:f>IF(A628=1,K628,N627+K628)</x:f>
      </x:c>
      <x:c r="O628" s="32"/>
      <x:c r="P628" s="32" t="e">
        <x:f>IF(A628=1,Dashboard!$F$14,T627)</x:f>
      </x:c>
      <x:c r="Q628" s="32" t="e">
        <x:f>IF(A628&lt;=Dashboard!$F$17,MIN(P628,$B$6*52/12),0)</x:f>
      </x:c>
      <x:c r="R628" s="32" t="e">
        <x:f>IF(A628&lt;=Dashboard!$F$17,MAX(0,P628-Q628)*Dashboard!$F$6,0)</x:f>
      </x:c>
      <x:c r="S628" s="32" t="e">
        <x:f>IF(A628&lt;=Dashboard!$F$17,MIN(Dashboard!$F$10,MAX(0,P628-Q628)+R628),0)</x:f>
      </x:c>
      <x:c r="T628" s="32" t="e">
        <x:f>IF(A628&lt;=Dashboard!$F$17,MAX(0,P628-Q628-MAX(0,S628-R628)),0)</x:f>
      </x:c>
      <x:c r="U628" s="32" t="e">
        <x:f>IF(A628=1,R628,U627+R628)</x:f>
      </x:c>
      <x:c r="V628" s="32"/>
      <x:c r="W628" s="32" t="e">
        <x:f>IF(A628=1,Dashboard!$F$14,AA627)</x:f>
      </x:c>
      <x:c r="X628" s="32" t="e">
        <x:f>IF(AND(A628&lt;=Dashboard!$F$17,MOD(A628-1,12)=0),MIN(W628,$B$7),0)</x:f>
      </x:c>
      <x:c r="Y628" s="32" t="e">
        <x:f>IF(A628&lt;=Dashboard!$F$17,MAX(0,W628-X628)*Dashboard!$F$6,0)</x:f>
      </x:c>
      <x:c r="Z628" s="32" t="e">
        <x:f>IF(A628&lt;=Dashboard!$F$17,MIN(Dashboard!$F$10,MAX(0,W628-X628)+Y628),0)</x:f>
      </x:c>
      <x:c r="AA628" s="32" t="e">
        <x:f>IF(A628&lt;=Dashboard!$F$17,MAX(0,W628-X628-MAX(0,Z628-Y628)),0)</x:f>
      </x:c>
      <x:c r="AB628" s="32" t="e">
        <x:f>IF(A628=1,Y628,AB627+Y628)</x:f>
      </x:c>
      <x:c r="AC628" s="32"/>
      <x:c r="AD628" s="32" t="e">
        <x:f>IF(A628=1,MAX(0,Dashboard!$F$14-$B$8),AG627)</x:f>
      </x:c>
      <x:c r="AE628" s="32" t="n">
        <x:f>0</x:f>
        <x:v>0</x:v>
      </x:c>
      <x:c r="AF628" s="32" t="e">
        <x:f>IF(A628&lt;=Dashboard!$F$17,AD628*Dashboard!$F$6,0)</x:f>
      </x:c>
      <x:c r="AG628" s="32" t="e">
        <x:f>IF(A628&lt;=Dashboard!$F$17,MIN(Dashboard!$F$10,AD628+AF628),0)</x:f>
      </x:c>
      <x:c r="AH628" s="32" t="e">
        <x:f>IF(A628&lt;=Dashboard!$F$17,MAX(0,AD628-MAX(0,AG628-AF628)),0)</x:f>
      </x:c>
      <x:c r="AI628" s="32" t="e">
        <x:f>IF(A628=1,AF628,AI627+AF628)</x:f>
      </x:c>
      <x:c r="AJ628" s="33"/>
      <x:c r="AK628" s="33"/>
      <x:c r="AL628" s="33"/>
      <x:c r="AM628" s="33"/>
    </x:row>
    <x:row r="629">
      <x:c r="A629" s="33" t="n">
        <x:v>617</x:v>
      </x:c>
      <x:c r="B629" s="32" t="e">
        <x:f>IF(A629=1,Dashboard!$F$14,F628)</x:f>
      </x:c>
      <x:c r="C629" s="32" t="n">
        <x:f>0</x:f>
        <x:v>0</x:v>
      </x:c>
      <x:c r="D629" s="32" t="e">
        <x:f>IF(A629&lt;=Dashboard!$F$15,B629*Dashboard!$F$6,0)</x:f>
      </x:c>
      <x:c r="E629" s="32" t="e">
        <x:f>IF(A629&lt;=Dashboard!$F$15,MIN(Dashboard!$F$10,B629+D629),0)</x:f>
      </x:c>
      <x:c r="F629" s="32" t="e">
        <x:f>IF(A629&lt;=Dashboard!$F$15,MAX(0,B629-MAX(0,E629-D629)),0)</x:f>
      </x:c>
      <x:c r="G629" s="32" t="e">
        <x:f>IF(A629=1,D629,G628+D629)</x:f>
      </x:c>
      <x:c r="H629" s="32"/>
      <x:c r="I629" s="32" t="e">
        <x:f>IF(A629=1,Dashboard!$F$14,M628)</x:f>
      </x:c>
      <x:c r="J629" s="32" t="e">
        <x:f>IF(A629&lt;=Dashboard!$F$17,MIN(I629,$B$5),0)</x:f>
      </x:c>
      <x:c r="K629" s="32" t="e">
        <x:f>IF(A629&lt;=Dashboard!$F$17,MAX(0,I629-J629)*Dashboard!$F$6,0)</x:f>
      </x:c>
      <x:c r="L629" s="32" t="e">
        <x:f>IF(A629&lt;=Dashboard!$F$17,MIN(Dashboard!$F$10,MAX(0,I629-J629)+K629),0)</x:f>
      </x:c>
      <x:c r="M629" s="32" t="e">
        <x:f>IF(A629&lt;=Dashboard!$F$17,MAX(0,I629-J629-MAX(0,L629-K629)),0)</x:f>
      </x:c>
      <x:c r="N629" s="32" t="e">
        <x:f>IF(A629=1,K629,N628+K629)</x:f>
      </x:c>
      <x:c r="O629" s="32"/>
      <x:c r="P629" s="32" t="e">
        <x:f>IF(A629=1,Dashboard!$F$14,T628)</x:f>
      </x:c>
      <x:c r="Q629" s="32" t="e">
        <x:f>IF(A629&lt;=Dashboard!$F$17,MIN(P629,$B$6*52/12),0)</x:f>
      </x:c>
      <x:c r="R629" s="32" t="e">
        <x:f>IF(A629&lt;=Dashboard!$F$17,MAX(0,P629-Q629)*Dashboard!$F$6,0)</x:f>
      </x:c>
      <x:c r="S629" s="32" t="e">
        <x:f>IF(A629&lt;=Dashboard!$F$17,MIN(Dashboard!$F$10,MAX(0,P629-Q629)+R629),0)</x:f>
      </x:c>
      <x:c r="T629" s="32" t="e">
        <x:f>IF(A629&lt;=Dashboard!$F$17,MAX(0,P629-Q629-MAX(0,S629-R629)),0)</x:f>
      </x:c>
      <x:c r="U629" s="32" t="e">
        <x:f>IF(A629=1,R629,U628+R629)</x:f>
      </x:c>
      <x:c r="V629" s="32"/>
      <x:c r="W629" s="32" t="e">
        <x:f>IF(A629=1,Dashboard!$F$14,AA628)</x:f>
      </x:c>
      <x:c r="X629" s="32" t="e">
        <x:f>IF(AND(A629&lt;=Dashboard!$F$17,MOD(A629-1,12)=0),MIN(W629,$B$7),0)</x:f>
      </x:c>
      <x:c r="Y629" s="32" t="e">
        <x:f>IF(A629&lt;=Dashboard!$F$17,MAX(0,W629-X629)*Dashboard!$F$6,0)</x:f>
      </x:c>
      <x:c r="Z629" s="32" t="e">
        <x:f>IF(A629&lt;=Dashboard!$F$17,MIN(Dashboard!$F$10,MAX(0,W629-X629)+Y629),0)</x:f>
      </x:c>
      <x:c r="AA629" s="32" t="e">
        <x:f>IF(A629&lt;=Dashboard!$F$17,MAX(0,W629-X629-MAX(0,Z629-Y629)),0)</x:f>
      </x:c>
      <x:c r="AB629" s="32" t="e">
        <x:f>IF(A629=1,Y629,AB628+Y629)</x:f>
      </x:c>
      <x:c r="AC629" s="32"/>
      <x:c r="AD629" s="32" t="e">
        <x:f>IF(A629=1,MAX(0,Dashboard!$F$14-$B$8),AG628)</x:f>
      </x:c>
      <x:c r="AE629" s="32" t="n">
        <x:f>0</x:f>
        <x:v>0</x:v>
      </x:c>
      <x:c r="AF629" s="32" t="e">
        <x:f>IF(A629&lt;=Dashboard!$F$17,AD629*Dashboard!$F$6,0)</x:f>
      </x:c>
      <x:c r="AG629" s="32" t="e">
        <x:f>IF(A629&lt;=Dashboard!$F$17,MIN(Dashboard!$F$10,AD629+AF629),0)</x:f>
      </x:c>
      <x:c r="AH629" s="32" t="e">
        <x:f>IF(A629&lt;=Dashboard!$F$17,MAX(0,AD629-MAX(0,AG629-AF629)),0)</x:f>
      </x:c>
      <x:c r="AI629" s="32" t="e">
        <x:f>IF(A629=1,AF629,AI628+AF629)</x:f>
      </x:c>
      <x:c r="AJ629" s="33"/>
      <x:c r="AK629" s="33"/>
      <x:c r="AL629" s="33"/>
      <x:c r="AM629" s="33"/>
    </x:row>
    <x:row r="630">
      <x:c r="A630" s="33" t="n">
        <x:v>618</x:v>
      </x:c>
      <x:c r="B630" s="32" t="e">
        <x:f>IF(A630=1,Dashboard!$F$14,F629)</x:f>
      </x:c>
      <x:c r="C630" s="32" t="n">
        <x:f>0</x:f>
        <x:v>0</x:v>
      </x:c>
      <x:c r="D630" s="32" t="e">
        <x:f>IF(A630&lt;=Dashboard!$F$15,B630*Dashboard!$F$6,0)</x:f>
      </x:c>
      <x:c r="E630" s="32" t="e">
        <x:f>IF(A630&lt;=Dashboard!$F$15,MIN(Dashboard!$F$10,B630+D630),0)</x:f>
      </x:c>
      <x:c r="F630" s="32" t="e">
        <x:f>IF(A630&lt;=Dashboard!$F$15,MAX(0,B630-MAX(0,E630-D630)),0)</x:f>
      </x:c>
      <x:c r="G630" s="32" t="e">
        <x:f>IF(A630=1,D630,G629+D630)</x:f>
      </x:c>
      <x:c r="H630" s="32"/>
      <x:c r="I630" s="32" t="e">
        <x:f>IF(A630=1,Dashboard!$F$14,M629)</x:f>
      </x:c>
      <x:c r="J630" s="32" t="e">
        <x:f>IF(A630&lt;=Dashboard!$F$17,MIN(I630,$B$5),0)</x:f>
      </x:c>
      <x:c r="K630" s="32" t="e">
        <x:f>IF(A630&lt;=Dashboard!$F$17,MAX(0,I630-J630)*Dashboard!$F$6,0)</x:f>
      </x:c>
      <x:c r="L630" s="32" t="e">
        <x:f>IF(A630&lt;=Dashboard!$F$17,MIN(Dashboard!$F$10,MAX(0,I630-J630)+K630),0)</x:f>
      </x:c>
      <x:c r="M630" s="32" t="e">
        <x:f>IF(A630&lt;=Dashboard!$F$17,MAX(0,I630-J630-MAX(0,L630-K630)),0)</x:f>
      </x:c>
      <x:c r="N630" s="32" t="e">
        <x:f>IF(A630=1,K630,N629+K630)</x:f>
      </x:c>
      <x:c r="O630" s="32"/>
      <x:c r="P630" s="32" t="e">
        <x:f>IF(A630=1,Dashboard!$F$14,T629)</x:f>
      </x:c>
      <x:c r="Q630" s="32" t="e">
        <x:f>IF(A630&lt;=Dashboard!$F$17,MIN(P630,$B$6*52/12),0)</x:f>
      </x:c>
      <x:c r="R630" s="32" t="e">
        <x:f>IF(A630&lt;=Dashboard!$F$17,MAX(0,P630-Q630)*Dashboard!$F$6,0)</x:f>
      </x:c>
      <x:c r="S630" s="32" t="e">
        <x:f>IF(A630&lt;=Dashboard!$F$17,MIN(Dashboard!$F$10,MAX(0,P630-Q630)+R630),0)</x:f>
      </x:c>
      <x:c r="T630" s="32" t="e">
        <x:f>IF(A630&lt;=Dashboard!$F$17,MAX(0,P630-Q630-MAX(0,S630-R630)),0)</x:f>
      </x:c>
      <x:c r="U630" s="32" t="e">
        <x:f>IF(A630=1,R630,U629+R630)</x:f>
      </x:c>
      <x:c r="V630" s="32"/>
      <x:c r="W630" s="32" t="e">
        <x:f>IF(A630=1,Dashboard!$F$14,AA629)</x:f>
      </x:c>
      <x:c r="X630" s="32" t="e">
        <x:f>IF(AND(A630&lt;=Dashboard!$F$17,MOD(A630-1,12)=0),MIN(W630,$B$7),0)</x:f>
      </x:c>
      <x:c r="Y630" s="32" t="e">
        <x:f>IF(A630&lt;=Dashboard!$F$17,MAX(0,W630-X630)*Dashboard!$F$6,0)</x:f>
      </x:c>
      <x:c r="Z630" s="32" t="e">
        <x:f>IF(A630&lt;=Dashboard!$F$17,MIN(Dashboard!$F$10,MAX(0,W630-X630)+Y630),0)</x:f>
      </x:c>
      <x:c r="AA630" s="32" t="e">
        <x:f>IF(A630&lt;=Dashboard!$F$17,MAX(0,W630-X630-MAX(0,Z630-Y630)),0)</x:f>
      </x:c>
      <x:c r="AB630" s="32" t="e">
        <x:f>IF(A630=1,Y630,AB629+Y630)</x:f>
      </x:c>
      <x:c r="AC630" s="32"/>
      <x:c r="AD630" s="32" t="e">
        <x:f>IF(A630=1,MAX(0,Dashboard!$F$14-$B$8),AG629)</x:f>
      </x:c>
      <x:c r="AE630" s="32" t="n">
        <x:f>0</x:f>
        <x:v>0</x:v>
      </x:c>
      <x:c r="AF630" s="32" t="e">
        <x:f>IF(A630&lt;=Dashboard!$F$17,AD630*Dashboard!$F$6,0)</x:f>
      </x:c>
      <x:c r="AG630" s="32" t="e">
        <x:f>IF(A630&lt;=Dashboard!$F$17,MIN(Dashboard!$F$10,AD630+AF630),0)</x:f>
      </x:c>
      <x:c r="AH630" s="32" t="e">
        <x:f>IF(A630&lt;=Dashboard!$F$17,MAX(0,AD630-MAX(0,AG630-AF630)),0)</x:f>
      </x:c>
      <x:c r="AI630" s="32" t="e">
        <x:f>IF(A630=1,AF630,AI629+AF630)</x:f>
      </x:c>
      <x:c r="AJ630" s="33"/>
      <x:c r="AK630" s="33"/>
      <x:c r="AL630" s="33"/>
      <x:c r="AM630" s="33"/>
    </x:row>
    <x:row r="631">
      <x:c r="A631" s="33" t="n">
        <x:v>619</x:v>
      </x:c>
      <x:c r="B631" s="32" t="e">
        <x:f>IF(A631=1,Dashboard!$F$14,F630)</x:f>
      </x:c>
      <x:c r="C631" s="32" t="n">
        <x:f>0</x:f>
        <x:v>0</x:v>
      </x:c>
      <x:c r="D631" s="32" t="e">
        <x:f>IF(A631&lt;=Dashboard!$F$15,B631*Dashboard!$F$6,0)</x:f>
      </x:c>
      <x:c r="E631" s="32" t="e">
        <x:f>IF(A631&lt;=Dashboard!$F$15,MIN(Dashboard!$F$10,B631+D631),0)</x:f>
      </x:c>
      <x:c r="F631" s="32" t="e">
        <x:f>IF(A631&lt;=Dashboard!$F$15,MAX(0,B631-MAX(0,E631-D631)),0)</x:f>
      </x:c>
      <x:c r="G631" s="32" t="e">
        <x:f>IF(A631=1,D631,G630+D631)</x:f>
      </x:c>
      <x:c r="H631" s="32"/>
      <x:c r="I631" s="32" t="e">
        <x:f>IF(A631=1,Dashboard!$F$14,M630)</x:f>
      </x:c>
      <x:c r="J631" s="32" t="e">
        <x:f>IF(A631&lt;=Dashboard!$F$17,MIN(I631,$B$5),0)</x:f>
      </x:c>
      <x:c r="K631" s="32" t="e">
        <x:f>IF(A631&lt;=Dashboard!$F$17,MAX(0,I631-J631)*Dashboard!$F$6,0)</x:f>
      </x:c>
      <x:c r="L631" s="32" t="e">
        <x:f>IF(A631&lt;=Dashboard!$F$17,MIN(Dashboard!$F$10,MAX(0,I631-J631)+K631),0)</x:f>
      </x:c>
      <x:c r="M631" s="32" t="e">
        <x:f>IF(A631&lt;=Dashboard!$F$17,MAX(0,I631-J631-MAX(0,L631-K631)),0)</x:f>
      </x:c>
      <x:c r="N631" s="32" t="e">
        <x:f>IF(A631=1,K631,N630+K631)</x:f>
      </x:c>
      <x:c r="O631" s="32"/>
      <x:c r="P631" s="32" t="e">
        <x:f>IF(A631=1,Dashboard!$F$14,T630)</x:f>
      </x:c>
      <x:c r="Q631" s="32" t="e">
        <x:f>IF(A631&lt;=Dashboard!$F$17,MIN(P631,$B$6*52/12),0)</x:f>
      </x:c>
      <x:c r="R631" s="32" t="e">
        <x:f>IF(A631&lt;=Dashboard!$F$17,MAX(0,P631-Q631)*Dashboard!$F$6,0)</x:f>
      </x:c>
      <x:c r="S631" s="32" t="e">
        <x:f>IF(A631&lt;=Dashboard!$F$17,MIN(Dashboard!$F$10,MAX(0,P631-Q631)+R631),0)</x:f>
      </x:c>
      <x:c r="T631" s="32" t="e">
        <x:f>IF(A631&lt;=Dashboard!$F$17,MAX(0,P631-Q631-MAX(0,S631-R631)),0)</x:f>
      </x:c>
      <x:c r="U631" s="32" t="e">
        <x:f>IF(A631=1,R631,U630+R631)</x:f>
      </x:c>
      <x:c r="V631" s="32"/>
      <x:c r="W631" s="32" t="e">
        <x:f>IF(A631=1,Dashboard!$F$14,AA630)</x:f>
      </x:c>
      <x:c r="X631" s="32" t="e">
        <x:f>IF(AND(A631&lt;=Dashboard!$F$17,MOD(A631-1,12)=0),MIN(W631,$B$7),0)</x:f>
      </x:c>
      <x:c r="Y631" s="32" t="e">
        <x:f>IF(A631&lt;=Dashboard!$F$17,MAX(0,W631-X631)*Dashboard!$F$6,0)</x:f>
      </x:c>
      <x:c r="Z631" s="32" t="e">
        <x:f>IF(A631&lt;=Dashboard!$F$17,MIN(Dashboard!$F$10,MAX(0,W631-X631)+Y631),0)</x:f>
      </x:c>
      <x:c r="AA631" s="32" t="e">
        <x:f>IF(A631&lt;=Dashboard!$F$17,MAX(0,W631-X631-MAX(0,Z631-Y631)),0)</x:f>
      </x:c>
      <x:c r="AB631" s="32" t="e">
        <x:f>IF(A631=1,Y631,AB630+Y631)</x:f>
      </x:c>
      <x:c r="AC631" s="32"/>
      <x:c r="AD631" s="32" t="e">
        <x:f>IF(A631=1,MAX(0,Dashboard!$F$14-$B$8),AG630)</x:f>
      </x:c>
      <x:c r="AE631" s="32" t="n">
        <x:f>0</x:f>
        <x:v>0</x:v>
      </x:c>
      <x:c r="AF631" s="32" t="e">
        <x:f>IF(A631&lt;=Dashboard!$F$17,AD631*Dashboard!$F$6,0)</x:f>
      </x:c>
      <x:c r="AG631" s="32" t="e">
        <x:f>IF(A631&lt;=Dashboard!$F$17,MIN(Dashboard!$F$10,AD631+AF631),0)</x:f>
      </x:c>
      <x:c r="AH631" s="32" t="e">
        <x:f>IF(A631&lt;=Dashboard!$F$17,MAX(0,AD631-MAX(0,AG631-AF631)),0)</x:f>
      </x:c>
      <x:c r="AI631" s="32" t="e">
        <x:f>IF(A631=1,AF631,AI630+AF631)</x:f>
      </x:c>
      <x:c r="AJ631" s="33"/>
      <x:c r="AK631" s="33"/>
      <x:c r="AL631" s="33"/>
      <x:c r="AM631" s="33"/>
    </x:row>
    <x:row r="632">
      <x:c r="A632" s="33" t="n">
        <x:v>620</x:v>
      </x:c>
      <x:c r="B632" s="32" t="e">
        <x:f>IF(A632=1,Dashboard!$F$14,F631)</x:f>
      </x:c>
      <x:c r="C632" s="32" t="n">
        <x:f>0</x:f>
        <x:v>0</x:v>
      </x:c>
      <x:c r="D632" s="32" t="e">
        <x:f>IF(A632&lt;=Dashboard!$F$15,B632*Dashboard!$F$6,0)</x:f>
      </x:c>
      <x:c r="E632" s="32" t="e">
        <x:f>IF(A632&lt;=Dashboard!$F$15,MIN(Dashboard!$F$10,B632+D632),0)</x:f>
      </x:c>
      <x:c r="F632" s="32" t="e">
        <x:f>IF(A632&lt;=Dashboard!$F$15,MAX(0,B632-MAX(0,E632-D632)),0)</x:f>
      </x:c>
      <x:c r="G632" s="32" t="e">
        <x:f>IF(A632=1,D632,G631+D632)</x:f>
      </x:c>
      <x:c r="H632" s="32"/>
      <x:c r="I632" s="32" t="e">
        <x:f>IF(A632=1,Dashboard!$F$14,M631)</x:f>
      </x:c>
      <x:c r="J632" s="32" t="e">
        <x:f>IF(A632&lt;=Dashboard!$F$17,MIN(I632,$B$5),0)</x:f>
      </x:c>
      <x:c r="K632" s="32" t="e">
        <x:f>IF(A632&lt;=Dashboard!$F$17,MAX(0,I632-J632)*Dashboard!$F$6,0)</x:f>
      </x:c>
      <x:c r="L632" s="32" t="e">
        <x:f>IF(A632&lt;=Dashboard!$F$17,MIN(Dashboard!$F$10,MAX(0,I632-J632)+K632),0)</x:f>
      </x:c>
      <x:c r="M632" s="32" t="e">
        <x:f>IF(A632&lt;=Dashboard!$F$17,MAX(0,I632-J632-MAX(0,L632-K632)),0)</x:f>
      </x:c>
      <x:c r="N632" s="32" t="e">
        <x:f>IF(A632=1,K632,N631+K632)</x:f>
      </x:c>
      <x:c r="O632" s="32"/>
      <x:c r="P632" s="32" t="e">
        <x:f>IF(A632=1,Dashboard!$F$14,T631)</x:f>
      </x:c>
      <x:c r="Q632" s="32" t="e">
        <x:f>IF(A632&lt;=Dashboard!$F$17,MIN(P632,$B$6*52/12),0)</x:f>
      </x:c>
      <x:c r="R632" s="32" t="e">
        <x:f>IF(A632&lt;=Dashboard!$F$17,MAX(0,P632-Q632)*Dashboard!$F$6,0)</x:f>
      </x:c>
      <x:c r="S632" s="32" t="e">
        <x:f>IF(A632&lt;=Dashboard!$F$17,MIN(Dashboard!$F$10,MAX(0,P632-Q632)+R632),0)</x:f>
      </x:c>
      <x:c r="T632" s="32" t="e">
        <x:f>IF(A632&lt;=Dashboard!$F$17,MAX(0,P632-Q632-MAX(0,S632-R632)),0)</x:f>
      </x:c>
      <x:c r="U632" s="32" t="e">
        <x:f>IF(A632=1,R632,U631+R632)</x:f>
      </x:c>
      <x:c r="V632" s="32"/>
      <x:c r="W632" s="32" t="e">
        <x:f>IF(A632=1,Dashboard!$F$14,AA631)</x:f>
      </x:c>
      <x:c r="X632" s="32" t="e">
        <x:f>IF(AND(A632&lt;=Dashboard!$F$17,MOD(A632-1,12)=0),MIN(W632,$B$7),0)</x:f>
      </x:c>
      <x:c r="Y632" s="32" t="e">
        <x:f>IF(A632&lt;=Dashboard!$F$17,MAX(0,W632-X632)*Dashboard!$F$6,0)</x:f>
      </x:c>
      <x:c r="Z632" s="32" t="e">
        <x:f>IF(A632&lt;=Dashboard!$F$17,MIN(Dashboard!$F$10,MAX(0,W632-X632)+Y632),0)</x:f>
      </x:c>
      <x:c r="AA632" s="32" t="e">
        <x:f>IF(A632&lt;=Dashboard!$F$17,MAX(0,W632-X632-MAX(0,Z632-Y632)),0)</x:f>
      </x:c>
      <x:c r="AB632" s="32" t="e">
        <x:f>IF(A632=1,Y632,AB631+Y632)</x:f>
      </x:c>
      <x:c r="AC632" s="32"/>
      <x:c r="AD632" s="32" t="e">
        <x:f>IF(A632=1,MAX(0,Dashboard!$F$14-$B$8),AG631)</x:f>
      </x:c>
      <x:c r="AE632" s="32" t="n">
        <x:f>0</x:f>
        <x:v>0</x:v>
      </x:c>
      <x:c r="AF632" s="32" t="e">
        <x:f>IF(A632&lt;=Dashboard!$F$17,AD632*Dashboard!$F$6,0)</x:f>
      </x:c>
      <x:c r="AG632" s="32" t="e">
        <x:f>IF(A632&lt;=Dashboard!$F$17,MIN(Dashboard!$F$10,AD632+AF632),0)</x:f>
      </x:c>
      <x:c r="AH632" s="32" t="e">
        <x:f>IF(A632&lt;=Dashboard!$F$17,MAX(0,AD632-MAX(0,AG632-AF632)),0)</x:f>
      </x:c>
      <x:c r="AI632" s="32" t="e">
        <x:f>IF(A632=1,AF632,AI631+AF632)</x:f>
      </x:c>
      <x:c r="AJ632" s="33"/>
      <x:c r="AK632" s="33"/>
      <x:c r="AL632" s="33"/>
      <x:c r="AM632" s="33"/>
    </x:row>
    <x:row r="633">
      <x:c r="A633" s="33" t="n">
        <x:v>621</x:v>
      </x:c>
      <x:c r="B633" s="32" t="e">
        <x:f>IF(A633=1,Dashboard!$F$14,F632)</x:f>
      </x:c>
      <x:c r="C633" s="32" t="n">
        <x:f>0</x:f>
        <x:v>0</x:v>
      </x:c>
      <x:c r="D633" s="32" t="e">
        <x:f>IF(A633&lt;=Dashboard!$F$15,B633*Dashboard!$F$6,0)</x:f>
      </x:c>
      <x:c r="E633" s="32" t="e">
        <x:f>IF(A633&lt;=Dashboard!$F$15,MIN(Dashboard!$F$10,B633+D633),0)</x:f>
      </x:c>
      <x:c r="F633" s="32" t="e">
        <x:f>IF(A633&lt;=Dashboard!$F$15,MAX(0,B633-MAX(0,E633-D633)),0)</x:f>
      </x:c>
      <x:c r="G633" s="32" t="e">
        <x:f>IF(A633=1,D633,G632+D633)</x:f>
      </x:c>
      <x:c r="H633" s="32"/>
      <x:c r="I633" s="32" t="e">
        <x:f>IF(A633=1,Dashboard!$F$14,M632)</x:f>
      </x:c>
      <x:c r="J633" s="32" t="e">
        <x:f>IF(A633&lt;=Dashboard!$F$17,MIN(I633,$B$5),0)</x:f>
      </x:c>
      <x:c r="K633" s="32" t="e">
        <x:f>IF(A633&lt;=Dashboard!$F$17,MAX(0,I633-J633)*Dashboard!$F$6,0)</x:f>
      </x:c>
      <x:c r="L633" s="32" t="e">
        <x:f>IF(A633&lt;=Dashboard!$F$17,MIN(Dashboard!$F$10,MAX(0,I633-J633)+K633),0)</x:f>
      </x:c>
      <x:c r="M633" s="32" t="e">
        <x:f>IF(A633&lt;=Dashboard!$F$17,MAX(0,I633-J633-MAX(0,L633-K633)),0)</x:f>
      </x:c>
      <x:c r="N633" s="32" t="e">
        <x:f>IF(A633=1,K633,N632+K633)</x:f>
      </x:c>
      <x:c r="O633" s="32"/>
      <x:c r="P633" s="32" t="e">
        <x:f>IF(A633=1,Dashboard!$F$14,T632)</x:f>
      </x:c>
      <x:c r="Q633" s="32" t="e">
        <x:f>IF(A633&lt;=Dashboard!$F$17,MIN(P633,$B$6*52/12),0)</x:f>
      </x:c>
      <x:c r="R633" s="32" t="e">
        <x:f>IF(A633&lt;=Dashboard!$F$17,MAX(0,P633-Q633)*Dashboard!$F$6,0)</x:f>
      </x:c>
      <x:c r="S633" s="32" t="e">
        <x:f>IF(A633&lt;=Dashboard!$F$17,MIN(Dashboard!$F$10,MAX(0,P633-Q633)+R633),0)</x:f>
      </x:c>
      <x:c r="T633" s="32" t="e">
        <x:f>IF(A633&lt;=Dashboard!$F$17,MAX(0,P633-Q633-MAX(0,S633-R633)),0)</x:f>
      </x:c>
      <x:c r="U633" s="32" t="e">
        <x:f>IF(A633=1,R633,U632+R633)</x:f>
      </x:c>
      <x:c r="V633" s="32"/>
      <x:c r="W633" s="32" t="e">
        <x:f>IF(A633=1,Dashboard!$F$14,AA632)</x:f>
      </x:c>
      <x:c r="X633" s="32" t="e">
        <x:f>IF(AND(A633&lt;=Dashboard!$F$17,MOD(A633-1,12)=0),MIN(W633,$B$7),0)</x:f>
      </x:c>
      <x:c r="Y633" s="32" t="e">
        <x:f>IF(A633&lt;=Dashboard!$F$17,MAX(0,W633-X633)*Dashboard!$F$6,0)</x:f>
      </x:c>
      <x:c r="Z633" s="32" t="e">
        <x:f>IF(A633&lt;=Dashboard!$F$17,MIN(Dashboard!$F$10,MAX(0,W633-X633)+Y633),0)</x:f>
      </x:c>
      <x:c r="AA633" s="32" t="e">
        <x:f>IF(A633&lt;=Dashboard!$F$17,MAX(0,W633-X633-MAX(0,Z633-Y633)),0)</x:f>
      </x:c>
      <x:c r="AB633" s="32" t="e">
        <x:f>IF(A633=1,Y633,AB632+Y633)</x:f>
      </x:c>
      <x:c r="AC633" s="32"/>
      <x:c r="AD633" s="32" t="e">
        <x:f>IF(A633=1,MAX(0,Dashboard!$F$14-$B$8),AG632)</x:f>
      </x:c>
      <x:c r="AE633" s="32" t="n">
        <x:f>0</x:f>
        <x:v>0</x:v>
      </x:c>
      <x:c r="AF633" s="32" t="e">
        <x:f>IF(A633&lt;=Dashboard!$F$17,AD633*Dashboard!$F$6,0)</x:f>
      </x:c>
      <x:c r="AG633" s="32" t="e">
        <x:f>IF(A633&lt;=Dashboard!$F$17,MIN(Dashboard!$F$10,AD633+AF633),0)</x:f>
      </x:c>
      <x:c r="AH633" s="32" t="e">
        <x:f>IF(A633&lt;=Dashboard!$F$17,MAX(0,AD633-MAX(0,AG633-AF633)),0)</x:f>
      </x:c>
      <x:c r="AI633" s="32" t="e">
        <x:f>IF(A633=1,AF633,AI632+AF633)</x:f>
      </x:c>
      <x:c r="AJ633" s="33"/>
      <x:c r="AK633" s="33"/>
      <x:c r="AL633" s="33"/>
      <x:c r="AM633" s="33"/>
    </x:row>
    <x:row r="634">
      <x:c r="A634" s="33" t="n">
        <x:v>622</x:v>
      </x:c>
      <x:c r="B634" s="32" t="e">
        <x:f>IF(A634=1,Dashboard!$F$14,F633)</x:f>
      </x:c>
      <x:c r="C634" s="32" t="n">
        <x:f>0</x:f>
        <x:v>0</x:v>
      </x:c>
      <x:c r="D634" s="32" t="e">
        <x:f>IF(A634&lt;=Dashboard!$F$15,B634*Dashboard!$F$6,0)</x:f>
      </x:c>
      <x:c r="E634" s="32" t="e">
        <x:f>IF(A634&lt;=Dashboard!$F$15,MIN(Dashboard!$F$10,B634+D634),0)</x:f>
      </x:c>
      <x:c r="F634" s="32" t="e">
        <x:f>IF(A634&lt;=Dashboard!$F$15,MAX(0,B634-MAX(0,E634-D634)),0)</x:f>
      </x:c>
      <x:c r="G634" s="32" t="e">
        <x:f>IF(A634=1,D634,G633+D634)</x:f>
      </x:c>
      <x:c r="H634" s="32"/>
      <x:c r="I634" s="32" t="e">
        <x:f>IF(A634=1,Dashboard!$F$14,M633)</x:f>
      </x:c>
      <x:c r="J634" s="32" t="e">
        <x:f>IF(A634&lt;=Dashboard!$F$17,MIN(I634,$B$5),0)</x:f>
      </x:c>
      <x:c r="K634" s="32" t="e">
        <x:f>IF(A634&lt;=Dashboard!$F$17,MAX(0,I634-J634)*Dashboard!$F$6,0)</x:f>
      </x:c>
      <x:c r="L634" s="32" t="e">
        <x:f>IF(A634&lt;=Dashboard!$F$17,MIN(Dashboard!$F$10,MAX(0,I634-J634)+K634),0)</x:f>
      </x:c>
      <x:c r="M634" s="32" t="e">
        <x:f>IF(A634&lt;=Dashboard!$F$17,MAX(0,I634-J634-MAX(0,L634-K634)),0)</x:f>
      </x:c>
      <x:c r="N634" s="32" t="e">
        <x:f>IF(A634=1,K634,N633+K634)</x:f>
      </x:c>
      <x:c r="O634" s="32"/>
      <x:c r="P634" s="32" t="e">
        <x:f>IF(A634=1,Dashboard!$F$14,T633)</x:f>
      </x:c>
      <x:c r="Q634" s="32" t="e">
        <x:f>IF(A634&lt;=Dashboard!$F$17,MIN(P634,$B$6*52/12),0)</x:f>
      </x:c>
      <x:c r="R634" s="32" t="e">
        <x:f>IF(A634&lt;=Dashboard!$F$17,MAX(0,P634-Q634)*Dashboard!$F$6,0)</x:f>
      </x:c>
      <x:c r="S634" s="32" t="e">
        <x:f>IF(A634&lt;=Dashboard!$F$17,MIN(Dashboard!$F$10,MAX(0,P634-Q634)+R634),0)</x:f>
      </x:c>
      <x:c r="T634" s="32" t="e">
        <x:f>IF(A634&lt;=Dashboard!$F$17,MAX(0,P634-Q634-MAX(0,S634-R634)),0)</x:f>
      </x:c>
      <x:c r="U634" s="32" t="e">
        <x:f>IF(A634=1,R634,U633+R634)</x:f>
      </x:c>
      <x:c r="V634" s="32"/>
      <x:c r="W634" s="32" t="e">
        <x:f>IF(A634=1,Dashboard!$F$14,AA633)</x:f>
      </x:c>
      <x:c r="X634" s="32" t="e">
        <x:f>IF(AND(A634&lt;=Dashboard!$F$17,MOD(A634-1,12)=0),MIN(W634,$B$7),0)</x:f>
      </x:c>
      <x:c r="Y634" s="32" t="e">
        <x:f>IF(A634&lt;=Dashboard!$F$17,MAX(0,W634-X634)*Dashboard!$F$6,0)</x:f>
      </x:c>
      <x:c r="Z634" s="32" t="e">
        <x:f>IF(A634&lt;=Dashboard!$F$17,MIN(Dashboard!$F$10,MAX(0,W634-X634)+Y634),0)</x:f>
      </x:c>
      <x:c r="AA634" s="32" t="e">
        <x:f>IF(A634&lt;=Dashboard!$F$17,MAX(0,W634-X634-MAX(0,Z634-Y634)),0)</x:f>
      </x:c>
      <x:c r="AB634" s="32" t="e">
        <x:f>IF(A634=1,Y634,AB633+Y634)</x:f>
      </x:c>
      <x:c r="AC634" s="32"/>
      <x:c r="AD634" s="32" t="e">
        <x:f>IF(A634=1,MAX(0,Dashboard!$F$14-$B$8),AG633)</x:f>
      </x:c>
      <x:c r="AE634" s="32" t="n">
        <x:f>0</x:f>
        <x:v>0</x:v>
      </x:c>
      <x:c r="AF634" s="32" t="e">
        <x:f>IF(A634&lt;=Dashboard!$F$17,AD634*Dashboard!$F$6,0)</x:f>
      </x:c>
      <x:c r="AG634" s="32" t="e">
        <x:f>IF(A634&lt;=Dashboard!$F$17,MIN(Dashboard!$F$10,AD634+AF634),0)</x:f>
      </x:c>
      <x:c r="AH634" s="32" t="e">
        <x:f>IF(A634&lt;=Dashboard!$F$17,MAX(0,AD634-MAX(0,AG634-AF634)),0)</x:f>
      </x:c>
      <x:c r="AI634" s="32" t="e">
        <x:f>IF(A634=1,AF634,AI633+AF634)</x:f>
      </x:c>
      <x:c r="AJ634" s="33"/>
      <x:c r="AK634" s="33"/>
      <x:c r="AL634" s="33"/>
      <x:c r="AM634" s="33"/>
    </x:row>
    <x:row r="635">
      <x:c r="A635" s="33" t="n">
        <x:v>623</x:v>
      </x:c>
      <x:c r="B635" s="32" t="e">
        <x:f>IF(A635=1,Dashboard!$F$14,F634)</x:f>
      </x:c>
      <x:c r="C635" s="32" t="n">
        <x:f>0</x:f>
        <x:v>0</x:v>
      </x:c>
      <x:c r="D635" s="32" t="e">
        <x:f>IF(A635&lt;=Dashboard!$F$15,B635*Dashboard!$F$6,0)</x:f>
      </x:c>
      <x:c r="E635" s="32" t="e">
        <x:f>IF(A635&lt;=Dashboard!$F$15,MIN(Dashboard!$F$10,B635+D635),0)</x:f>
      </x:c>
      <x:c r="F635" s="32" t="e">
        <x:f>IF(A635&lt;=Dashboard!$F$15,MAX(0,B635-MAX(0,E635-D635)),0)</x:f>
      </x:c>
      <x:c r="G635" s="32" t="e">
        <x:f>IF(A635=1,D635,G634+D635)</x:f>
      </x:c>
      <x:c r="H635" s="32"/>
      <x:c r="I635" s="32" t="e">
        <x:f>IF(A635=1,Dashboard!$F$14,M634)</x:f>
      </x:c>
      <x:c r="J635" s="32" t="e">
        <x:f>IF(A635&lt;=Dashboard!$F$17,MIN(I635,$B$5),0)</x:f>
      </x:c>
      <x:c r="K635" s="32" t="e">
        <x:f>IF(A635&lt;=Dashboard!$F$17,MAX(0,I635-J635)*Dashboard!$F$6,0)</x:f>
      </x:c>
      <x:c r="L635" s="32" t="e">
        <x:f>IF(A635&lt;=Dashboard!$F$17,MIN(Dashboard!$F$10,MAX(0,I635-J635)+K635),0)</x:f>
      </x:c>
      <x:c r="M635" s="32" t="e">
        <x:f>IF(A635&lt;=Dashboard!$F$17,MAX(0,I635-J635-MAX(0,L635-K635)),0)</x:f>
      </x:c>
      <x:c r="N635" s="32" t="e">
        <x:f>IF(A635=1,K635,N634+K635)</x:f>
      </x:c>
      <x:c r="O635" s="32"/>
      <x:c r="P635" s="32" t="e">
        <x:f>IF(A635=1,Dashboard!$F$14,T634)</x:f>
      </x:c>
      <x:c r="Q635" s="32" t="e">
        <x:f>IF(A635&lt;=Dashboard!$F$17,MIN(P635,$B$6*52/12),0)</x:f>
      </x:c>
      <x:c r="R635" s="32" t="e">
        <x:f>IF(A635&lt;=Dashboard!$F$17,MAX(0,P635-Q635)*Dashboard!$F$6,0)</x:f>
      </x:c>
      <x:c r="S635" s="32" t="e">
        <x:f>IF(A635&lt;=Dashboard!$F$17,MIN(Dashboard!$F$10,MAX(0,P635-Q635)+R635),0)</x:f>
      </x:c>
      <x:c r="T635" s="32" t="e">
        <x:f>IF(A635&lt;=Dashboard!$F$17,MAX(0,P635-Q635-MAX(0,S635-R635)),0)</x:f>
      </x:c>
      <x:c r="U635" s="32" t="e">
        <x:f>IF(A635=1,R635,U634+R635)</x:f>
      </x:c>
      <x:c r="V635" s="32"/>
      <x:c r="W635" s="32" t="e">
        <x:f>IF(A635=1,Dashboard!$F$14,AA634)</x:f>
      </x:c>
      <x:c r="X635" s="32" t="e">
        <x:f>IF(AND(A635&lt;=Dashboard!$F$17,MOD(A635-1,12)=0),MIN(W635,$B$7),0)</x:f>
      </x:c>
      <x:c r="Y635" s="32" t="e">
        <x:f>IF(A635&lt;=Dashboard!$F$17,MAX(0,W635-X635)*Dashboard!$F$6,0)</x:f>
      </x:c>
      <x:c r="Z635" s="32" t="e">
        <x:f>IF(A635&lt;=Dashboard!$F$17,MIN(Dashboard!$F$10,MAX(0,W635-X635)+Y635),0)</x:f>
      </x:c>
      <x:c r="AA635" s="32" t="e">
        <x:f>IF(A635&lt;=Dashboard!$F$17,MAX(0,W635-X635-MAX(0,Z635-Y635)),0)</x:f>
      </x:c>
      <x:c r="AB635" s="32" t="e">
        <x:f>IF(A635=1,Y635,AB634+Y635)</x:f>
      </x:c>
      <x:c r="AC635" s="32"/>
      <x:c r="AD635" s="32" t="e">
        <x:f>IF(A635=1,MAX(0,Dashboard!$F$14-$B$8),AG634)</x:f>
      </x:c>
      <x:c r="AE635" s="32" t="n">
        <x:f>0</x:f>
        <x:v>0</x:v>
      </x:c>
      <x:c r="AF635" s="32" t="e">
        <x:f>IF(A635&lt;=Dashboard!$F$17,AD635*Dashboard!$F$6,0)</x:f>
      </x:c>
      <x:c r="AG635" s="32" t="e">
        <x:f>IF(A635&lt;=Dashboard!$F$17,MIN(Dashboard!$F$10,AD635+AF635),0)</x:f>
      </x:c>
      <x:c r="AH635" s="32" t="e">
        <x:f>IF(A635&lt;=Dashboard!$F$17,MAX(0,AD635-MAX(0,AG635-AF635)),0)</x:f>
      </x:c>
      <x:c r="AI635" s="32" t="e">
        <x:f>IF(A635=1,AF635,AI634+AF635)</x:f>
      </x:c>
      <x:c r="AJ635" s="33"/>
      <x:c r="AK635" s="33"/>
      <x:c r="AL635" s="33"/>
      <x:c r="AM635" s="33"/>
    </x:row>
    <x:row r="636">
      <x:c r="A636" s="33" t="n">
        <x:v>624</x:v>
      </x:c>
      <x:c r="B636" s="32" t="e">
        <x:f>IF(A636=1,Dashboard!$F$14,F635)</x:f>
      </x:c>
      <x:c r="C636" s="32" t="n">
        <x:f>0</x:f>
        <x:v>0</x:v>
      </x:c>
      <x:c r="D636" s="32" t="e">
        <x:f>IF(A636&lt;=Dashboard!$F$15,B636*Dashboard!$F$6,0)</x:f>
      </x:c>
      <x:c r="E636" s="32" t="e">
        <x:f>IF(A636&lt;=Dashboard!$F$15,MIN(Dashboard!$F$10,B636+D636),0)</x:f>
      </x:c>
      <x:c r="F636" s="32" t="e">
        <x:f>IF(A636&lt;=Dashboard!$F$15,MAX(0,B636-MAX(0,E636-D636)),0)</x:f>
      </x:c>
      <x:c r="G636" s="32" t="e">
        <x:f>IF(A636=1,D636,G635+D636)</x:f>
      </x:c>
      <x:c r="H636" s="32"/>
      <x:c r="I636" s="32" t="e">
        <x:f>IF(A636=1,Dashboard!$F$14,M635)</x:f>
      </x:c>
      <x:c r="J636" s="32" t="e">
        <x:f>IF(A636&lt;=Dashboard!$F$17,MIN(I636,$B$5),0)</x:f>
      </x:c>
      <x:c r="K636" s="32" t="e">
        <x:f>IF(A636&lt;=Dashboard!$F$17,MAX(0,I636-J636)*Dashboard!$F$6,0)</x:f>
      </x:c>
      <x:c r="L636" s="32" t="e">
        <x:f>IF(A636&lt;=Dashboard!$F$17,MIN(Dashboard!$F$10,MAX(0,I636-J636)+K636),0)</x:f>
      </x:c>
      <x:c r="M636" s="32" t="e">
        <x:f>IF(A636&lt;=Dashboard!$F$17,MAX(0,I636-J636-MAX(0,L636-K636)),0)</x:f>
      </x:c>
      <x:c r="N636" s="32" t="e">
        <x:f>IF(A636=1,K636,N635+K636)</x:f>
      </x:c>
      <x:c r="O636" s="32"/>
      <x:c r="P636" s="32" t="e">
        <x:f>IF(A636=1,Dashboard!$F$14,T635)</x:f>
      </x:c>
      <x:c r="Q636" s="32" t="e">
        <x:f>IF(A636&lt;=Dashboard!$F$17,MIN(P636,$B$6*52/12),0)</x:f>
      </x:c>
      <x:c r="R636" s="32" t="e">
        <x:f>IF(A636&lt;=Dashboard!$F$17,MAX(0,P636-Q636)*Dashboard!$F$6,0)</x:f>
      </x:c>
      <x:c r="S636" s="32" t="e">
        <x:f>IF(A636&lt;=Dashboard!$F$17,MIN(Dashboard!$F$10,MAX(0,P636-Q636)+R636),0)</x:f>
      </x:c>
      <x:c r="T636" s="32" t="e">
        <x:f>IF(A636&lt;=Dashboard!$F$17,MAX(0,P636-Q636-MAX(0,S636-R636)),0)</x:f>
      </x:c>
      <x:c r="U636" s="32" t="e">
        <x:f>IF(A636=1,R636,U635+R636)</x:f>
      </x:c>
      <x:c r="V636" s="32"/>
      <x:c r="W636" s="32" t="e">
        <x:f>IF(A636=1,Dashboard!$F$14,AA635)</x:f>
      </x:c>
      <x:c r="X636" s="32" t="e">
        <x:f>IF(AND(A636&lt;=Dashboard!$F$17,MOD(A636-1,12)=0),MIN(W636,$B$7),0)</x:f>
      </x:c>
      <x:c r="Y636" s="32" t="e">
        <x:f>IF(A636&lt;=Dashboard!$F$17,MAX(0,W636-X636)*Dashboard!$F$6,0)</x:f>
      </x:c>
      <x:c r="Z636" s="32" t="e">
        <x:f>IF(A636&lt;=Dashboard!$F$17,MIN(Dashboard!$F$10,MAX(0,W636-X636)+Y636),0)</x:f>
      </x:c>
      <x:c r="AA636" s="32" t="e">
        <x:f>IF(A636&lt;=Dashboard!$F$17,MAX(0,W636-X636-MAX(0,Z636-Y636)),0)</x:f>
      </x:c>
      <x:c r="AB636" s="32" t="e">
        <x:f>IF(A636=1,Y636,AB635+Y636)</x:f>
      </x:c>
      <x:c r="AC636" s="32"/>
      <x:c r="AD636" s="32" t="e">
        <x:f>IF(A636=1,MAX(0,Dashboard!$F$14-$B$8),AG635)</x:f>
      </x:c>
      <x:c r="AE636" s="32" t="n">
        <x:f>0</x:f>
        <x:v>0</x:v>
      </x:c>
      <x:c r="AF636" s="32" t="e">
        <x:f>IF(A636&lt;=Dashboard!$F$17,AD636*Dashboard!$F$6,0)</x:f>
      </x:c>
      <x:c r="AG636" s="32" t="e">
        <x:f>IF(A636&lt;=Dashboard!$F$17,MIN(Dashboard!$F$10,AD636+AF636),0)</x:f>
      </x:c>
      <x:c r="AH636" s="32" t="e">
        <x:f>IF(A636&lt;=Dashboard!$F$17,MAX(0,AD636-MAX(0,AG636-AF636)),0)</x:f>
      </x:c>
      <x:c r="AI636" s="32" t="e">
        <x:f>IF(A636=1,AF636,AI635+AF636)</x:f>
      </x:c>
      <x:c r="AJ636" s="33"/>
      <x:c r="AK636" s="33"/>
      <x:c r="AL636" s="33"/>
      <x:c r="AM636" s="33"/>
    </x:row>
    <x:row r="637">
      <x:c r="A637" s="33" t="n">
        <x:v>625</x:v>
      </x:c>
      <x:c r="B637" s="32" t="e">
        <x:f>IF(A637=1,Dashboard!$F$14,F636)</x:f>
      </x:c>
      <x:c r="C637" s="32" t="n">
        <x:f>0</x:f>
        <x:v>0</x:v>
      </x:c>
      <x:c r="D637" s="32" t="e">
        <x:f>IF(A637&lt;=Dashboard!$F$15,B637*Dashboard!$F$6,0)</x:f>
      </x:c>
      <x:c r="E637" s="32" t="e">
        <x:f>IF(A637&lt;=Dashboard!$F$15,MIN(Dashboard!$F$10,B637+D637),0)</x:f>
      </x:c>
      <x:c r="F637" s="32" t="e">
        <x:f>IF(A637&lt;=Dashboard!$F$15,MAX(0,B637-MAX(0,E637-D637)),0)</x:f>
      </x:c>
      <x:c r="G637" s="32" t="e">
        <x:f>IF(A637=1,D637,G636+D637)</x:f>
      </x:c>
      <x:c r="H637" s="32"/>
      <x:c r="I637" s="32" t="e">
        <x:f>IF(A637=1,Dashboard!$F$14,M636)</x:f>
      </x:c>
      <x:c r="J637" s="32" t="e">
        <x:f>IF(A637&lt;=Dashboard!$F$17,MIN(I637,$B$5),0)</x:f>
      </x:c>
      <x:c r="K637" s="32" t="e">
        <x:f>IF(A637&lt;=Dashboard!$F$17,MAX(0,I637-J637)*Dashboard!$F$6,0)</x:f>
      </x:c>
      <x:c r="L637" s="32" t="e">
        <x:f>IF(A637&lt;=Dashboard!$F$17,MIN(Dashboard!$F$10,MAX(0,I637-J637)+K637),0)</x:f>
      </x:c>
      <x:c r="M637" s="32" t="e">
        <x:f>IF(A637&lt;=Dashboard!$F$17,MAX(0,I637-J637-MAX(0,L637-K637)),0)</x:f>
      </x:c>
      <x:c r="N637" s="32" t="e">
        <x:f>IF(A637=1,K637,N636+K637)</x:f>
      </x:c>
      <x:c r="O637" s="32"/>
      <x:c r="P637" s="32" t="e">
        <x:f>IF(A637=1,Dashboard!$F$14,T636)</x:f>
      </x:c>
      <x:c r="Q637" s="32" t="e">
        <x:f>IF(A637&lt;=Dashboard!$F$17,MIN(P637,$B$6*52/12),0)</x:f>
      </x:c>
      <x:c r="R637" s="32" t="e">
        <x:f>IF(A637&lt;=Dashboard!$F$17,MAX(0,P637-Q637)*Dashboard!$F$6,0)</x:f>
      </x:c>
      <x:c r="S637" s="32" t="e">
        <x:f>IF(A637&lt;=Dashboard!$F$17,MIN(Dashboard!$F$10,MAX(0,P637-Q637)+R637),0)</x:f>
      </x:c>
      <x:c r="T637" s="32" t="e">
        <x:f>IF(A637&lt;=Dashboard!$F$17,MAX(0,P637-Q637-MAX(0,S637-R637)),0)</x:f>
      </x:c>
      <x:c r="U637" s="32" t="e">
        <x:f>IF(A637=1,R637,U636+R637)</x:f>
      </x:c>
      <x:c r="V637" s="32"/>
      <x:c r="W637" s="32" t="e">
        <x:f>IF(A637=1,Dashboard!$F$14,AA636)</x:f>
      </x:c>
      <x:c r="X637" s="32" t="e">
        <x:f>IF(AND(A637&lt;=Dashboard!$F$17,MOD(A637-1,12)=0),MIN(W637,$B$7),0)</x:f>
      </x:c>
      <x:c r="Y637" s="32" t="e">
        <x:f>IF(A637&lt;=Dashboard!$F$17,MAX(0,W637-X637)*Dashboard!$F$6,0)</x:f>
      </x:c>
      <x:c r="Z637" s="32" t="e">
        <x:f>IF(A637&lt;=Dashboard!$F$17,MIN(Dashboard!$F$10,MAX(0,W637-X637)+Y637),0)</x:f>
      </x:c>
      <x:c r="AA637" s="32" t="e">
        <x:f>IF(A637&lt;=Dashboard!$F$17,MAX(0,W637-X637-MAX(0,Z637-Y637)),0)</x:f>
      </x:c>
      <x:c r="AB637" s="32" t="e">
        <x:f>IF(A637=1,Y637,AB636+Y637)</x:f>
      </x:c>
      <x:c r="AC637" s="32"/>
      <x:c r="AD637" s="32" t="e">
        <x:f>IF(A637=1,MAX(0,Dashboard!$F$14-$B$8),AG636)</x:f>
      </x:c>
      <x:c r="AE637" s="32" t="n">
        <x:f>0</x:f>
        <x:v>0</x:v>
      </x:c>
      <x:c r="AF637" s="32" t="e">
        <x:f>IF(A637&lt;=Dashboard!$F$17,AD637*Dashboard!$F$6,0)</x:f>
      </x:c>
      <x:c r="AG637" s="32" t="e">
        <x:f>IF(A637&lt;=Dashboard!$F$17,MIN(Dashboard!$F$10,AD637+AF637),0)</x:f>
      </x:c>
      <x:c r="AH637" s="32" t="e">
        <x:f>IF(A637&lt;=Dashboard!$F$17,MAX(0,AD637-MAX(0,AG637-AF637)),0)</x:f>
      </x:c>
      <x:c r="AI637" s="32" t="e">
        <x:f>IF(A637=1,AF637,AI636+AF637)</x:f>
      </x:c>
      <x:c r="AJ637" s="33"/>
      <x:c r="AK637" s="33"/>
      <x:c r="AL637" s="33"/>
      <x:c r="AM637" s="33"/>
    </x:row>
    <x:row r="638">
      <x:c r="A638" s="33" t="n">
        <x:v>626</x:v>
      </x:c>
      <x:c r="B638" s="32" t="e">
        <x:f>IF(A638=1,Dashboard!$F$14,F637)</x:f>
      </x:c>
      <x:c r="C638" s="32" t="n">
        <x:f>0</x:f>
        <x:v>0</x:v>
      </x:c>
      <x:c r="D638" s="32" t="e">
        <x:f>IF(A638&lt;=Dashboard!$F$15,B638*Dashboard!$F$6,0)</x:f>
      </x:c>
      <x:c r="E638" s="32" t="e">
        <x:f>IF(A638&lt;=Dashboard!$F$15,MIN(Dashboard!$F$10,B638+D638),0)</x:f>
      </x:c>
      <x:c r="F638" s="32" t="e">
        <x:f>IF(A638&lt;=Dashboard!$F$15,MAX(0,B638-MAX(0,E638-D638)),0)</x:f>
      </x:c>
      <x:c r="G638" s="32" t="e">
        <x:f>IF(A638=1,D638,G637+D638)</x:f>
      </x:c>
      <x:c r="H638" s="32"/>
      <x:c r="I638" s="32" t="e">
        <x:f>IF(A638=1,Dashboard!$F$14,M637)</x:f>
      </x:c>
      <x:c r="J638" s="32" t="e">
        <x:f>IF(A638&lt;=Dashboard!$F$17,MIN(I638,$B$5),0)</x:f>
      </x:c>
      <x:c r="K638" s="32" t="e">
        <x:f>IF(A638&lt;=Dashboard!$F$17,MAX(0,I638-J638)*Dashboard!$F$6,0)</x:f>
      </x:c>
      <x:c r="L638" s="32" t="e">
        <x:f>IF(A638&lt;=Dashboard!$F$17,MIN(Dashboard!$F$10,MAX(0,I638-J638)+K638),0)</x:f>
      </x:c>
      <x:c r="M638" s="32" t="e">
        <x:f>IF(A638&lt;=Dashboard!$F$17,MAX(0,I638-J638-MAX(0,L638-K638)),0)</x:f>
      </x:c>
      <x:c r="N638" s="32" t="e">
        <x:f>IF(A638=1,K638,N637+K638)</x:f>
      </x:c>
      <x:c r="O638" s="32"/>
      <x:c r="P638" s="32" t="e">
        <x:f>IF(A638=1,Dashboard!$F$14,T637)</x:f>
      </x:c>
      <x:c r="Q638" s="32" t="e">
        <x:f>IF(A638&lt;=Dashboard!$F$17,MIN(P638,$B$6*52/12),0)</x:f>
      </x:c>
      <x:c r="R638" s="32" t="e">
        <x:f>IF(A638&lt;=Dashboard!$F$17,MAX(0,P638-Q638)*Dashboard!$F$6,0)</x:f>
      </x:c>
      <x:c r="S638" s="32" t="e">
        <x:f>IF(A638&lt;=Dashboard!$F$17,MIN(Dashboard!$F$10,MAX(0,P638-Q638)+R638),0)</x:f>
      </x:c>
      <x:c r="T638" s="32" t="e">
        <x:f>IF(A638&lt;=Dashboard!$F$17,MAX(0,P638-Q638-MAX(0,S638-R638)),0)</x:f>
      </x:c>
      <x:c r="U638" s="32" t="e">
        <x:f>IF(A638=1,R638,U637+R638)</x:f>
      </x:c>
      <x:c r="V638" s="32"/>
      <x:c r="W638" s="32" t="e">
        <x:f>IF(A638=1,Dashboard!$F$14,AA637)</x:f>
      </x:c>
      <x:c r="X638" s="32" t="e">
        <x:f>IF(AND(A638&lt;=Dashboard!$F$17,MOD(A638-1,12)=0),MIN(W638,$B$7),0)</x:f>
      </x:c>
      <x:c r="Y638" s="32" t="e">
        <x:f>IF(A638&lt;=Dashboard!$F$17,MAX(0,W638-X638)*Dashboard!$F$6,0)</x:f>
      </x:c>
      <x:c r="Z638" s="32" t="e">
        <x:f>IF(A638&lt;=Dashboard!$F$17,MIN(Dashboard!$F$10,MAX(0,W638-X638)+Y638),0)</x:f>
      </x:c>
      <x:c r="AA638" s="32" t="e">
        <x:f>IF(A638&lt;=Dashboard!$F$17,MAX(0,W638-X638-MAX(0,Z638-Y638)),0)</x:f>
      </x:c>
      <x:c r="AB638" s="32" t="e">
        <x:f>IF(A638=1,Y638,AB637+Y638)</x:f>
      </x:c>
      <x:c r="AC638" s="32"/>
      <x:c r="AD638" s="32" t="e">
        <x:f>IF(A638=1,MAX(0,Dashboard!$F$14-$B$8),AG637)</x:f>
      </x:c>
      <x:c r="AE638" s="32" t="n">
        <x:f>0</x:f>
        <x:v>0</x:v>
      </x:c>
      <x:c r="AF638" s="32" t="e">
        <x:f>IF(A638&lt;=Dashboard!$F$17,AD638*Dashboard!$F$6,0)</x:f>
      </x:c>
      <x:c r="AG638" s="32" t="e">
        <x:f>IF(A638&lt;=Dashboard!$F$17,MIN(Dashboard!$F$10,AD638+AF638),0)</x:f>
      </x:c>
      <x:c r="AH638" s="32" t="e">
        <x:f>IF(A638&lt;=Dashboard!$F$17,MAX(0,AD638-MAX(0,AG638-AF638)),0)</x:f>
      </x:c>
      <x:c r="AI638" s="32" t="e">
        <x:f>IF(A638=1,AF638,AI637+AF638)</x:f>
      </x:c>
      <x:c r="AJ638" s="33"/>
      <x:c r="AK638" s="33"/>
      <x:c r="AL638" s="33"/>
      <x:c r="AM638" s="33"/>
    </x:row>
    <x:row r="639">
      <x:c r="A639" s="33" t="n">
        <x:v>627</x:v>
      </x:c>
      <x:c r="B639" s="32" t="e">
        <x:f>IF(A639=1,Dashboard!$F$14,F638)</x:f>
      </x:c>
      <x:c r="C639" s="32" t="n">
        <x:f>0</x:f>
        <x:v>0</x:v>
      </x:c>
      <x:c r="D639" s="32" t="e">
        <x:f>IF(A639&lt;=Dashboard!$F$15,B639*Dashboard!$F$6,0)</x:f>
      </x:c>
      <x:c r="E639" s="32" t="e">
        <x:f>IF(A639&lt;=Dashboard!$F$15,MIN(Dashboard!$F$10,B639+D639),0)</x:f>
      </x:c>
      <x:c r="F639" s="32" t="e">
        <x:f>IF(A639&lt;=Dashboard!$F$15,MAX(0,B639-MAX(0,E639-D639)),0)</x:f>
      </x:c>
      <x:c r="G639" s="32" t="e">
        <x:f>IF(A639=1,D639,G638+D639)</x:f>
      </x:c>
      <x:c r="H639" s="32"/>
      <x:c r="I639" s="32" t="e">
        <x:f>IF(A639=1,Dashboard!$F$14,M638)</x:f>
      </x:c>
      <x:c r="J639" s="32" t="e">
        <x:f>IF(A639&lt;=Dashboard!$F$17,MIN(I639,$B$5),0)</x:f>
      </x:c>
      <x:c r="K639" s="32" t="e">
        <x:f>IF(A639&lt;=Dashboard!$F$17,MAX(0,I639-J639)*Dashboard!$F$6,0)</x:f>
      </x:c>
      <x:c r="L639" s="32" t="e">
        <x:f>IF(A639&lt;=Dashboard!$F$17,MIN(Dashboard!$F$10,MAX(0,I639-J639)+K639),0)</x:f>
      </x:c>
      <x:c r="M639" s="32" t="e">
        <x:f>IF(A639&lt;=Dashboard!$F$17,MAX(0,I639-J639-MAX(0,L639-K639)),0)</x:f>
      </x:c>
      <x:c r="N639" s="32" t="e">
        <x:f>IF(A639=1,K639,N638+K639)</x:f>
      </x:c>
      <x:c r="O639" s="32"/>
      <x:c r="P639" s="32" t="e">
        <x:f>IF(A639=1,Dashboard!$F$14,T638)</x:f>
      </x:c>
      <x:c r="Q639" s="32" t="e">
        <x:f>IF(A639&lt;=Dashboard!$F$17,MIN(P639,$B$6*52/12),0)</x:f>
      </x:c>
      <x:c r="R639" s="32" t="e">
        <x:f>IF(A639&lt;=Dashboard!$F$17,MAX(0,P639-Q639)*Dashboard!$F$6,0)</x:f>
      </x:c>
      <x:c r="S639" s="32" t="e">
        <x:f>IF(A639&lt;=Dashboard!$F$17,MIN(Dashboard!$F$10,MAX(0,P639-Q639)+R639),0)</x:f>
      </x:c>
      <x:c r="T639" s="32" t="e">
        <x:f>IF(A639&lt;=Dashboard!$F$17,MAX(0,P639-Q639-MAX(0,S639-R639)),0)</x:f>
      </x:c>
      <x:c r="U639" s="32" t="e">
        <x:f>IF(A639=1,R639,U638+R639)</x:f>
      </x:c>
      <x:c r="V639" s="32"/>
      <x:c r="W639" s="32" t="e">
        <x:f>IF(A639=1,Dashboard!$F$14,AA638)</x:f>
      </x:c>
      <x:c r="X639" s="32" t="e">
        <x:f>IF(AND(A639&lt;=Dashboard!$F$17,MOD(A639-1,12)=0),MIN(W639,$B$7),0)</x:f>
      </x:c>
      <x:c r="Y639" s="32" t="e">
        <x:f>IF(A639&lt;=Dashboard!$F$17,MAX(0,W639-X639)*Dashboard!$F$6,0)</x:f>
      </x:c>
      <x:c r="Z639" s="32" t="e">
        <x:f>IF(A639&lt;=Dashboard!$F$17,MIN(Dashboard!$F$10,MAX(0,W639-X639)+Y639),0)</x:f>
      </x:c>
      <x:c r="AA639" s="32" t="e">
        <x:f>IF(A639&lt;=Dashboard!$F$17,MAX(0,W639-X639-MAX(0,Z639-Y639)),0)</x:f>
      </x:c>
      <x:c r="AB639" s="32" t="e">
        <x:f>IF(A639=1,Y639,AB638+Y639)</x:f>
      </x:c>
      <x:c r="AC639" s="32"/>
      <x:c r="AD639" s="32" t="e">
        <x:f>IF(A639=1,MAX(0,Dashboard!$F$14-$B$8),AG638)</x:f>
      </x:c>
      <x:c r="AE639" s="32" t="n">
        <x:f>0</x:f>
        <x:v>0</x:v>
      </x:c>
      <x:c r="AF639" s="32" t="e">
        <x:f>IF(A639&lt;=Dashboard!$F$17,AD639*Dashboard!$F$6,0)</x:f>
      </x:c>
      <x:c r="AG639" s="32" t="e">
        <x:f>IF(A639&lt;=Dashboard!$F$17,MIN(Dashboard!$F$10,AD639+AF639),0)</x:f>
      </x:c>
      <x:c r="AH639" s="32" t="e">
        <x:f>IF(A639&lt;=Dashboard!$F$17,MAX(0,AD639-MAX(0,AG639-AF639)),0)</x:f>
      </x:c>
      <x:c r="AI639" s="32" t="e">
        <x:f>IF(A639=1,AF639,AI638+AF639)</x:f>
      </x:c>
      <x:c r="AJ639" s="33"/>
      <x:c r="AK639" s="33"/>
      <x:c r="AL639" s="33"/>
      <x:c r="AM639" s="33"/>
    </x:row>
    <x:row r="640">
      <x:c r="A640" s="33" t="n">
        <x:v>628</x:v>
      </x:c>
      <x:c r="B640" s="32" t="e">
        <x:f>IF(A640=1,Dashboard!$F$14,F639)</x:f>
      </x:c>
      <x:c r="C640" s="32" t="n">
        <x:f>0</x:f>
        <x:v>0</x:v>
      </x:c>
      <x:c r="D640" s="32" t="e">
        <x:f>IF(A640&lt;=Dashboard!$F$15,B640*Dashboard!$F$6,0)</x:f>
      </x:c>
      <x:c r="E640" s="32" t="e">
        <x:f>IF(A640&lt;=Dashboard!$F$15,MIN(Dashboard!$F$10,B640+D640),0)</x:f>
      </x:c>
      <x:c r="F640" s="32" t="e">
        <x:f>IF(A640&lt;=Dashboard!$F$15,MAX(0,B640-MAX(0,E640-D640)),0)</x:f>
      </x:c>
      <x:c r="G640" s="32" t="e">
        <x:f>IF(A640=1,D640,G639+D640)</x:f>
      </x:c>
      <x:c r="H640" s="32"/>
      <x:c r="I640" s="32" t="e">
        <x:f>IF(A640=1,Dashboard!$F$14,M639)</x:f>
      </x:c>
      <x:c r="J640" s="32" t="e">
        <x:f>IF(A640&lt;=Dashboard!$F$17,MIN(I640,$B$5),0)</x:f>
      </x:c>
      <x:c r="K640" s="32" t="e">
        <x:f>IF(A640&lt;=Dashboard!$F$17,MAX(0,I640-J640)*Dashboard!$F$6,0)</x:f>
      </x:c>
      <x:c r="L640" s="32" t="e">
        <x:f>IF(A640&lt;=Dashboard!$F$17,MIN(Dashboard!$F$10,MAX(0,I640-J640)+K640),0)</x:f>
      </x:c>
      <x:c r="M640" s="32" t="e">
        <x:f>IF(A640&lt;=Dashboard!$F$17,MAX(0,I640-J640-MAX(0,L640-K640)),0)</x:f>
      </x:c>
      <x:c r="N640" s="32" t="e">
        <x:f>IF(A640=1,K640,N639+K640)</x:f>
      </x:c>
      <x:c r="O640" s="32"/>
      <x:c r="P640" s="32" t="e">
        <x:f>IF(A640=1,Dashboard!$F$14,T639)</x:f>
      </x:c>
      <x:c r="Q640" s="32" t="e">
        <x:f>IF(A640&lt;=Dashboard!$F$17,MIN(P640,$B$6*52/12),0)</x:f>
      </x:c>
      <x:c r="R640" s="32" t="e">
        <x:f>IF(A640&lt;=Dashboard!$F$17,MAX(0,P640-Q640)*Dashboard!$F$6,0)</x:f>
      </x:c>
      <x:c r="S640" s="32" t="e">
        <x:f>IF(A640&lt;=Dashboard!$F$17,MIN(Dashboard!$F$10,MAX(0,P640-Q640)+R640),0)</x:f>
      </x:c>
      <x:c r="T640" s="32" t="e">
        <x:f>IF(A640&lt;=Dashboard!$F$17,MAX(0,P640-Q640-MAX(0,S640-R640)),0)</x:f>
      </x:c>
      <x:c r="U640" s="32" t="e">
        <x:f>IF(A640=1,R640,U639+R640)</x:f>
      </x:c>
      <x:c r="V640" s="32"/>
      <x:c r="W640" s="32" t="e">
        <x:f>IF(A640=1,Dashboard!$F$14,AA639)</x:f>
      </x:c>
      <x:c r="X640" s="32" t="e">
        <x:f>IF(AND(A640&lt;=Dashboard!$F$17,MOD(A640-1,12)=0),MIN(W640,$B$7),0)</x:f>
      </x:c>
      <x:c r="Y640" s="32" t="e">
        <x:f>IF(A640&lt;=Dashboard!$F$17,MAX(0,W640-X640)*Dashboard!$F$6,0)</x:f>
      </x:c>
      <x:c r="Z640" s="32" t="e">
        <x:f>IF(A640&lt;=Dashboard!$F$17,MIN(Dashboard!$F$10,MAX(0,W640-X640)+Y640),0)</x:f>
      </x:c>
      <x:c r="AA640" s="32" t="e">
        <x:f>IF(A640&lt;=Dashboard!$F$17,MAX(0,W640-X640-MAX(0,Z640-Y640)),0)</x:f>
      </x:c>
      <x:c r="AB640" s="32" t="e">
        <x:f>IF(A640=1,Y640,AB639+Y640)</x:f>
      </x:c>
      <x:c r="AC640" s="32"/>
      <x:c r="AD640" s="32" t="e">
        <x:f>IF(A640=1,MAX(0,Dashboard!$F$14-$B$8),AG639)</x:f>
      </x:c>
      <x:c r="AE640" s="32" t="n">
        <x:f>0</x:f>
        <x:v>0</x:v>
      </x:c>
      <x:c r="AF640" s="32" t="e">
        <x:f>IF(A640&lt;=Dashboard!$F$17,AD640*Dashboard!$F$6,0)</x:f>
      </x:c>
      <x:c r="AG640" s="32" t="e">
        <x:f>IF(A640&lt;=Dashboard!$F$17,MIN(Dashboard!$F$10,AD640+AF640),0)</x:f>
      </x:c>
      <x:c r="AH640" s="32" t="e">
        <x:f>IF(A640&lt;=Dashboard!$F$17,MAX(0,AD640-MAX(0,AG640-AF640)),0)</x:f>
      </x:c>
      <x:c r="AI640" s="32" t="e">
        <x:f>IF(A640=1,AF640,AI639+AF640)</x:f>
      </x:c>
      <x:c r="AJ640" s="33"/>
      <x:c r="AK640" s="33"/>
      <x:c r="AL640" s="33"/>
      <x:c r="AM640" s="33"/>
    </x:row>
    <x:row r="641">
      <x:c r="A641" s="33" t="n">
        <x:v>629</x:v>
      </x:c>
      <x:c r="B641" s="32" t="e">
        <x:f>IF(A641=1,Dashboard!$F$14,F640)</x:f>
      </x:c>
      <x:c r="C641" s="32" t="n">
        <x:f>0</x:f>
        <x:v>0</x:v>
      </x:c>
      <x:c r="D641" s="32" t="e">
        <x:f>IF(A641&lt;=Dashboard!$F$15,B641*Dashboard!$F$6,0)</x:f>
      </x:c>
      <x:c r="E641" s="32" t="e">
        <x:f>IF(A641&lt;=Dashboard!$F$15,MIN(Dashboard!$F$10,B641+D641),0)</x:f>
      </x:c>
      <x:c r="F641" s="32" t="e">
        <x:f>IF(A641&lt;=Dashboard!$F$15,MAX(0,B641-MAX(0,E641-D641)),0)</x:f>
      </x:c>
      <x:c r="G641" s="32" t="e">
        <x:f>IF(A641=1,D641,G640+D641)</x:f>
      </x:c>
      <x:c r="H641" s="32"/>
      <x:c r="I641" s="32" t="e">
        <x:f>IF(A641=1,Dashboard!$F$14,M640)</x:f>
      </x:c>
      <x:c r="J641" s="32" t="e">
        <x:f>IF(A641&lt;=Dashboard!$F$17,MIN(I641,$B$5),0)</x:f>
      </x:c>
      <x:c r="K641" s="32" t="e">
        <x:f>IF(A641&lt;=Dashboard!$F$17,MAX(0,I641-J641)*Dashboard!$F$6,0)</x:f>
      </x:c>
      <x:c r="L641" s="32" t="e">
        <x:f>IF(A641&lt;=Dashboard!$F$17,MIN(Dashboard!$F$10,MAX(0,I641-J641)+K641),0)</x:f>
      </x:c>
      <x:c r="M641" s="32" t="e">
        <x:f>IF(A641&lt;=Dashboard!$F$17,MAX(0,I641-J641-MAX(0,L641-K641)),0)</x:f>
      </x:c>
      <x:c r="N641" s="32" t="e">
        <x:f>IF(A641=1,K641,N640+K641)</x:f>
      </x:c>
      <x:c r="O641" s="32"/>
      <x:c r="P641" s="32" t="e">
        <x:f>IF(A641=1,Dashboard!$F$14,T640)</x:f>
      </x:c>
      <x:c r="Q641" s="32" t="e">
        <x:f>IF(A641&lt;=Dashboard!$F$17,MIN(P641,$B$6*52/12),0)</x:f>
      </x:c>
      <x:c r="R641" s="32" t="e">
        <x:f>IF(A641&lt;=Dashboard!$F$17,MAX(0,P641-Q641)*Dashboard!$F$6,0)</x:f>
      </x:c>
      <x:c r="S641" s="32" t="e">
        <x:f>IF(A641&lt;=Dashboard!$F$17,MIN(Dashboard!$F$10,MAX(0,P641-Q641)+R641),0)</x:f>
      </x:c>
      <x:c r="T641" s="32" t="e">
        <x:f>IF(A641&lt;=Dashboard!$F$17,MAX(0,P641-Q641-MAX(0,S641-R641)),0)</x:f>
      </x:c>
      <x:c r="U641" s="32" t="e">
        <x:f>IF(A641=1,R641,U640+R641)</x:f>
      </x:c>
      <x:c r="V641" s="32"/>
      <x:c r="W641" s="32" t="e">
        <x:f>IF(A641=1,Dashboard!$F$14,AA640)</x:f>
      </x:c>
      <x:c r="X641" s="32" t="e">
        <x:f>IF(AND(A641&lt;=Dashboard!$F$17,MOD(A641-1,12)=0),MIN(W641,$B$7),0)</x:f>
      </x:c>
      <x:c r="Y641" s="32" t="e">
        <x:f>IF(A641&lt;=Dashboard!$F$17,MAX(0,W641-X641)*Dashboard!$F$6,0)</x:f>
      </x:c>
      <x:c r="Z641" s="32" t="e">
        <x:f>IF(A641&lt;=Dashboard!$F$17,MIN(Dashboard!$F$10,MAX(0,W641-X641)+Y641),0)</x:f>
      </x:c>
      <x:c r="AA641" s="32" t="e">
        <x:f>IF(A641&lt;=Dashboard!$F$17,MAX(0,W641-X641-MAX(0,Z641-Y641)),0)</x:f>
      </x:c>
      <x:c r="AB641" s="32" t="e">
        <x:f>IF(A641=1,Y641,AB640+Y641)</x:f>
      </x:c>
      <x:c r="AC641" s="32"/>
      <x:c r="AD641" s="32" t="e">
        <x:f>IF(A641=1,MAX(0,Dashboard!$F$14-$B$8),AG640)</x:f>
      </x:c>
      <x:c r="AE641" s="32" t="n">
        <x:f>0</x:f>
        <x:v>0</x:v>
      </x:c>
      <x:c r="AF641" s="32" t="e">
        <x:f>IF(A641&lt;=Dashboard!$F$17,AD641*Dashboard!$F$6,0)</x:f>
      </x:c>
      <x:c r="AG641" s="32" t="e">
        <x:f>IF(A641&lt;=Dashboard!$F$17,MIN(Dashboard!$F$10,AD641+AF641),0)</x:f>
      </x:c>
      <x:c r="AH641" s="32" t="e">
        <x:f>IF(A641&lt;=Dashboard!$F$17,MAX(0,AD641-MAX(0,AG641-AF641)),0)</x:f>
      </x:c>
      <x:c r="AI641" s="32" t="e">
        <x:f>IF(A641=1,AF641,AI640+AF641)</x:f>
      </x:c>
      <x:c r="AJ641" s="33"/>
      <x:c r="AK641" s="33"/>
      <x:c r="AL641" s="33"/>
      <x:c r="AM641" s="33"/>
    </x:row>
    <x:row r="642">
      <x:c r="A642" s="33" t="n">
        <x:v>630</x:v>
      </x:c>
      <x:c r="B642" s="32" t="e">
        <x:f>IF(A642=1,Dashboard!$F$14,F641)</x:f>
      </x:c>
      <x:c r="C642" s="32" t="n">
        <x:f>0</x:f>
        <x:v>0</x:v>
      </x:c>
      <x:c r="D642" s="32" t="e">
        <x:f>IF(A642&lt;=Dashboard!$F$15,B642*Dashboard!$F$6,0)</x:f>
      </x:c>
      <x:c r="E642" s="32" t="e">
        <x:f>IF(A642&lt;=Dashboard!$F$15,MIN(Dashboard!$F$10,B642+D642),0)</x:f>
      </x:c>
      <x:c r="F642" s="32" t="e">
        <x:f>IF(A642&lt;=Dashboard!$F$15,MAX(0,B642-MAX(0,E642-D642)),0)</x:f>
      </x:c>
      <x:c r="G642" s="32" t="e">
        <x:f>IF(A642=1,D642,G641+D642)</x:f>
      </x:c>
      <x:c r="H642" s="32"/>
      <x:c r="I642" s="32" t="e">
        <x:f>IF(A642=1,Dashboard!$F$14,M641)</x:f>
      </x:c>
      <x:c r="J642" s="32" t="e">
        <x:f>IF(A642&lt;=Dashboard!$F$17,MIN(I642,$B$5),0)</x:f>
      </x:c>
      <x:c r="K642" s="32" t="e">
        <x:f>IF(A642&lt;=Dashboard!$F$17,MAX(0,I642-J642)*Dashboard!$F$6,0)</x:f>
      </x:c>
      <x:c r="L642" s="32" t="e">
        <x:f>IF(A642&lt;=Dashboard!$F$17,MIN(Dashboard!$F$10,MAX(0,I642-J642)+K642),0)</x:f>
      </x:c>
      <x:c r="M642" s="32" t="e">
        <x:f>IF(A642&lt;=Dashboard!$F$17,MAX(0,I642-J642-MAX(0,L642-K642)),0)</x:f>
      </x:c>
      <x:c r="N642" s="32" t="e">
        <x:f>IF(A642=1,K642,N641+K642)</x:f>
      </x:c>
      <x:c r="O642" s="32"/>
      <x:c r="P642" s="32" t="e">
        <x:f>IF(A642=1,Dashboard!$F$14,T641)</x:f>
      </x:c>
      <x:c r="Q642" s="32" t="e">
        <x:f>IF(A642&lt;=Dashboard!$F$17,MIN(P642,$B$6*52/12),0)</x:f>
      </x:c>
      <x:c r="R642" s="32" t="e">
        <x:f>IF(A642&lt;=Dashboard!$F$17,MAX(0,P642-Q642)*Dashboard!$F$6,0)</x:f>
      </x:c>
      <x:c r="S642" s="32" t="e">
        <x:f>IF(A642&lt;=Dashboard!$F$17,MIN(Dashboard!$F$10,MAX(0,P642-Q642)+R642),0)</x:f>
      </x:c>
      <x:c r="T642" s="32" t="e">
        <x:f>IF(A642&lt;=Dashboard!$F$17,MAX(0,P642-Q642-MAX(0,S642-R642)),0)</x:f>
      </x:c>
      <x:c r="U642" s="32" t="e">
        <x:f>IF(A642=1,R642,U641+R642)</x:f>
      </x:c>
      <x:c r="V642" s="32"/>
      <x:c r="W642" s="32" t="e">
        <x:f>IF(A642=1,Dashboard!$F$14,AA641)</x:f>
      </x:c>
      <x:c r="X642" s="32" t="e">
        <x:f>IF(AND(A642&lt;=Dashboard!$F$17,MOD(A642-1,12)=0),MIN(W642,$B$7),0)</x:f>
      </x:c>
      <x:c r="Y642" s="32" t="e">
        <x:f>IF(A642&lt;=Dashboard!$F$17,MAX(0,W642-X642)*Dashboard!$F$6,0)</x:f>
      </x:c>
      <x:c r="Z642" s="32" t="e">
        <x:f>IF(A642&lt;=Dashboard!$F$17,MIN(Dashboard!$F$10,MAX(0,W642-X642)+Y642),0)</x:f>
      </x:c>
      <x:c r="AA642" s="32" t="e">
        <x:f>IF(A642&lt;=Dashboard!$F$17,MAX(0,W642-X642-MAX(0,Z642-Y642)),0)</x:f>
      </x:c>
      <x:c r="AB642" s="32" t="e">
        <x:f>IF(A642=1,Y642,AB641+Y642)</x:f>
      </x:c>
      <x:c r="AC642" s="32"/>
      <x:c r="AD642" s="32" t="e">
        <x:f>IF(A642=1,MAX(0,Dashboard!$F$14-$B$8),AG641)</x:f>
      </x:c>
      <x:c r="AE642" s="32" t="n">
        <x:f>0</x:f>
        <x:v>0</x:v>
      </x:c>
      <x:c r="AF642" s="32" t="e">
        <x:f>IF(A642&lt;=Dashboard!$F$17,AD642*Dashboard!$F$6,0)</x:f>
      </x:c>
      <x:c r="AG642" s="32" t="e">
        <x:f>IF(A642&lt;=Dashboard!$F$17,MIN(Dashboard!$F$10,AD642+AF642),0)</x:f>
      </x:c>
      <x:c r="AH642" s="32" t="e">
        <x:f>IF(A642&lt;=Dashboard!$F$17,MAX(0,AD642-MAX(0,AG642-AF642)),0)</x:f>
      </x:c>
      <x:c r="AI642" s="32" t="e">
        <x:f>IF(A642=1,AF642,AI641+AF642)</x:f>
      </x:c>
      <x:c r="AJ642" s="33"/>
      <x:c r="AK642" s="33"/>
      <x:c r="AL642" s="33"/>
      <x:c r="AM642" s="33"/>
    </x:row>
    <x:row r="643">
      <x:c r="A643" s="33" t="n">
        <x:v>631</x:v>
      </x:c>
      <x:c r="B643" s="32" t="e">
        <x:f>IF(A643=1,Dashboard!$F$14,F642)</x:f>
      </x:c>
      <x:c r="C643" s="32" t="n">
        <x:f>0</x:f>
        <x:v>0</x:v>
      </x:c>
      <x:c r="D643" s="32" t="e">
        <x:f>IF(A643&lt;=Dashboard!$F$15,B643*Dashboard!$F$6,0)</x:f>
      </x:c>
      <x:c r="E643" s="32" t="e">
        <x:f>IF(A643&lt;=Dashboard!$F$15,MIN(Dashboard!$F$10,B643+D643),0)</x:f>
      </x:c>
      <x:c r="F643" s="32" t="e">
        <x:f>IF(A643&lt;=Dashboard!$F$15,MAX(0,B643-MAX(0,E643-D643)),0)</x:f>
      </x:c>
      <x:c r="G643" s="32" t="e">
        <x:f>IF(A643=1,D643,G642+D643)</x:f>
      </x:c>
      <x:c r="H643" s="32"/>
      <x:c r="I643" s="32" t="e">
        <x:f>IF(A643=1,Dashboard!$F$14,M642)</x:f>
      </x:c>
      <x:c r="J643" s="32" t="e">
        <x:f>IF(A643&lt;=Dashboard!$F$17,MIN(I643,$B$5),0)</x:f>
      </x:c>
      <x:c r="K643" s="32" t="e">
        <x:f>IF(A643&lt;=Dashboard!$F$17,MAX(0,I643-J643)*Dashboard!$F$6,0)</x:f>
      </x:c>
      <x:c r="L643" s="32" t="e">
        <x:f>IF(A643&lt;=Dashboard!$F$17,MIN(Dashboard!$F$10,MAX(0,I643-J643)+K643),0)</x:f>
      </x:c>
      <x:c r="M643" s="32" t="e">
        <x:f>IF(A643&lt;=Dashboard!$F$17,MAX(0,I643-J643-MAX(0,L643-K643)),0)</x:f>
      </x:c>
      <x:c r="N643" s="32" t="e">
        <x:f>IF(A643=1,K643,N642+K643)</x:f>
      </x:c>
      <x:c r="O643" s="32"/>
      <x:c r="P643" s="32" t="e">
        <x:f>IF(A643=1,Dashboard!$F$14,T642)</x:f>
      </x:c>
      <x:c r="Q643" s="32" t="e">
        <x:f>IF(A643&lt;=Dashboard!$F$17,MIN(P643,$B$6*52/12),0)</x:f>
      </x:c>
      <x:c r="R643" s="32" t="e">
        <x:f>IF(A643&lt;=Dashboard!$F$17,MAX(0,P643-Q643)*Dashboard!$F$6,0)</x:f>
      </x:c>
      <x:c r="S643" s="32" t="e">
        <x:f>IF(A643&lt;=Dashboard!$F$17,MIN(Dashboard!$F$10,MAX(0,P643-Q643)+R643),0)</x:f>
      </x:c>
      <x:c r="T643" s="32" t="e">
        <x:f>IF(A643&lt;=Dashboard!$F$17,MAX(0,P643-Q643-MAX(0,S643-R643)),0)</x:f>
      </x:c>
      <x:c r="U643" s="32" t="e">
        <x:f>IF(A643=1,R643,U642+R643)</x:f>
      </x:c>
      <x:c r="V643" s="32"/>
      <x:c r="W643" s="32" t="e">
        <x:f>IF(A643=1,Dashboard!$F$14,AA642)</x:f>
      </x:c>
      <x:c r="X643" s="32" t="e">
        <x:f>IF(AND(A643&lt;=Dashboard!$F$17,MOD(A643-1,12)=0),MIN(W643,$B$7),0)</x:f>
      </x:c>
      <x:c r="Y643" s="32" t="e">
        <x:f>IF(A643&lt;=Dashboard!$F$17,MAX(0,W643-X643)*Dashboard!$F$6,0)</x:f>
      </x:c>
      <x:c r="Z643" s="32" t="e">
        <x:f>IF(A643&lt;=Dashboard!$F$17,MIN(Dashboard!$F$10,MAX(0,W643-X643)+Y643),0)</x:f>
      </x:c>
      <x:c r="AA643" s="32" t="e">
        <x:f>IF(A643&lt;=Dashboard!$F$17,MAX(0,W643-X643-MAX(0,Z643-Y643)),0)</x:f>
      </x:c>
      <x:c r="AB643" s="32" t="e">
        <x:f>IF(A643=1,Y643,AB642+Y643)</x:f>
      </x:c>
      <x:c r="AC643" s="32"/>
      <x:c r="AD643" s="32" t="e">
        <x:f>IF(A643=1,MAX(0,Dashboard!$F$14-$B$8),AG642)</x:f>
      </x:c>
      <x:c r="AE643" s="32" t="n">
        <x:f>0</x:f>
        <x:v>0</x:v>
      </x:c>
      <x:c r="AF643" s="32" t="e">
        <x:f>IF(A643&lt;=Dashboard!$F$17,AD643*Dashboard!$F$6,0)</x:f>
      </x:c>
      <x:c r="AG643" s="32" t="e">
        <x:f>IF(A643&lt;=Dashboard!$F$17,MIN(Dashboard!$F$10,AD643+AF643),0)</x:f>
      </x:c>
      <x:c r="AH643" s="32" t="e">
        <x:f>IF(A643&lt;=Dashboard!$F$17,MAX(0,AD643-MAX(0,AG643-AF643)),0)</x:f>
      </x:c>
      <x:c r="AI643" s="32" t="e">
        <x:f>IF(A643=1,AF643,AI642+AF643)</x:f>
      </x:c>
      <x:c r="AJ643" s="33"/>
      <x:c r="AK643" s="33"/>
      <x:c r="AL643" s="33"/>
      <x:c r="AM643" s="33"/>
    </x:row>
    <x:row r="644">
      <x:c r="A644" s="33" t="n">
        <x:v>632</x:v>
      </x:c>
      <x:c r="B644" s="32" t="e">
        <x:f>IF(A644=1,Dashboard!$F$14,F643)</x:f>
      </x:c>
      <x:c r="C644" s="32" t="n">
        <x:f>0</x:f>
        <x:v>0</x:v>
      </x:c>
      <x:c r="D644" s="32" t="e">
        <x:f>IF(A644&lt;=Dashboard!$F$15,B644*Dashboard!$F$6,0)</x:f>
      </x:c>
      <x:c r="E644" s="32" t="e">
        <x:f>IF(A644&lt;=Dashboard!$F$15,MIN(Dashboard!$F$10,B644+D644),0)</x:f>
      </x:c>
      <x:c r="F644" s="32" t="e">
        <x:f>IF(A644&lt;=Dashboard!$F$15,MAX(0,B644-MAX(0,E644-D644)),0)</x:f>
      </x:c>
      <x:c r="G644" s="32" t="e">
        <x:f>IF(A644=1,D644,G643+D644)</x:f>
      </x:c>
      <x:c r="H644" s="32"/>
      <x:c r="I644" s="32" t="e">
        <x:f>IF(A644=1,Dashboard!$F$14,M643)</x:f>
      </x:c>
      <x:c r="J644" s="32" t="e">
        <x:f>IF(A644&lt;=Dashboard!$F$17,MIN(I644,$B$5),0)</x:f>
      </x:c>
      <x:c r="K644" s="32" t="e">
        <x:f>IF(A644&lt;=Dashboard!$F$17,MAX(0,I644-J644)*Dashboard!$F$6,0)</x:f>
      </x:c>
      <x:c r="L644" s="32" t="e">
        <x:f>IF(A644&lt;=Dashboard!$F$17,MIN(Dashboard!$F$10,MAX(0,I644-J644)+K644),0)</x:f>
      </x:c>
      <x:c r="M644" s="32" t="e">
        <x:f>IF(A644&lt;=Dashboard!$F$17,MAX(0,I644-J644-MAX(0,L644-K644)),0)</x:f>
      </x:c>
      <x:c r="N644" s="32" t="e">
        <x:f>IF(A644=1,K644,N643+K644)</x:f>
      </x:c>
      <x:c r="O644" s="32"/>
      <x:c r="P644" s="32" t="e">
        <x:f>IF(A644=1,Dashboard!$F$14,T643)</x:f>
      </x:c>
      <x:c r="Q644" s="32" t="e">
        <x:f>IF(A644&lt;=Dashboard!$F$17,MIN(P644,$B$6*52/12),0)</x:f>
      </x:c>
      <x:c r="R644" s="32" t="e">
        <x:f>IF(A644&lt;=Dashboard!$F$17,MAX(0,P644-Q644)*Dashboard!$F$6,0)</x:f>
      </x:c>
      <x:c r="S644" s="32" t="e">
        <x:f>IF(A644&lt;=Dashboard!$F$17,MIN(Dashboard!$F$10,MAX(0,P644-Q644)+R644),0)</x:f>
      </x:c>
      <x:c r="T644" s="32" t="e">
        <x:f>IF(A644&lt;=Dashboard!$F$17,MAX(0,P644-Q644-MAX(0,S644-R644)),0)</x:f>
      </x:c>
      <x:c r="U644" s="32" t="e">
        <x:f>IF(A644=1,R644,U643+R644)</x:f>
      </x:c>
      <x:c r="V644" s="32"/>
      <x:c r="W644" s="32" t="e">
        <x:f>IF(A644=1,Dashboard!$F$14,AA643)</x:f>
      </x:c>
      <x:c r="X644" s="32" t="e">
        <x:f>IF(AND(A644&lt;=Dashboard!$F$17,MOD(A644-1,12)=0),MIN(W644,$B$7),0)</x:f>
      </x:c>
      <x:c r="Y644" s="32" t="e">
        <x:f>IF(A644&lt;=Dashboard!$F$17,MAX(0,W644-X644)*Dashboard!$F$6,0)</x:f>
      </x:c>
      <x:c r="Z644" s="32" t="e">
        <x:f>IF(A644&lt;=Dashboard!$F$17,MIN(Dashboard!$F$10,MAX(0,W644-X644)+Y644),0)</x:f>
      </x:c>
      <x:c r="AA644" s="32" t="e">
        <x:f>IF(A644&lt;=Dashboard!$F$17,MAX(0,W644-X644-MAX(0,Z644-Y644)),0)</x:f>
      </x:c>
      <x:c r="AB644" s="32" t="e">
        <x:f>IF(A644=1,Y644,AB643+Y644)</x:f>
      </x:c>
      <x:c r="AC644" s="32"/>
      <x:c r="AD644" s="32" t="e">
        <x:f>IF(A644=1,MAX(0,Dashboard!$F$14-$B$8),AG643)</x:f>
      </x:c>
      <x:c r="AE644" s="32" t="n">
        <x:f>0</x:f>
        <x:v>0</x:v>
      </x:c>
      <x:c r="AF644" s="32" t="e">
        <x:f>IF(A644&lt;=Dashboard!$F$17,AD644*Dashboard!$F$6,0)</x:f>
      </x:c>
      <x:c r="AG644" s="32" t="e">
        <x:f>IF(A644&lt;=Dashboard!$F$17,MIN(Dashboard!$F$10,AD644+AF644),0)</x:f>
      </x:c>
      <x:c r="AH644" s="32" t="e">
        <x:f>IF(A644&lt;=Dashboard!$F$17,MAX(0,AD644-MAX(0,AG644-AF644)),0)</x:f>
      </x:c>
      <x:c r="AI644" s="32" t="e">
        <x:f>IF(A644=1,AF644,AI643+AF644)</x:f>
      </x:c>
      <x:c r="AJ644" s="33"/>
      <x:c r="AK644" s="33"/>
      <x:c r="AL644" s="33"/>
      <x:c r="AM644" s="33"/>
    </x:row>
    <x:row r="645">
      <x:c r="A645" s="33" t="n">
        <x:v>633</x:v>
      </x:c>
      <x:c r="B645" s="32" t="e">
        <x:f>IF(A645=1,Dashboard!$F$14,F644)</x:f>
      </x:c>
      <x:c r="C645" s="32" t="n">
        <x:f>0</x:f>
        <x:v>0</x:v>
      </x:c>
      <x:c r="D645" s="32" t="e">
        <x:f>IF(A645&lt;=Dashboard!$F$15,B645*Dashboard!$F$6,0)</x:f>
      </x:c>
      <x:c r="E645" s="32" t="e">
        <x:f>IF(A645&lt;=Dashboard!$F$15,MIN(Dashboard!$F$10,B645+D645),0)</x:f>
      </x:c>
      <x:c r="F645" s="32" t="e">
        <x:f>IF(A645&lt;=Dashboard!$F$15,MAX(0,B645-MAX(0,E645-D645)),0)</x:f>
      </x:c>
      <x:c r="G645" s="32" t="e">
        <x:f>IF(A645=1,D645,G644+D645)</x:f>
      </x:c>
      <x:c r="H645" s="32"/>
      <x:c r="I645" s="32" t="e">
        <x:f>IF(A645=1,Dashboard!$F$14,M644)</x:f>
      </x:c>
      <x:c r="J645" s="32" t="e">
        <x:f>IF(A645&lt;=Dashboard!$F$17,MIN(I645,$B$5),0)</x:f>
      </x:c>
      <x:c r="K645" s="32" t="e">
        <x:f>IF(A645&lt;=Dashboard!$F$17,MAX(0,I645-J645)*Dashboard!$F$6,0)</x:f>
      </x:c>
      <x:c r="L645" s="32" t="e">
        <x:f>IF(A645&lt;=Dashboard!$F$17,MIN(Dashboard!$F$10,MAX(0,I645-J645)+K645),0)</x:f>
      </x:c>
      <x:c r="M645" s="32" t="e">
        <x:f>IF(A645&lt;=Dashboard!$F$17,MAX(0,I645-J645-MAX(0,L645-K645)),0)</x:f>
      </x:c>
      <x:c r="N645" s="32" t="e">
        <x:f>IF(A645=1,K645,N644+K645)</x:f>
      </x:c>
      <x:c r="O645" s="32"/>
      <x:c r="P645" s="32" t="e">
        <x:f>IF(A645=1,Dashboard!$F$14,T644)</x:f>
      </x:c>
      <x:c r="Q645" s="32" t="e">
        <x:f>IF(A645&lt;=Dashboard!$F$17,MIN(P645,$B$6*52/12),0)</x:f>
      </x:c>
      <x:c r="R645" s="32" t="e">
        <x:f>IF(A645&lt;=Dashboard!$F$17,MAX(0,P645-Q645)*Dashboard!$F$6,0)</x:f>
      </x:c>
      <x:c r="S645" s="32" t="e">
        <x:f>IF(A645&lt;=Dashboard!$F$17,MIN(Dashboard!$F$10,MAX(0,P645-Q645)+R645),0)</x:f>
      </x:c>
      <x:c r="T645" s="32" t="e">
        <x:f>IF(A645&lt;=Dashboard!$F$17,MAX(0,P645-Q645-MAX(0,S645-R645)),0)</x:f>
      </x:c>
      <x:c r="U645" s="32" t="e">
        <x:f>IF(A645=1,R645,U644+R645)</x:f>
      </x:c>
      <x:c r="V645" s="32"/>
      <x:c r="W645" s="32" t="e">
        <x:f>IF(A645=1,Dashboard!$F$14,AA644)</x:f>
      </x:c>
      <x:c r="X645" s="32" t="e">
        <x:f>IF(AND(A645&lt;=Dashboard!$F$17,MOD(A645-1,12)=0),MIN(W645,$B$7),0)</x:f>
      </x:c>
      <x:c r="Y645" s="32" t="e">
        <x:f>IF(A645&lt;=Dashboard!$F$17,MAX(0,W645-X645)*Dashboard!$F$6,0)</x:f>
      </x:c>
      <x:c r="Z645" s="32" t="e">
        <x:f>IF(A645&lt;=Dashboard!$F$17,MIN(Dashboard!$F$10,MAX(0,W645-X645)+Y645),0)</x:f>
      </x:c>
      <x:c r="AA645" s="32" t="e">
        <x:f>IF(A645&lt;=Dashboard!$F$17,MAX(0,W645-X645-MAX(0,Z645-Y645)),0)</x:f>
      </x:c>
      <x:c r="AB645" s="32" t="e">
        <x:f>IF(A645=1,Y645,AB644+Y645)</x:f>
      </x:c>
      <x:c r="AC645" s="32"/>
      <x:c r="AD645" s="32" t="e">
        <x:f>IF(A645=1,MAX(0,Dashboard!$F$14-$B$8),AG644)</x:f>
      </x:c>
      <x:c r="AE645" s="32" t="n">
        <x:f>0</x:f>
        <x:v>0</x:v>
      </x:c>
      <x:c r="AF645" s="32" t="e">
        <x:f>IF(A645&lt;=Dashboard!$F$17,AD645*Dashboard!$F$6,0)</x:f>
      </x:c>
      <x:c r="AG645" s="32" t="e">
        <x:f>IF(A645&lt;=Dashboard!$F$17,MIN(Dashboard!$F$10,AD645+AF645),0)</x:f>
      </x:c>
      <x:c r="AH645" s="32" t="e">
        <x:f>IF(A645&lt;=Dashboard!$F$17,MAX(0,AD645-MAX(0,AG645-AF645)),0)</x:f>
      </x:c>
      <x:c r="AI645" s="32" t="e">
        <x:f>IF(A645=1,AF645,AI644+AF645)</x:f>
      </x:c>
      <x:c r="AJ645" s="33"/>
      <x:c r="AK645" s="33"/>
      <x:c r="AL645" s="33"/>
      <x:c r="AM645" s="33"/>
    </x:row>
    <x:row r="646">
      <x:c r="A646" s="33" t="n">
        <x:v>634</x:v>
      </x:c>
      <x:c r="B646" s="32" t="e">
        <x:f>IF(A646=1,Dashboard!$F$14,F645)</x:f>
      </x:c>
      <x:c r="C646" s="32" t="n">
        <x:f>0</x:f>
        <x:v>0</x:v>
      </x:c>
      <x:c r="D646" s="32" t="e">
        <x:f>IF(A646&lt;=Dashboard!$F$15,B646*Dashboard!$F$6,0)</x:f>
      </x:c>
      <x:c r="E646" s="32" t="e">
        <x:f>IF(A646&lt;=Dashboard!$F$15,MIN(Dashboard!$F$10,B646+D646),0)</x:f>
      </x:c>
      <x:c r="F646" s="32" t="e">
        <x:f>IF(A646&lt;=Dashboard!$F$15,MAX(0,B646-MAX(0,E646-D646)),0)</x:f>
      </x:c>
      <x:c r="G646" s="32" t="e">
        <x:f>IF(A646=1,D646,G645+D646)</x:f>
      </x:c>
      <x:c r="H646" s="32"/>
      <x:c r="I646" s="32" t="e">
        <x:f>IF(A646=1,Dashboard!$F$14,M645)</x:f>
      </x:c>
      <x:c r="J646" s="32" t="e">
        <x:f>IF(A646&lt;=Dashboard!$F$17,MIN(I646,$B$5),0)</x:f>
      </x:c>
      <x:c r="K646" s="32" t="e">
        <x:f>IF(A646&lt;=Dashboard!$F$17,MAX(0,I646-J646)*Dashboard!$F$6,0)</x:f>
      </x:c>
      <x:c r="L646" s="32" t="e">
        <x:f>IF(A646&lt;=Dashboard!$F$17,MIN(Dashboard!$F$10,MAX(0,I646-J646)+K646),0)</x:f>
      </x:c>
      <x:c r="M646" s="32" t="e">
        <x:f>IF(A646&lt;=Dashboard!$F$17,MAX(0,I646-J646-MAX(0,L646-K646)),0)</x:f>
      </x:c>
      <x:c r="N646" s="32" t="e">
        <x:f>IF(A646=1,K646,N645+K646)</x:f>
      </x:c>
      <x:c r="O646" s="32"/>
      <x:c r="P646" s="32" t="e">
        <x:f>IF(A646=1,Dashboard!$F$14,T645)</x:f>
      </x:c>
      <x:c r="Q646" s="32" t="e">
        <x:f>IF(A646&lt;=Dashboard!$F$17,MIN(P646,$B$6*52/12),0)</x:f>
      </x:c>
      <x:c r="R646" s="32" t="e">
        <x:f>IF(A646&lt;=Dashboard!$F$17,MAX(0,P646-Q646)*Dashboard!$F$6,0)</x:f>
      </x:c>
      <x:c r="S646" s="32" t="e">
        <x:f>IF(A646&lt;=Dashboard!$F$17,MIN(Dashboard!$F$10,MAX(0,P646-Q646)+R646),0)</x:f>
      </x:c>
      <x:c r="T646" s="32" t="e">
        <x:f>IF(A646&lt;=Dashboard!$F$17,MAX(0,P646-Q646-MAX(0,S646-R646)),0)</x:f>
      </x:c>
      <x:c r="U646" s="32" t="e">
        <x:f>IF(A646=1,R646,U645+R646)</x:f>
      </x:c>
      <x:c r="V646" s="32"/>
      <x:c r="W646" s="32" t="e">
        <x:f>IF(A646=1,Dashboard!$F$14,AA645)</x:f>
      </x:c>
      <x:c r="X646" s="32" t="e">
        <x:f>IF(AND(A646&lt;=Dashboard!$F$17,MOD(A646-1,12)=0),MIN(W646,$B$7),0)</x:f>
      </x:c>
      <x:c r="Y646" s="32" t="e">
        <x:f>IF(A646&lt;=Dashboard!$F$17,MAX(0,W646-X646)*Dashboard!$F$6,0)</x:f>
      </x:c>
      <x:c r="Z646" s="32" t="e">
        <x:f>IF(A646&lt;=Dashboard!$F$17,MIN(Dashboard!$F$10,MAX(0,W646-X646)+Y646),0)</x:f>
      </x:c>
      <x:c r="AA646" s="32" t="e">
        <x:f>IF(A646&lt;=Dashboard!$F$17,MAX(0,W646-X646-MAX(0,Z646-Y646)),0)</x:f>
      </x:c>
      <x:c r="AB646" s="32" t="e">
        <x:f>IF(A646=1,Y646,AB645+Y646)</x:f>
      </x:c>
      <x:c r="AC646" s="32"/>
      <x:c r="AD646" s="32" t="e">
        <x:f>IF(A646=1,MAX(0,Dashboard!$F$14-$B$8),AG645)</x:f>
      </x:c>
      <x:c r="AE646" s="32" t="n">
        <x:f>0</x:f>
        <x:v>0</x:v>
      </x:c>
      <x:c r="AF646" s="32" t="e">
        <x:f>IF(A646&lt;=Dashboard!$F$17,AD646*Dashboard!$F$6,0)</x:f>
      </x:c>
      <x:c r="AG646" s="32" t="e">
        <x:f>IF(A646&lt;=Dashboard!$F$17,MIN(Dashboard!$F$10,AD646+AF646),0)</x:f>
      </x:c>
      <x:c r="AH646" s="32" t="e">
        <x:f>IF(A646&lt;=Dashboard!$F$17,MAX(0,AD646-MAX(0,AG646-AF646)),0)</x:f>
      </x:c>
      <x:c r="AI646" s="32" t="e">
        <x:f>IF(A646=1,AF646,AI645+AF646)</x:f>
      </x:c>
      <x:c r="AJ646" s="33"/>
      <x:c r="AK646" s="33"/>
      <x:c r="AL646" s="33"/>
      <x:c r="AM646" s="33"/>
    </x:row>
    <x:row r="647">
      <x:c r="A647" s="33" t="n">
        <x:v>635</x:v>
      </x:c>
      <x:c r="B647" s="32" t="e">
        <x:f>IF(A647=1,Dashboard!$F$14,F646)</x:f>
      </x:c>
      <x:c r="C647" s="32" t="n">
        <x:f>0</x:f>
        <x:v>0</x:v>
      </x:c>
      <x:c r="D647" s="32" t="e">
        <x:f>IF(A647&lt;=Dashboard!$F$15,B647*Dashboard!$F$6,0)</x:f>
      </x:c>
      <x:c r="E647" s="32" t="e">
        <x:f>IF(A647&lt;=Dashboard!$F$15,MIN(Dashboard!$F$10,B647+D647),0)</x:f>
      </x:c>
      <x:c r="F647" s="32" t="e">
        <x:f>IF(A647&lt;=Dashboard!$F$15,MAX(0,B647-MAX(0,E647-D647)),0)</x:f>
      </x:c>
      <x:c r="G647" s="32" t="e">
        <x:f>IF(A647=1,D647,G646+D647)</x:f>
      </x:c>
      <x:c r="H647" s="32"/>
      <x:c r="I647" s="32" t="e">
        <x:f>IF(A647=1,Dashboard!$F$14,M646)</x:f>
      </x:c>
      <x:c r="J647" s="32" t="e">
        <x:f>IF(A647&lt;=Dashboard!$F$17,MIN(I647,$B$5),0)</x:f>
      </x:c>
      <x:c r="K647" s="32" t="e">
        <x:f>IF(A647&lt;=Dashboard!$F$17,MAX(0,I647-J647)*Dashboard!$F$6,0)</x:f>
      </x:c>
      <x:c r="L647" s="32" t="e">
        <x:f>IF(A647&lt;=Dashboard!$F$17,MIN(Dashboard!$F$10,MAX(0,I647-J647)+K647),0)</x:f>
      </x:c>
      <x:c r="M647" s="32" t="e">
        <x:f>IF(A647&lt;=Dashboard!$F$17,MAX(0,I647-J647-MAX(0,L647-K647)),0)</x:f>
      </x:c>
      <x:c r="N647" s="32" t="e">
        <x:f>IF(A647=1,K647,N646+K647)</x:f>
      </x:c>
      <x:c r="O647" s="32"/>
      <x:c r="P647" s="32" t="e">
        <x:f>IF(A647=1,Dashboard!$F$14,T646)</x:f>
      </x:c>
      <x:c r="Q647" s="32" t="e">
        <x:f>IF(A647&lt;=Dashboard!$F$17,MIN(P647,$B$6*52/12),0)</x:f>
      </x:c>
      <x:c r="R647" s="32" t="e">
        <x:f>IF(A647&lt;=Dashboard!$F$17,MAX(0,P647-Q647)*Dashboard!$F$6,0)</x:f>
      </x:c>
      <x:c r="S647" s="32" t="e">
        <x:f>IF(A647&lt;=Dashboard!$F$17,MIN(Dashboard!$F$10,MAX(0,P647-Q647)+R647),0)</x:f>
      </x:c>
      <x:c r="T647" s="32" t="e">
        <x:f>IF(A647&lt;=Dashboard!$F$17,MAX(0,P647-Q647-MAX(0,S647-R647)),0)</x:f>
      </x:c>
      <x:c r="U647" s="32" t="e">
        <x:f>IF(A647=1,R647,U646+R647)</x:f>
      </x:c>
      <x:c r="V647" s="32"/>
      <x:c r="W647" s="32" t="e">
        <x:f>IF(A647=1,Dashboard!$F$14,AA646)</x:f>
      </x:c>
      <x:c r="X647" s="32" t="e">
        <x:f>IF(AND(A647&lt;=Dashboard!$F$17,MOD(A647-1,12)=0),MIN(W647,$B$7),0)</x:f>
      </x:c>
      <x:c r="Y647" s="32" t="e">
        <x:f>IF(A647&lt;=Dashboard!$F$17,MAX(0,W647-X647)*Dashboard!$F$6,0)</x:f>
      </x:c>
      <x:c r="Z647" s="32" t="e">
        <x:f>IF(A647&lt;=Dashboard!$F$17,MIN(Dashboard!$F$10,MAX(0,W647-X647)+Y647),0)</x:f>
      </x:c>
      <x:c r="AA647" s="32" t="e">
        <x:f>IF(A647&lt;=Dashboard!$F$17,MAX(0,W647-X647-MAX(0,Z647-Y647)),0)</x:f>
      </x:c>
      <x:c r="AB647" s="32" t="e">
        <x:f>IF(A647=1,Y647,AB646+Y647)</x:f>
      </x:c>
      <x:c r="AC647" s="32"/>
      <x:c r="AD647" s="32" t="e">
        <x:f>IF(A647=1,MAX(0,Dashboard!$F$14-$B$8),AG646)</x:f>
      </x:c>
      <x:c r="AE647" s="32" t="n">
        <x:f>0</x:f>
        <x:v>0</x:v>
      </x:c>
      <x:c r="AF647" s="32" t="e">
        <x:f>IF(A647&lt;=Dashboard!$F$17,AD647*Dashboard!$F$6,0)</x:f>
      </x:c>
      <x:c r="AG647" s="32" t="e">
        <x:f>IF(A647&lt;=Dashboard!$F$17,MIN(Dashboard!$F$10,AD647+AF647),0)</x:f>
      </x:c>
      <x:c r="AH647" s="32" t="e">
        <x:f>IF(A647&lt;=Dashboard!$F$17,MAX(0,AD647-MAX(0,AG647-AF647)),0)</x:f>
      </x:c>
      <x:c r="AI647" s="32" t="e">
        <x:f>IF(A647=1,AF647,AI646+AF647)</x:f>
      </x:c>
      <x:c r="AJ647" s="33"/>
      <x:c r="AK647" s="33"/>
      <x:c r="AL647" s="33"/>
      <x:c r="AM647" s="33"/>
    </x:row>
    <x:row r="648">
      <x:c r="A648" s="33" t="n">
        <x:v>636</x:v>
      </x:c>
      <x:c r="B648" s="32" t="e">
        <x:f>IF(A648=1,Dashboard!$F$14,F647)</x:f>
      </x:c>
      <x:c r="C648" s="32" t="n">
        <x:f>0</x:f>
        <x:v>0</x:v>
      </x:c>
      <x:c r="D648" s="32" t="e">
        <x:f>IF(A648&lt;=Dashboard!$F$15,B648*Dashboard!$F$6,0)</x:f>
      </x:c>
      <x:c r="E648" s="32" t="e">
        <x:f>IF(A648&lt;=Dashboard!$F$15,MIN(Dashboard!$F$10,B648+D648),0)</x:f>
      </x:c>
      <x:c r="F648" s="32" t="e">
        <x:f>IF(A648&lt;=Dashboard!$F$15,MAX(0,B648-MAX(0,E648-D648)),0)</x:f>
      </x:c>
      <x:c r="G648" s="32" t="e">
        <x:f>IF(A648=1,D648,G647+D648)</x:f>
      </x:c>
      <x:c r="H648" s="32"/>
      <x:c r="I648" s="32" t="e">
        <x:f>IF(A648=1,Dashboard!$F$14,M647)</x:f>
      </x:c>
      <x:c r="J648" s="32" t="e">
        <x:f>IF(A648&lt;=Dashboard!$F$17,MIN(I648,$B$5),0)</x:f>
      </x:c>
      <x:c r="K648" s="32" t="e">
        <x:f>IF(A648&lt;=Dashboard!$F$17,MAX(0,I648-J648)*Dashboard!$F$6,0)</x:f>
      </x:c>
      <x:c r="L648" s="32" t="e">
        <x:f>IF(A648&lt;=Dashboard!$F$17,MIN(Dashboard!$F$10,MAX(0,I648-J648)+K648),0)</x:f>
      </x:c>
      <x:c r="M648" s="32" t="e">
        <x:f>IF(A648&lt;=Dashboard!$F$17,MAX(0,I648-J648-MAX(0,L648-K648)),0)</x:f>
      </x:c>
      <x:c r="N648" s="32" t="e">
        <x:f>IF(A648=1,K648,N647+K648)</x:f>
      </x:c>
      <x:c r="O648" s="32"/>
      <x:c r="P648" s="32" t="e">
        <x:f>IF(A648=1,Dashboard!$F$14,T647)</x:f>
      </x:c>
      <x:c r="Q648" s="32" t="e">
        <x:f>IF(A648&lt;=Dashboard!$F$17,MIN(P648,$B$6*52/12),0)</x:f>
      </x:c>
      <x:c r="R648" s="32" t="e">
        <x:f>IF(A648&lt;=Dashboard!$F$17,MAX(0,P648-Q648)*Dashboard!$F$6,0)</x:f>
      </x:c>
      <x:c r="S648" s="32" t="e">
        <x:f>IF(A648&lt;=Dashboard!$F$17,MIN(Dashboard!$F$10,MAX(0,P648-Q648)+R648),0)</x:f>
      </x:c>
      <x:c r="T648" s="32" t="e">
        <x:f>IF(A648&lt;=Dashboard!$F$17,MAX(0,P648-Q648-MAX(0,S648-R648)),0)</x:f>
      </x:c>
      <x:c r="U648" s="32" t="e">
        <x:f>IF(A648=1,R648,U647+R648)</x:f>
      </x:c>
      <x:c r="V648" s="32"/>
      <x:c r="W648" s="32" t="e">
        <x:f>IF(A648=1,Dashboard!$F$14,AA647)</x:f>
      </x:c>
      <x:c r="X648" s="32" t="e">
        <x:f>IF(AND(A648&lt;=Dashboard!$F$17,MOD(A648-1,12)=0),MIN(W648,$B$7),0)</x:f>
      </x:c>
      <x:c r="Y648" s="32" t="e">
        <x:f>IF(A648&lt;=Dashboard!$F$17,MAX(0,W648-X648)*Dashboard!$F$6,0)</x:f>
      </x:c>
      <x:c r="Z648" s="32" t="e">
        <x:f>IF(A648&lt;=Dashboard!$F$17,MIN(Dashboard!$F$10,MAX(0,W648-X648)+Y648),0)</x:f>
      </x:c>
      <x:c r="AA648" s="32" t="e">
        <x:f>IF(A648&lt;=Dashboard!$F$17,MAX(0,W648-X648-MAX(0,Z648-Y648)),0)</x:f>
      </x:c>
      <x:c r="AB648" s="32" t="e">
        <x:f>IF(A648=1,Y648,AB647+Y648)</x:f>
      </x:c>
      <x:c r="AC648" s="32"/>
      <x:c r="AD648" s="32" t="e">
        <x:f>IF(A648=1,MAX(0,Dashboard!$F$14-$B$8),AG647)</x:f>
      </x:c>
      <x:c r="AE648" s="32" t="n">
        <x:f>0</x:f>
        <x:v>0</x:v>
      </x:c>
      <x:c r="AF648" s="32" t="e">
        <x:f>IF(A648&lt;=Dashboard!$F$17,AD648*Dashboard!$F$6,0)</x:f>
      </x:c>
      <x:c r="AG648" s="32" t="e">
        <x:f>IF(A648&lt;=Dashboard!$F$17,MIN(Dashboard!$F$10,AD648+AF648),0)</x:f>
      </x:c>
      <x:c r="AH648" s="32" t="e">
        <x:f>IF(A648&lt;=Dashboard!$F$17,MAX(0,AD648-MAX(0,AG648-AF648)),0)</x:f>
      </x:c>
      <x:c r="AI648" s="32" t="e">
        <x:f>IF(A648=1,AF648,AI647+AF648)</x:f>
      </x:c>
      <x:c r="AJ648" s="33"/>
      <x:c r="AK648" s="33"/>
      <x:c r="AL648" s="33"/>
      <x:c r="AM648" s="33"/>
    </x:row>
    <x:row r="649">
      <x:c r="A649" s="33" t="n">
        <x:v>637</x:v>
      </x:c>
      <x:c r="B649" s="32" t="e">
        <x:f>IF(A649=1,Dashboard!$F$14,F648)</x:f>
      </x:c>
      <x:c r="C649" s="32" t="n">
        <x:f>0</x:f>
        <x:v>0</x:v>
      </x:c>
      <x:c r="D649" s="32" t="e">
        <x:f>IF(A649&lt;=Dashboard!$F$15,B649*Dashboard!$F$6,0)</x:f>
      </x:c>
      <x:c r="E649" s="32" t="e">
        <x:f>IF(A649&lt;=Dashboard!$F$15,MIN(Dashboard!$F$10,B649+D649),0)</x:f>
      </x:c>
      <x:c r="F649" s="32" t="e">
        <x:f>IF(A649&lt;=Dashboard!$F$15,MAX(0,B649-MAX(0,E649-D649)),0)</x:f>
      </x:c>
      <x:c r="G649" s="32" t="e">
        <x:f>IF(A649=1,D649,G648+D649)</x:f>
      </x:c>
      <x:c r="H649" s="32"/>
      <x:c r="I649" s="32" t="e">
        <x:f>IF(A649=1,Dashboard!$F$14,M648)</x:f>
      </x:c>
      <x:c r="J649" s="32" t="e">
        <x:f>IF(A649&lt;=Dashboard!$F$17,MIN(I649,$B$5),0)</x:f>
      </x:c>
      <x:c r="K649" s="32" t="e">
        <x:f>IF(A649&lt;=Dashboard!$F$17,MAX(0,I649-J649)*Dashboard!$F$6,0)</x:f>
      </x:c>
      <x:c r="L649" s="32" t="e">
        <x:f>IF(A649&lt;=Dashboard!$F$17,MIN(Dashboard!$F$10,MAX(0,I649-J649)+K649),0)</x:f>
      </x:c>
      <x:c r="M649" s="32" t="e">
        <x:f>IF(A649&lt;=Dashboard!$F$17,MAX(0,I649-J649-MAX(0,L649-K649)),0)</x:f>
      </x:c>
      <x:c r="N649" s="32" t="e">
        <x:f>IF(A649=1,K649,N648+K649)</x:f>
      </x:c>
      <x:c r="O649" s="32"/>
      <x:c r="P649" s="32" t="e">
        <x:f>IF(A649=1,Dashboard!$F$14,T648)</x:f>
      </x:c>
      <x:c r="Q649" s="32" t="e">
        <x:f>IF(A649&lt;=Dashboard!$F$17,MIN(P649,$B$6*52/12),0)</x:f>
      </x:c>
      <x:c r="R649" s="32" t="e">
        <x:f>IF(A649&lt;=Dashboard!$F$17,MAX(0,P649-Q649)*Dashboard!$F$6,0)</x:f>
      </x:c>
      <x:c r="S649" s="32" t="e">
        <x:f>IF(A649&lt;=Dashboard!$F$17,MIN(Dashboard!$F$10,MAX(0,P649-Q649)+R649),0)</x:f>
      </x:c>
      <x:c r="T649" s="32" t="e">
        <x:f>IF(A649&lt;=Dashboard!$F$17,MAX(0,P649-Q649-MAX(0,S649-R649)),0)</x:f>
      </x:c>
      <x:c r="U649" s="32" t="e">
        <x:f>IF(A649=1,R649,U648+R649)</x:f>
      </x:c>
      <x:c r="V649" s="32"/>
      <x:c r="W649" s="32" t="e">
        <x:f>IF(A649=1,Dashboard!$F$14,AA648)</x:f>
      </x:c>
      <x:c r="X649" s="32" t="e">
        <x:f>IF(AND(A649&lt;=Dashboard!$F$17,MOD(A649-1,12)=0),MIN(W649,$B$7),0)</x:f>
      </x:c>
      <x:c r="Y649" s="32" t="e">
        <x:f>IF(A649&lt;=Dashboard!$F$17,MAX(0,W649-X649)*Dashboard!$F$6,0)</x:f>
      </x:c>
      <x:c r="Z649" s="32" t="e">
        <x:f>IF(A649&lt;=Dashboard!$F$17,MIN(Dashboard!$F$10,MAX(0,W649-X649)+Y649),0)</x:f>
      </x:c>
      <x:c r="AA649" s="32" t="e">
        <x:f>IF(A649&lt;=Dashboard!$F$17,MAX(0,W649-X649-MAX(0,Z649-Y649)),0)</x:f>
      </x:c>
      <x:c r="AB649" s="32" t="e">
        <x:f>IF(A649=1,Y649,AB648+Y649)</x:f>
      </x:c>
      <x:c r="AC649" s="32"/>
      <x:c r="AD649" s="32" t="e">
        <x:f>IF(A649=1,MAX(0,Dashboard!$F$14-$B$8),AG648)</x:f>
      </x:c>
      <x:c r="AE649" s="32" t="n">
        <x:f>0</x:f>
        <x:v>0</x:v>
      </x:c>
      <x:c r="AF649" s="32" t="e">
        <x:f>IF(A649&lt;=Dashboard!$F$17,AD649*Dashboard!$F$6,0)</x:f>
      </x:c>
      <x:c r="AG649" s="32" t="e">
        <x:f>IF(A649&lt;=Dashboard!$F$17,MIN(Dashboard!$F$10,AD649+AF649),0)</x:f>
      </x:c>
      <x:c r="AH649" s="32" t="e">
        <x:f>IF(A649&lt;=Dashboard!$F$17,MAX(0,AD649-MAX(0,AG649-AF649)),0)</x:f>
      </x:c>
      <x:c r="AI649" s="32" t="e">
        <x:f>IF(A649=1,AF649,AI648+AF649)</x:f>
      </x:c>
      <x:c r="AJ649" s="33"/>
      <x:c r="AK649" s="33"/>
      <x:c r="AL649" s="33"/>
      <x:c r="AM649" s="33"/>
    </x:row>
    <x:row r="650">
      <x:c r="A650" s="33" t="n">
        <x:v>638</x:v>
      </x:c>
      <x:c r="B650" s="32" t="e">
        <x:f>IF(A650=1,Dashboard!$F$14,F649)</x:f>
      </x:c>
      <x:c r="C650" s="32" t="n">
        <x:f>0</x:f>
        <x:v>0</x:v>
      </x:c>
      <x:c r="D650" s="32" t="e">
        <x:f>IF(A650&lt;=Dashboard!$F$15,B650*Dashboard!$F$6,0)</x:f>
      </x:c>
      <x:c r="E650" s="32" t="e">
        <x:f>IF(A650&lt;=Dashboard!$F$15,MIN(Dashboard!$F$10,B650+D650),0)</x:f>
      </x:c>
      <x:c r="F650" s="32" t="e">
        <x:f>IF(A650&lt;=Dashboard!$F$15,MAX(0,B650-MAX(0,E650-D650)),0)</x:f>
      </x:c>
      <x:c r="G650" s="32" t="e">
        <x:f>IF(A650=1,D650,G649+D650)</x:f>
      </x:c>
      <x:c r="H650" s="32"/>
      <x:c r="I650" s="32" t="e">
        <x:f>IF(A650=1,Dashboard!$F$14,M649)</x:f>
      </x:c>
      <x:c r="J650" s="32" t="e">
        <x:f>IF(A650&lt;=Dashboard!$F$17,MIN(I650,$B$5),0)</x:f>
      </x:c>
      <x:c r="K650" s="32" t="e">
        <x:f>IF(A650&lt;=Dashboard!$F$17,MAX(0,I650-J650)*Dashboard!$F$6,0)</x:f>
      </x:c>
      <x:c r="L650" s="32" t="e">
        <x:f>IF(A650&lt;=Dashboard!$F$17,MIN(Dashboard!$F$10,MAX(0,I650-J650)+K650),0)</x:f>
      </x:c>
      <x:c r="M650" s="32" t="e">
        <x:f>IF(A650&lt;=Dashboard!$F$17,MAX(0,I650-J650-MAX(0,L650-K650)),0)</x:f>
      </x:c>
      <x:c r="N650" s="32" t="e">
        <x:f>IF(A650=1,K650,N649+K650)</x:f>
      </x:c>
      <x:c r="O650" s="32"/>
      <x:c r="P650" s="32" t="e">
        <x:f>IF(A650=1,Dashboard!$F$14,T649)</x:f>
      </x:c>
      <x:c r="Q650" s="32" t="e">
        <x:f>IF(A650&lt;=Dashboard!$F$17,MIN(P650,$B$6*52/12),0)</x:f>
      </x:c>
      <x:c r="R650" s="32" t="e">
        <x:f>IF(A650&lt;=Dashboard!$F$17,MAX(0,P650-Q650)*Dashboard!$F$6,0)</x:f>
      </x:c>
      <x:c r="S650" s="32" t="e">
        <x:f>IF(A650&lt;=Dashboard!$F$17,MIN(Dashboard!$F$10,MAX(0,P650-Q650)+R650),0)</x:f>
      </x:c>
      <x:c r="T650" s="32" t="e">
        <x:f>IF(A650&lt;=Dashboard!$F$17,MAX(0,P650-Q650-MAX(0,S650-R650)),0)</x:f>
      </x:c>
      <x:c r="U650" s="32" t="e">
        <x:f>IF(A650=1,R650,U649+R650)</x:f>
      </x:c>
      <x:c r="V650" s="32"/>
      <x:c r="W650" s="32" t="e">
        <x:f>IF(A650=1,Dashboard!$F$14,AA649)</x:f>
      </x:c>
      <x:c r="X650" s="32" t="e">
        <x:f>IF(AND(A650&lt;=Dashboard!$F$17,MOD(A650-1,12)=0),MIN(W650,$B$7),0)</x:f>
      </x:c>
      <x:c r="Y650" s="32" t="e">
        <x:f>IF(A650&lt;=Dashboard!$F$17,MAX(0,W650-X650)*Dashboard!$F$6,0)</x:f>
      </x:c>
      <x:c r="Z650" s="32" t="e">
        <x:f>IF(A650&lt;=Dashboard!$F$17,MIN(Dashboard!$F$10,MAX(0,W650-X650)+Y650),0)</x:f>
      </x:c>
      <x:c r="AA650" s="32" t="e">
        <x:f>IF(A650&lt;=Dashboard!$F$17,MAX(0,W650-X650-MAX(0,Z650-Y650)),0)</x:f>
      </x:c>
      <x:c r="AB650" s="32" t="e">
        <x:f>IF(A650=1,Y650,AB649+Y650)</x:f>
      </x:c>
      <x:c r="AC650" s="32"/>
      <x:c r="AD650" s="32" t="e">
        <x:f>IF(A650=1,MAX(0,Dashboard!$F$14-$B$8),AG649)</x:f>
      </x:c>
      <x:c r="AE650" s="32" t="n">
        <x:f>0</x:f>
        <x:v>0</x:v>
      </x:c>
      <x:c r="AF650" s="32" t="e">
        <x:f>IF(A650&lt;=Dashboard!$F$17,AD650*Dashboard!$F$6,0)</x:f>
      </x:c>
      <x:c r="AG650" s="32" t="e">
        <x:f>IF(A650&lt;=Dashboard!$F$17,MIN(Dashboard!$F$10,AD650+AF650),0)</x:f>
      </x:c>
      <x:c r="AH650" s="32" t="e">
        <x:f>IF(A650&lt;=Dashboard!$F$17,MAX(0,AD650-MAX(0,AG650-AF650)),0)</x:f>
      </x:c>
      <x:c r="AI650" s="32" t="e">
        <x:f>IF(A650=1,AF650,AI649+AF650)</x:f>
      </x:c>
      <x:c r="AJ650" s="33"/>
      <x:c r="AK650" s="33"/>
      <x:c r="AL650" s="33"/>
      <x:c r="AM650" s="33"/>
    </x:row>
    <x:row r="651">
      <x:c r="A651" s="33" t="n">
        <x:v>639</x:v>
      </x:c>
      <x:c r="B651" s="32" t="e">
        <x:f>IF(A651=1,Dashboard!$F$14,F650)</x:f>
      </x:c>
      <x:c r="C651" s="32" t="n">
        <x:f>0</x:f>
        <x:v>0</x:v>
      </x:c>
      <x:c r="D651" s="32" t="e">
        <x:f>IF(A651&lt;=Dashboard!$F$15,B651*Dashboard!$F$6,0)</x:f>
      </x:c>
      <x:c r="E651" s="32" t="e">
        <x:f>IF(A651&lt;=Dashboard!$F$15,MIN(Dashboard!$F$10,B651+D651),0)</x:f>
      </x:c>
      <x:c r="F651" s="32" t="e">
        <x:f>IF(A651&lt;=Dashboard!$F$15,MAX(0,B651-MAX(0,E651-D651)),0)</x:f>
      </x:c>
      <x:c r="G651" s="32" t="e">
        <x:f>IF(A651=1,D651,G650+D651)</x:f>
      </x:c>
      <x:c r="H651" s="32"/>
      <x:c r="I651" s="32" t="e">
        <x:f>IF(A651=1,Dashboard!$F$14,M650)</x:f>
      </x:c>
      <x:c r="J651" s="32" t="e">
        <x:f>IF(A651&lt;=Dashboard!$F$17,MIN(I651,$B$5),0)</x:f>
      </x:c>
      <x:c r="K651" s="32" t="e">
        <x:f>IF(A651&lt;=Dashboard!$F$17,MAX(0,I651-J651)*Dashboard!$F$6,0)</x:f>
      </x:c>
      <x:c r="L651" s="32" t="e">
        <x:f>IF(A651&lt;=Dashboard!$F$17,MIN(Dashboard!$F$10,MAX(0,I651-J651)+K651),0)</x:f>
      </x:c>
      <x:c r="M651" s="32" t="e">
        <x:f>IF(A651&lt;=Dashboard!$F$17,MAX(0,I651-J651-MAX(0,L651-K651)),0)</x:f>
      </x:c>
      <x:c r="N651" s="32" t="e">
        <x:f>IF(A651=1,K651,N650+K651)</x:f>
      </x:c>
      <x:c r="O651" s="32"/>
      <x:c r="P651" s="32" t="e">
        <x:f>IF(A651=1,Dashboard!$F$14,T650)</x:f>
      </x:c>
      <x:c r="Q651" s="32" t="e">
        <x:f>IF(A651&lt;=Dashboard!$F$17,MIN(P651,$B$6*52/12),0)</x:f>
      </x:c>
      <x:c r="R651" s="32" t="e">
        <x:f>IF(A651&lt;=Dashboard!$F$17,MAX(0,P651-Q651)*Dashboard!$F$6,0)</x:f>
      </x:c>
      <x:c r="S651" s="32" t="e">
        <x:f>IF(A651&lt;=Dashboard!$F$17,MIN(Dashboard!$F$10,MAX(0,P651-Q651)+R651),0)</x:f>
      </x:c>
      <x:c r="T651" s="32" t="e">
        <x:f>IF(A651&lt;=Dashboard!$F$17,MAX(0,P651-Q651-MAX(0,S651-R651)),0)</x:f>
      </x:c>
      <x:c r="U651" s="32" t="e">
        <x:f>IF(A651=1,R651,U650+R651)</x:f>
      </x:c>
      <x:c r="V651" s="32"/>
      <x:c r="W651" s="32" t="e">
        <x:f>IF(A651=1,Dashboard!$F$14,AA650)</x:f>
      </x:c>
      <x:c r="X651" s="32" t="e">
        <x:f>IF(AND(A651&lt;=Dashboard!$F$17,MOD(A651-1,12)=0),MIN(W651,$B$7),0)</x:f>
      </x:c>
      <x:c r="Y651" s="32" t="e">
        <x:f>IF(A651&lt;=Dashboard!$F$17,MAX(0,W651-X651)*Dashboard!$F$6,0)</x:f>
      </x:c>
      <x:c r="Z651" s="32" t="e">
        <x:f>IF(A651&lt;=Dashboard!$F$17,MIN(Dashboard!$F$10,MAX(0,W651-X651)+Y651),0)</x:f>
      </x:c>
      <x:c r="AA651" s="32" t="e">
        <x:f>IF(A651&lt;=Dashboard!$F$17,MAX(0,W651-X651-MAX(0,Z651-Y651)),0)</x:f>
      </x:c>
      <x:c r="AB651" s="32" t="e">
        <x:f>IF(A651=1,Y651,AB650+Y651)</x:f>
      </x:c>
      <x:c r="AC651" s="32"/>
      <x:c r="AD651" s="32" t="e">
        <x:f>IF(A651=1,MAX(0,Dashboard!$F$14-$B$8),AG650)</x:f>
      </x:c>
      <x:c r="AE651" s="32" t="n">
        <x:f>0</x:f>
        <x:v>0</x:v>
      </x:c>
      <x:c r="AF651" s="32" t="e">
        <x:f>IF(A651&lt;=Dashboard!$F$17,AD651*Dashboard!$F$6,0)</x:f>
      </x:c>
      <x:c r="AG651" s="32" t="e">
        <x:f>IF(A651&lt;=Dashboard!$F$17,MIN(Dashboard!$F$10,AD651+AF651),0)</x:f>
      </x:c>
      <x:c r="AH651" s="32" t="e">
        <x:f>IF(A651&lt;=Dashboard!$F$17,MAX(0,AD651-MAX(0,AG651-AF651)),0)</x:f>
      </x:c>
      <x:c r="AI651" s="32" t="e">
        <x:f>IF(A651=1,AF651,AI650+AF651)</x:f>
      </x:c>
      <x:c r="AJ651" s="33"/>
      <x:c r="AK651" s="33"/>
      <x:c r="AL651" s="33"/>
      <x:c r="AM651" s="33"/>
    </x:row>
    <x:row r="652">
      <x:c r="A652" s="33" t="n">
        <x:v>640</x:v>
      </x:c>
      <x:c r="B652" s="32" t="e">
        <x:f>IF(A652=1,Dashboard!$F$14,F651)</x:f>
      </x:c>
      <x:c r="C652" s="32" t="n">
        <x:f>0</x:f>
        <x:v>0</x:v>
      </x:c>
      <x:c r="D652" s="32" t="e">
        <x:f>IF(A652&lt;=Dashboard!$F$15,B652*Dashboard!$F$6,0)</x:f>
      </x:c>
      <x:c r="E652" s="32" t="e">
        <x:f>IF(A652&lt;=Dashboard!$F$15,MIN(Dashboard!$F$10,B652+D652),0)</x:f>
      </x:c>
      <x:c r="F652" s="32" t="e">
        <x:f>IF(A652&lt;=Dashboard!$F$15,MAX(0,B652-MAX(0,E652-D652)),0)</x:f>
      </x:c>
      <x:c r="G652" s="32" t="e">
        <x:f>IF(A652=1,D652,G651+D652)</x:f>
      </x:c>
      <x:c r="H652" s="32"/>
      <x:c r="I652" s="32" t="e">
        <x:f>IF(A652=1,Dashboard!$F$14,M651)</x:f>
      </x:c>
      <x:c r="J652" s="32" t="e">
        <x:f>IF(A652&lt;=Dashboard!$F$17,MIN(I652,$B$5),0)</x:f>
      </x:c>
      <x:c r="K652" s="32" t="e">
        <x:f>IF(A652&lt;=Dashboard!$F$17,MAX(0,I652-J652)*Dashboard!$F$6,0)</x:f>
      </x:c>
      <x:c r="L652" s="32" t="e">
        <x:f>IF(A652&lt;=Dashboard!$F$17,MIN(Dashboard!$F$10,MAX(0,I652-J652)+K652),0)</x:f>
      </x:c>
      <x:c r="M652" s="32" t="e">
        <x:f>IF(A652&lt;=Dashboard!$F$17,MAX(0,I652-J652-MAX(0,L652-K652)),0)</x:f>
      </x:c>
      <x:c r="N652" s="32" t="e">
        <x:f>IF(A652=1,K652,N651+K652)</x:f>
      </x:c>
      <x:c r="O652" s="32"/>
      <x:c r="P652" s="32" t="e">
        <x:f>IF(A652=1,Dashboard!$F$14,T651)</x:f>
      </x:c>
      <x:c r="Q652" s="32" t="e">
        <x:f>IF(A652&lt;=Dashboard!$F$17,MIN(P652,$B$6*52/12),0)</x:f>
      </x:c>
      <x:c r="R652" s="32" t="e">
        <x:f>IF(A652&lt;=Dashboard!$F$17,MAX(0,P652-Q652)*Dashboard!$F$6,0)</x:f>
      </x:c>
      <x:c r="S652" s="32" t="e">
        <x:f>IF(A652&lt;=Dashboard!$F$17,MIN(Dashboard!$F$10,MAX(0,P652-Q652)+R652),0)</x:f>
      </x:c>
      <x:c r="T652" s="32" t="e">
        <x:f>IF(A652&lt;=Dashboard!$F$17,MAX(0,P652-Q652-MAX(0,S652-R652)),0)</x:f>
      </x:c>
      <x:c r="U652" s="32" t="e">
        <x:f>IF(A652=1,R652,U651+R652)</x:f>
      </x:c>
      <x:c r="V652" s="32"/>
      <x:c r="W652" s="32" t="e">
        <x:f>IF(A652=1,Dashboard!$F$14,AA651)</x:f>
      </x:c>
      <x:c r="X652" s="32" t="e">
        <x:f>IF(AND(A652&lt;=Dashboard!$F$17,MOD(A652-1,12)=0),MIN(W652,$B$7),0)</x:f>
      </x:c>
      <x:c r="Y652" s="32" t="e">
        <x:f>IF(A652&lt;=Dashboard!$F$17,MAX(0,W652-X652)*Dashboard!$F$6,0)</x:f>
      </x:c>
      <x:c r="Z652" s="32" t="e">
        <x:f>IF(A652&lt;=Dashboard!$F$17,MIN(Dashboard!$F$10,MAX(0,W652-X652)+Y652),0)</x:f>
      </x:c>
      <x:c r="AA652" s="32" t="e">
        <x:f>IF(A652&lt;=Dashboard!$F$17,MAX(0,W652-X652-MAX(0,Z652-Y652)),0)</x:f>
      </x:c>
      <x:c r="AB652" s="32" t="e">
        <x:f>IF(A652=1,Y652,AB651+Y652)</x:f>
      </x:c>
      <x:c r="AC652" s="32"/>
      <x:c r="AD652" s="32" t="e">
        <x:f>IF(A652=1,MAX(0,Dashboard!$F$14-$B$8),AG651)</x:f>
      </x:c>
      <x:c r="AE652" s="32" t="n">
        <x:f>0</x:f>
        <x:v>0</x:v>
      </x:c>
      <x:c r="AF652" s="32" t="e">
        <x:f>IF(A652&lt;=Dashboard!$F$17,AD652*Dashboard!$F$6,0)</x:f>
      </x:c>
      <x:c r="AG652" s="32" t="e">
        <x:f>IF(A652&lt;=Dashboard!$F$17,MIN(Dashboard!$F$10,AD652+AF652),0)</x:f>
      </x:c>
      <x:c r="AH652" s="32" t="e">
        <x:f>IF(A652&lt;=Dashboard!$F$17,MAX(0,AD652-MAX(0,AG652-AF652)),0)</x:f>
      </x:c>
      <x:c r="AI652" s="32" t="e">
        <x:f>IF(A652=1,AF652,AI651+AF652)</x:f>
      </x:c>
      <x:c r="AJ652" s="33"/>
      <x:c r="AK652" s="33"/>
      <x:c r="AL652" s="33"/>
      <x:c r="AM652" s="33"/>
    </x:row>
    <x:row r="653">
      <x:c r="A653" s="33" t="n">
        <x:v>641</x:v>
      </x:c>
      <x:c r="B653" s="32" t="e">
        <x:f>IF(A653=1,Dashboard!$F$14,F652)</x:f>
      </x:c>
      <x:c r="C653" s="32" t="n">
        <x:f>0</x:f>
        <x:v>0</x:v>
      </x:c>
      <x:c r="D653" s="32" t="e">
        <x:f>IF(A653&lt;=Dashboard!$F$15,B653*Dashboard!$F$6,0)</x:f>
      </x:c>
      <x:c r="E653" s="32" t="e">
        <x:f>IF(A653&lt;=Dashboard!$F$15,MIN(Dashboard!$F$10,B653+D653),0)</x:f>
      </x:c>
      <x:c r="F653" s="32" t="e">
        <x:f>IF(A653&lt;=Dashboard!$F$15,MAX(0,B653-MAX(0,E653-D653)),0)</x:f>
      </x:c>
      <x:c r="G653" s="32" t="e">
        <x:f>IF(A653=1,D653,G652+D653)</x:f>
      </x:c>
      <x:c r="H653" s="32"/>
      <x:c r="I653" s="32" t="e">
        <x:f>IF(A653=1,Dashboard!$F$14,M652)</x:f>
      </x:c>
      <x:c r="J653" s="32" t="e">
        <x:f>IF(A653&lt;=Dashboard!$F$17,MIN(I653,$B$5),0)</x:f>
      </x:c>
      <x:c r="K653" s="32" t="e">
        <x:f>IF(A653&lt;=Dashboard!$F$17,MAX(0,I653-J653)*Dashboard!$F$6,0)</x:f>
      </x:c>
      <x:c r="L653" s="32" t="e">
        <x:f>IF(A653&lt;=Dashboard!$F$17,MIN(Dashboard!$F$10,MAX(0,I653-J653)+K653),0)</x:f>
      </x:c>
      <x:c r="M653" s="32" t="e">
        <x:f>IF(A653&lt;=Dashboard!$F$17,MAX(0,I653-J653-MAX(0,L653-K653)),0)</x:f>
      </x:c>
      <x:c r="N653" s="32" t="e">
        <x:f>IF(A653=1,K653,N652+K653)</x:f>
      </x:c>
      <x:c r="O653" s="32"/>
      <x:c r="P653" s="32" t="e">
        <x:f>IF(A653=1,Dashboard!$F$14,T652)</x:f>
      </x:c>
      <x:c r="Q653" s="32" t="e">
        <x:f>IF(A653&lt;=Dashboard!$F$17,MIN(P653,$B$6*52/12),0)</x:f>
      </x:c>
      <x:c r="R653" s="32" t="e">
        <x:f>IF(A653&lt;=Dashboard!$F$17,MAX(0,P653-Q653)*Dashboard!$F$6,0)</x:f>
      </x:c>
      <x:c r="S653" s="32" t="e">
        <x:f>IF(A653&lt;=Dashboard!$F$17,MIN(Dashboard!$F$10,MAX(0,P653-Q653)+R653),0)</x:f>
      </x:c>
      <x:c r="T653" s="32" t="e">
        <x:f>IF(A653&lt;=Dashboard!$F$17,MAX(0,P653-Q653-MAX(0,S653-R653)),0)</x:f>
      </x:c>
      <x:c r="U653" s="32" t="e">
        <x:f>IF(A653=1,R653,U652+R653)</x:f>
      </x:c>
      <x:c r="V653" s="32"/>
      <x:c r="W653" s="32" t="e">
        <x:f>IF(A653=1,Dashboard!$F$14,AA652)</x:f>
      </x:c>
      <x:c r="X653" s="32" t="e">
        <x:f>IF(AND(A653&lt;=Dashboard!$F$17,MOD(A653-1,12)=0),MIN(W653,$B$7),0)</x:f>
      </x:c>
      <x:c r="Y653" s="32" t="e">
        <x:f>IF(A653&lt;=Dashboard!$F$17,MAX(0,W653-X653)*Dashboard!$F$6,0)</x:f>
      </x:c>
      <x:c r="Z653" s="32" t="e">
        <x:f>IF(A653&lt;=Dashboard!$F$17,MIN(Dashboard!$F$10,MAX(0,W653-X653)+Y653),0)</x:f>
      </x:c>
      <x:c r="AA653" s="32" t="e">
        <x:f>IF(A653&lt;=Dashboard!$F$17,MAX(0,W653-X653-MAX(0,Z653-Y653)),0)</x:f>
      </x:c>
      <x:c r="AB653" s="32" t="e">
        <x:f>IF(A653=1,Y653,AB652+Y653)</x:f>
      </x:c>
      <x:c r="AC653" s="32"/>
      <x:c r="AD653" s="32" t="e">
        <x:f>IF(A653=1,MAX(0,Dashboard!$F$14-$B$8),AG652)</x:f>
      </x:c>
      <x:c r="AE653" s="32" t="n">
        <x:f>0</x:f>
        <x:v>0</x:v>
      </x:c>
      <x:c r="AF653" s="32" t="e">
        <x:f>IF(A653&lt;=Dashboard!$F$17,AD653*Dashboard!$F$6,0)</x:f>
      </x:c>
      <x:c r="AG653" s="32" t="e">
        <x:f>IF(A653&lt;=Dashboard!$F$17,MIN(Dashboard!$F$10,AD653+AF653),0)</x:f>
      </x:c>
      <x:c r="AH653" s="32" t="e">
        <x:f>IF(A653&lt;=Dashboard!$F$17,MAX(0,AD653-MAX(0,AG653-AF653)),0)</x:f>
      </x:c>
      <x:c r="AI653" s="32" t="e">
        <x:f>IF(A653=1,AF653,AI652+AF653)</x:f>
      </x:c>
      <x:c r="AJ653" s="33"/>
      <x:c r="AK653" s="33"/>
      <x:c r="AL653" s="33"/>
      <x:c r="AM653" s="33"/>
    </x:row>
    <x:row r="654">
      <x:c r="A654" s="33" t="n">
        <x:v>642</x:v>
      </x:c>
      <x:c r="B654" s="32" t="e">
        <x:f>IF(A654=1,Dashboard!$F$14,F653)</x:f>
      </x:c>
      <x:c r="C654" s="32" t="n">
        <x:f>0</x:f>
        <x:v>0</x:v>
      </x:c>
      <x:c r="D654" s="32" t="e">
        <x:f>IF(A654&lt;=Dashboard!$F$15,B654*Dashboard!$F$6,0)</x:f>
      </x:c>
      <x:c r="E654" s="32" t="e">
        <x:f>IF(A654&lt;=Dashboard!$F$15,MIN(Dashboard!$F$10,B654+D654),0)</x:f>
      </x:c>
      <x:c r="F654" s="32" t="e">
        <x:f>IF(A654&lt;=Dashboard!$F$15,MAX(0,B654-MAX(0,E654-D654)),0)</x:f>
      </x:c>
      <x:c r="G654" s="32" t="e">
        <x:f>IF(A654=1,D654,G653+D654)</x:f>
      </x:c>
      <x:c r="H654" s="32"/>
      <x:c r="I654" s="32" t="e">
        <x:f>IF(A654=1,Dashboard!$F$14,M653)</x:f>
      </x:c>
      <x:c r="J654" s="32" t="e">
        <x:f>IF(A654&lt;=Dashboard!$F$17,MIN(I654,$B$5),0)</x:f>
      </x:c>
      <x:c r="K654" s="32" t="e">
        <x:f>IF(A654&lt;=Dashboard!$F$17,MAX(0,I654-J654)*Dashboard!$F$6,0)</x:f>
      </x:c>
      <x:c r="L654" s="32" t="e">
        <x:f>IF(A654&lt;=Dashboard!$F$17,MIN(Dashboard!$F$10,MAX(0,I654-J654)+K654),0)</x:f>
      </x:c>
      <x:c r="M654" s="32" t="e">
        <x:f>IF(A654&lt;=Dashboard!$F$17,MAX(0,I654-J654-MAX(0,L654-K654)),0)</x:f>
      </x:c>
      <x:c r="N654" s="32" t="e">
        <x:f>IF(A654=1,K654,N653+K654)</x:f>
      </x:c>
      <x:c r="O654" s="32"/>
      <x:c r="P654" s="32" t="e">
        <x:f>IF(A654=1,Dashboard!$F$14,T653)</x:f>
      </x:c>
      <x:c r="Q654" s="32" t="e">
        <x:f>IF(A654&lt;=Dashboard!$F$17,MIN(P654,$B$6*52/12),0)</x:f>
      </x:c>
      <x:c r="R654" s="32" t="e">
        <x:f>IF(A654&lt;=Dashboard!$F$17,MAX(0,P654-Q654)*Dashboard!$F$6,0)</x:f>
      </x:c>
      <x:c r="S654" s="32" t="e">
        <x:f>IF(A654&lt;=Dashboard!$F$17,MIN(Dashboard!$F$10,MAX(0,P654-Q654)+R654),0)</x:f>
      </x:c>
      <x:c r="T654" s="32" t="e">
        <x:f>IF(A654&lt;=Dashboard!$F$17,MAX(0,P654-Q654-MAX(0,S654-R654)),0)</x:f>
      </x:c>
      <x:c r="U654" s="32" t="e">
        <x:f>IF(A654=1,R654,U653+R654)</x:f>
      </x:c>
      <x:c r="V654" s="32"/>
      <x:c r="W654" s="32" t="e">
        <x:f>IF(A654=1,Dashboard!$F$14,AA653)</x:f>
      </x:c>
      <x:c r="X654" s="32" t="e">
        <x:f>IF(AND(A654&lt;=Dashboard!$F$17,MOD(A654-1,12)=0),MIN(W654,$B$7),0)</x:f>
      </x:c>
      <x:c r="Y654" s="32" t="e">
        <x:f>IF(A654&lt;=Dashboard!$F$17,MAX(0,W654-X654)*Dashboard!$F$6,0)</x:f>
      </x:c>
      <x:c r="Z654" s="32" t="e">
        <x:f>IF(A654&lt;=Dashboard!$F$17,MIN(Dashboard!$F$10,MAX(0,W654-X654)+Y654),0)</x:f>
      </x:c>
      <x:c r="AA654" s="32" t="e">
        <x:f>IF(A654&lt;=Dashboard!$F$17,MAX(0,W654-X654-MAX(0,Z654-Y654)),0)</x:f>
      </x:c>
      <x:c r="AB654" s="32" t="e">
        <x:f>IF(A654=1,Y654,AB653+Y654)</x:f>
      </x:c>
      <x:c r="AC654" s="32"/>
      <x:c r="AD654" s="32" t="e">
        <x:f>IF(A654=1,MAX(0,Dashboard!$F$14-$B$8),AG653)</x:f>
      </x:c>
      <x:c r="AE654" s="32" t="n">
        <x:f>0</x:f>
        <x:v>0</x:v>
      </x:c>
      <x:c r="AF654" s="32" t="e">
        <x:f>IF(A654&lt;=Dashboard!$F$17,AD654*Dashboard!$F$6,0)</x:f>
      </x:c>
      <x:c r="AG654" s="32" t="e">
        <x:f>IF(A654&lt;=Dashboard!$F$17,MIN(Dashboard!$F$10,AD654+AF654),0)</x:f>
      </x:c>
      <x:c r="AH654" s="32" t="e">
        <x:f>IF(A654&lt;=Dashboard!$F$17,MAX(0,AD654-MAX(0,AG654-AF654)),0)</x:f>
      </x:c>
      <x:c r="AI654" s="32" t="e">
        <x:f>IF(A654=1,AF654,AI653+AF654)</x:f>
      </x:c>
      <x:c r="AJ654" s="33"/>
      <x:c r="AK654" s="33"/>
      <x:c r="AL654" s="33"/>
      <x:c r="AM654" s="33"/>
    </x:row>
    <x:row r="655">
      <x:c r="A655" s="33" t="n">
        <x:v>643</x:v>
      </x:c>
      <x:c r="B655" s="32" t="e">
        <x:f>IF(A655=1,Dashboard!$F$14,F654)</x:f>
      </x:c>
      <x:c r="C655" s="32" t="n">
        <x:f>0</x:f>
        <x:v>0</x:v>
      </x:c>
      <x:c r="D655" s="32" t="e">
        <x:f>IF(A655&lt;=Dashboard!$F$15,B655*Dashboard!$F$6,0)</x:f>
      </x:c>
      <x:c r="E655" s="32" t="e">
        <x:f>IF(A655&lt;=Dashboard!$F$15,MIN(Dashboard!$F$10,B655+D655),0)</x:f>
      </x:c>
      <x:c r="F655" s="32" t="e">
        <x:f>IF(A655&lt;=Dashboard!$F$15,MAX(0,B655-MAX(0,E655-D655)),0)</x:f>
      </x:c>
      <x:c r="G655" s="32" t="e">
        <x:f>IF(A655=1,D655,G654+D655)</x:f>
      </x:c>
      <x:c r="H655" s="32"/>
      <x:c r="I655" s="32" t="e">
        <x:f>IF(A655=1,Dashboard!$F$14,M654)</x:f>
      </x:c>
      <x:c r="J655" s="32" t="e">
        <x:f>IF(A655&lt;=Dashboard!$F$17,MIN(I655,$B$5),0)</x:f>
      </x:c>
      <x:c r="K655" s="32" t="e">
        <x:f>IF(A655&lt;=Dashboard!$F$17,MAX(0,I655-J655)*Dashboard!$F$6,0)</x:f>
      </x:c>
      <x:c r="L655" s="32" t="e">
        <x:f>IF(A655&lt;=Dashboard!$F$17,MIN(Dashboard!$F$10,MAX(0,I655-J655)+K655),0)</x:f>
      </x:c>
      <x:c r="M655" s="32" t="e">
        <x:f>IF(A655&lt;=Dashboard!$F$17,MAX(0,I655-J655-MAX(0,L655-K655)),0)</x:f>
      </x:c>
      <x:c r="N655" s="32" t="e">
        <x:f>IF(A655=1,K655,N654+K655)</x:f>
      </x:c>
      <x:c r="O655" s="32"/>
      <x:c r="P655" s="32" t="e">
        <x:f>IF(A655=1,Dashboard!$F$14,T654)</x:f>
      </x:c>
      <x:c r="Q655" s="32" t="e">
        <x:f>IF(A655&lt;=Dashboard!$F$17,MIN(P655,$B$6*52/12),0)</x:f>
      </x:c>
      <x:c r="R655" s="32" t="e">
        <x:f>IF(A655&lt;=Dashboard!$F$17,MAX(0,P655-Q655)*Dashboard!$F$6,0)</x:f>
      </x:c>
      <x:c r="S655" s="32" t="e">
        <x:f>IF(A655&lt;=Dashboard!$F$17,MIN(Dashboard!$F$10,MAX(0,P655-Q655)+R655),0)</x:f>
      </x:c>
      <x:c r="T655" s="32" t="e">
        <x:f>IF(A655&lt;=Dashboard!$F$17,MAX(0,P655-Q655-MAX(0,S655-R655)),0)</x:f>
      </x:c>
      <x:c r="U655" s="32" t="e">
        <x:f>IF(A655=1,R655,U654+R655)</x:f>
      </x:c>
      <x:c r="V655" s="32"/>
      <x:c r="W655" s="32" t="e">
        <x:f>IF(A655=1,Dashboard!$F$14,AA654)</x:f>
      </x:c>
      <x:c r="X655" s="32" t="e">
        <x:f>IF(AND(A655&lt;=Dashboard!$F$17,MOD(A655-1,12)=0),MIN(W655,$B$7),0)</x:f>
      </x:c>
      <x:c r="Y655" s="32" t="e">
        <x:f>IF(A655&lt;=Dashboard!$F$17,MAX(0,W655-X655)*Dashboard!$F$6,0)</x:f>
      </x:c>
      <x:c r="Z655" s="32" t="e">
        <x:f>IF(A655&lt;=Dashboard!$F$17,MIN(Dashboard!$F$10,MAX(0,W655-X655)+Y655),0)</x:f>
      </x:c>
      <x:c r="AA655" s="32" t="e">
        <x:f>IF(A655&lt;=Dashboard!$F$17,MAX(0,W655-X655-MAX(0,Z655-Y655)),0)</x:f>
      </x:c>
      <x:c r="AB655" s="32" t="e">
        <x:f>IF(A655=1,Y655,AB654+Y655)</x:f>
      </x:c>
      <x:c r="AC655" s="32"/>
      <x:c r="AD655" s="32" t="e">
        <x:f>IF(A655=1,MAX(0,Dashboard!$F$14-$B$8),AG654)</x:f>
      </x:c>
      <x:c r="AE655" s="32" t="n">
        <x:f>0</x:f>
        <x:v>0</x:v>
      </x:c>
      <x:c r="AF655" s="32" t="e">
        <x:f>IF(A655&lt;=Dashboard!$F$17,AD655*Dashboard!$F$6,0)</x:f>
      </x:c>
      <x:c r="AG655" s="32" t="e">
        <x:f>IF(A655&lt;=Dashboard!$F$17,MIN(Dashboard!$F$10,AD655+AF655),0)</x:f>
      </x:c>
      <x:c r="AH655" s="32" t="e">
        <x:f>IF(A655&lt;=Dashboard!$F$17,MAX(0,AD655-MAX(0,AG655-AF655)),0)</x:f>
      </x:c>
      <x:c r="AI655" s="32" t="e">
        <x:f>IF(A655=1,AF655,AI654+AF655)</x:f>
      </x:c>
      <x:c r="AJ655" s="33"/>
      <x:c r="AK655" s="33"/>
      <x:c r="AL655" s="33"/>
      <x:c r="AM655" s="33"/>
    </x:row>
    <x:row r="656">
      <x:c r="A656" s="33" t="n">
        <x:v>644</x:v>
      </x:c>
      <x:c r="B656" s="32" t="e">
        <x:f>IF(A656=1,Dashboard!$F$14,F655)</x:f>
      </x:c>
      <x:c r="C656" s="32" t="n">
        <x:f>0</x:f>
        <x:v>0</x:v>
      </x:c>
      <x:c r="D656" s="32" t="e">
        <x:f>IF(A656&lt;=Dashboard!$F$15,B656*Dashboard!$F$6,0)</x:f>
      </x:c>
      <x:c r="E656" s="32" t="e">
        <x:f>IF(A656&lt;=Dashboard!$F$15,MIN(Dashboard!$F$10,B656+D656),0)</x:f>
      </x:c>
      <x:c r="F656" s="32" t="e">
        <x:f>IF(A656&lt;=Dashboard!$F$15,MAX(0,B656-MAX(0,E656-D656)),0)</x:f>
      </x:c>
      <x:c r="G656" s="32" t="e">
        <x:f>IF(A656=1,D656,G655+D656)</x:f>
      </x:c>
      <x:c r="H656" s="32"/>
      <x:c r="I656" s="32" t="e">
        <x:f>IF(A656=1,Dashboard!$F$14,M655)</x:f>
      </x:c>
      <x:c r="J656" s="32" t="e">
        <x:f>IF(A656&lt;=Dashboard!$F$17,MIN(I656,$B$5),0)</x:f>
      </x:c>
      <x:c r="K656" s="32" t="e">
        <x:f>IF(A656&lt;=Dashboard!$F$17,MAX(0,I656-J656)*Dashboard!$F$6,0)</x:f>
      </x:c>
      <x:c r="L656" s="32" t="e">
        <x:f>IF(A656&lt;=Dashboard!$F$17,MIN(Dashboard!$F$10,MAX(0,I656-J656)+K656),0)</x:f>
      </x:c>
      <x:c r="M656" s="32" t="e">
        <x:f>IF(A656&lt;=Dashboard!$F$17,MAX(0,I656-J656-MAX(0,L656-K656)),0)</x:f>
      </x:c>
      <x:c r="N656" s="32" t="e">
        <x:f>IF(A656=1,K656,N655+K656)</x:f>
      </x:c>
      <x:c r="O656" s="32"/>
      <x:c r="P656" s="32" t="e">
        <x:f>IF(A656=1,Dashboard!$F$14,T655)</x:f>
      </x:c>
      <x:c r="Q656" s="32" t="e">
        <x:f>IF(A656&lt;=Dashboard!$F$17,MIN(P656,$B$6*52/12),0)</x:f>
      </x:c>
      <x:c r="R656" s="32" t="e">
        <x:f>IF(A656&lt;=Dashboard!$F$17,MAX(0,P656-Q656)*Dashboard!$F$6,0)</x:f>
      </x:c>
      <x:c r="S656" s="32" t="e">
        <x:f>IF(A656&lt;=Dashboard!$F$17,MIN(Dashboard!$F$10,MAX(0,P656-Q656)+R656),0)</x:f>
      </x:c>
      <x:c r="T656" s="32" t="e">
        <x:f>IF(A656&lt;=Dashboard!$F$17,MAX(0,P656-Q656-MAX(0,S656-R656)),0)</x:f>
      </x:c>
      <x:c r="U656" s="32" t="e">
        <x:f>IF(A656=1,R656,U655+R656)</x:f>
      </x:c>
      <x:c r="V656" s="32"/>
      <x:c r="W656" s="32" t="e">
        <x:f>IF(A656=1,Dashboard!$F$14,AA655)</x:f>
      </x:c>
      <x:c r="X656" s="32" t="e">
        <x:f>IF(AND(A656&lt;=Dashboard!$F$17,MOD(A656-1,12)=0),MIN(W656,$B$7),0)</x:f>
      </x:c>
      <x:c r="Y656" s="32" t="e">
        <x:f>IF(A656&lt;=Dashboard!$F$17,MAX(0,W656-X656)*Dashboard!$F$6,0)</x:f>
      </x:c>
      <x:c r="Z656" s="32" t="e">
        <x:f>IF(A656&lt;=Dashboard!$F$17,MIN(Dashboard!$F$10,MAX(0,W656-X656)+Y656),0)</x:f>
      </x:c>
      <x:c r="AA656" s="32" t="e">
        <x:f>IF(A656&lt;=Dashboard!$F$17,MAX(0,W656-X656-MAX(0,Z656-Y656)),0)</x:f>
      </x:c>
      <x:c r="AB656" s="32" t="e">
        <x:f>IF(A656=1,Y656,AB655+Y656)</x:f>
      </x:c>
      <x:c r="AC656" s="32"/>
      <x:c r="AD656" s="32" t="e">
        <x:f>IF(A656=1,MAX(0,Dashboard!$F$14-$B$8),AG655)</x:f>
      </x:c>
      <x:c r="AE656" s="32" t="n">
        <x:f>0</x:f>
        <x:v>0</x:v>
      </x:c>
      <x:c r="AF656" s="32" t="e">
        <x:f>IF(A656&lt;=Dashboard!$F$17,AD656*Dashboard!$F$6,0)</x:f>
      </x:c>
      <x:c r="AG656" s="32" t="e">
        <x:f>IF(A656&lt;=Dashboard!$F$17,MIN(Dashboard!$F$10,AD656+AF656),0)</x:f>
      </x:c>
      <x:c r="AH656" s="32" t="e">
        <x:f>IF(A656&lt;=Dashboard!$F$17,MAX(0,AD656-MAX(0,AG656-AF656)),0)</x:f>
      </x:c>
      <x:c r="AI656" s="32" t="e">
        <x:f>IF(A656=1,AF656,AI655+AF656)</x:f>
      </x:c>
      <x:c r="AJ656" s="33"/>
      <x:c r="AK656" s="33"/>
      <x:c r="AL656" s="33"/>
      <x:c r="AM656" s="33"/>
    </x:row>
    <x:row r="657">
      <x:c r="A657" s="33" t="n">
        <x:v>645</x:v>
      </x:c>
      <x:c r="B657" s="32" t="e">
        <x:f>IF(A657=1,Dashboard!$F$14,F656)</x:f>
      </x:c>
      <x:c r="C657" s="32" t="n">
        <x:f>0</x:f>
        <x:v>0</x:v>
      </x:c>
      <x:c r="D657" s="32" t="e">
        <x:f>IF(A657&lt;=Dashboard!$F$15,B657*Dashboard!$F$6,0)</x:f>
      </x:c>
      <x:c r="E657" s="32" t="e">
        <x:f>IF(A657&lt;=Dashboard!$F$15,MIN(Dashboard!$F$10,B657+D657),0)</x:f>
      </x:c>
      <x:c r="F657" s="32" t="e">
        <x:f>IF(A657&lt;=Dashboard!$F$15,MAX(0,B657-MAX(0,E657-D657)),0)</x:f>
      </x:c>
      <x:c r="G657" s="32" t="e">
        <x:f>IF(A657=1,D657,G656+D657)</x:f>
      </x:c>
      <x:c r="H657" s="32"/>
      <x:c r="I657" s="32" t="e">
        <x:f>IF(A657=1,Dashboard!$F$14,M656)</x:f>
      </x:c>
      <x:c r="J657" s="32" t="e">
        <x:f>IF(A657&lt;=Dashboard!$F$17,MIN(I657,$B$5),0)</x:f>
      </x:c>
      <x:c r="K657" s="32" t="e">
        <x:f>IF(A657&lt;=Dashboard!$F$17,MAX(0,I657-J657)*Dashboard!$F$6,0)</x:f>
      </x:c>
      <x:c r="L657" s="32" t="e">
        <x:f>IF(A657&lt;=Dashboard!$F$17,MIN(Dashboard!$F$10,MAX(0,I657-J657)+K657),0)</x:f>
      </x:c>
      <x:c r="M657" s="32" t="e">
        <x:f>IF(A657&lt;=Dashboard!$F$17,MAX(0,I657-J657-MAX(0,L657-K657)),0)</x:f>
      </x:c>
      <x:c r="N657" s="32" t="e">
        <x:f>IF(A657=1,K657,N656+K657)</x:f>
      </x:c>
      <x:c r="O657" s="32"/>
      <x:c r="P657" s="32" t="e">
        <x:f>IF(A657=1,Dashboard!$F$14,T656)</x:f>
      </x:c>
      <x:c r="Q657" s="32" t="e">
        <x:f>IF(A657&lt;=Dashboard!$F$17,MIN(P657,$B$6*52/12),0)</x:f>
      </x:c>
      <x:c r="R657" s="32" t="e">
        <x:f>IF(A657&lt;=Dashboard!$F$17,MAX(0,P657-Q657)*Dashboard!$F$6,0)</x:f>
      </x:c>
      <x:c r="S657" s="32" t="e">
        <x:f>IF(A657&lt;=Dashboard!$F$17,MIN(Dashboard!$F$10,MAX(0,P657-Q657)+R657),0)</x:f>
      </x:c>
      <x:c r="T657" s="32" t="e">
        <x:f>IF(A657&lt;=Dashboard!$F$17,MAX(0,P657-Q657-MAX(0,S657-R657)),0)</x:f>
      </x:c>
      <x:c r="U657" s="32" t="e">
        <x:f>IF(A657=1,R657,U656+R657)</x:f>
      </x:c>
      <x:c r="V657" s="32"/>
      <x:c r="W657" s="32" t="e">
        <x:f>IF(A657=1,Dashboard!$F$14,AA656)</x:f>
      </x:c>
      <x:c r="X657" s="32" t="e">
        <x:f>IF(AND(A657&lt;=Dashboard!$F$17,MOD(A657-1,12)=0),MIN(W657,$B$7),0)</x:f>
      </x:c>
      <x:c r="Y657" s="32" t="e">
        <x:f>IF(A657&lt;=Dashboard!$F$17,MAX(0,W657-X657)*Dashboard!$F$6,0)</x:f>
      </x:c>
      <x:c r="Z657" s="32" t="e">
        <x:f>IF(A657&lt;=Dashboard!$F$17,MIN(Dashboard!$F$10,MAX(0,W657-X657)+Y657),0)</x:f>
      </x:c>
      <x:c r="AA657" s="32" t="e">
        <x:f>IF(A657&lt;=Dashboard!$F$17,MAX(0,W657-X657-MAX(0,Z657-Y657)),0)</x:f>
      </x:c>
      <x:c r="AB657" s="32" t="e">
        <x:f>IF(A657=1,Y657,AB656+Y657)</x:f>
      </x:c>
      <x:c r="AC657" s="32"/>
      <x:c r="AD657" s="32" t="e">
        <x:f>IF(A657=1,MAX(0,Dashboard!$F$14-$B$8),AG656)</x:f>
      </x:c>
      <x:c r="AE657" s="32" t="n">
        <x:f>0</x:f>
        <x:v>0</x:v>
      </x:c>
      <x:c r="AF657" s="32" t="e">
        <x:f>IF(A657&lt;=Dashboard!$F$17,AD657*Dashboard!$F$6,0)</x:f>
      </x:c>
      <x:c r="AG657" s="32" t="e">
        <x:f>IF(A657&lt;=Dashboard!$F$17,MIN(Dashboard!$F$10,AD657+AF657),0)</x:f>
      </x:c>
      <x:c r="AH657" s="32" t="e">
        <x:f>IF(A657&lt;=Dashboard!$F$17,MAX(0,AD657-MAX(0,AG657-AF657)),0)</x:f>
      </x:c>
      <x:c r="AI657" s="32" t="e">
        <x:f>IF(A657=1,AF657,AI656+AF657)</x:f>
      </x:c>
      <x:c r="AJ657" s="33"/>
      <x:c r="AK657" s="33"/>
      <x:c r="AL657" s="33"/>
      <x:c r="AM657" s="33"/>
    </x:row>
    <x:row r="658">
      <x:c r="A658" s="33" t="n">
        <x:v>646</x:v>
      </x:c>
      <x:c r="B658" s="32" t="e">
        <x:f>IF(A658=1,Dashboard!$F$14,F657)</x:f>
      </x:c>
      <x:c r="C658" s="32" t="n">
        <x:f>0</x:f>
        <x:v>0</x:v>
      </x:c>
      <x:c r="D658" s="32" t="e">
        <x:f>IF(A658&lt;=Dashboard!$F$15,B658*Dashboard!$F$6,0)</x:f>
      </x:c>
      <x:c r="E658" s="32" t="e">
        <x:f>IF(A658&lt;=Dashboard!$F$15,MIN(Dashboard!$F$10,B658+D658),0)</x:f>
      </x:c>
      <x:c r="F658" s="32" t="e">
        <x:f>IF(A658&lt;=Dashboard!$F$15,MAX(0,B658-MAX(0,E658-D658)),0)</x:f>
      </x:c>
      <x:c r="G658" s="32" t="e">
        <x:f>IF(A658=1,D658,G657+D658)</x:f>
      </x:c>
      <x:c r="H658" s="32"/>
      <x:c r="I658" s="32" t="e">
        <x:f>IF(A658=1,Dashboard!$F$14,M657)</x:f>
      </x:c>
      <x:c r="J658" s="32" t="e">
        <x:f>IF(A658&lt;=Dashboard!$F$17,MIN(I658,$B$5),0)</x:f>
      </x:c>
      <x:c r="K658" s="32" t="e">
        <x:f>IF(A658&lt;=Dashboard!$F$17,MAX(0,I658-J658)*Dashboard!$F$6,0)</x:f>
      </x:c>
      <x:c r="L658" s="32" t="e">
        <x:f>IF(A658&lt;=Dashboard!$F$17,MIN(Dashboard!$F$10,MAX(0,I658-J658)+K658),0)</x:f>
      </x:c>
      <x:c r="M658" s="32" t="e">
        <x:f>IF(A658&lt;=Dashboard!$F$17,MAX(0,I658-J658-MAX(0,L658-K658)),0)</x:f>
      </x:c>
      <x:c r="N658" s="32" t="e">
        <x:f>IF(A658=1,K658,N657+K658)</x:f>
      </x:c>
      <x:c r="O658" s="32"/>
      <x:c r="P658" s="32" t="e">
        <x:f>IF(A658=1,Dashboard!$F$14,T657)</x:f>
      </x:c>
      <x:c r="Q658" s="32" t="e">
        <x:f>IF(A658&lt;=Dashboard!$F$17,MIN(P658,$B$6*52/12),0)</x:f>
      </x:c>
      <x:c r="R658" s="32" t="e">
        <x:f>IF(A658&lt;=Dashboard!$F$17,MAX(0,P658-Q658)*Dashboard!$F$6,0)</x:f>
      </x:c>
      <x:c r="S658" s="32" t="e">
        <x:f>IF(A658&lt;=Dashboard!$F$17,MIN(Dashboard!$F$10,MAX(0,P658-Q658)+R658),0)</x:f>
      </x:c>
      <x:c r="T658" s="32" t="e">
        <x:f>IF(A658&lt;=Dashboard!$F$17,MAX(0,P658-Q658-MAX(0,S658-R658)),0)</x:f>
      </x:c>
      <x:c r="U658" s="32" t="e">
        <x:f>IF(A658=1,R658,U657+R658)</x:f>
      </x:c>
      <x:c r="V658" s="32"/>
      <x:c r="W658" s="32" t="e">
        <x:f>IF(A658=1,Dashboard!$F$14,AA657)</x:f>
      </x:c>
      <x:c r="X658" s="32" t="e">
        <x:f>IF(AND(A658&lt;=Dashboard!$F$17,MOD(A658-1,12)=0),MIN(W658,$B$7),0)</x:f>
      </x:c>
      <x:c r="Y658" s="32" t="e">
        <x:f>IF(A658&lt;=Dashboard!$F$17,MAX(0,W658-X658)*Dashboard!$F$6,0)</x:f>
      </x:c>
      <x:c r="Z658" s="32" t="e">
        <x:f>IF(A658&lt;=Dashboard!$F$17,MIN(Dashboard!$F$10,MAX(0,W658-X658)+Y658),0)</x:f>
      </x:c>
      <x:c r="AA658" s="32" t="e">
        <x:f>IF(A658&lt;=Dashboard!$F$17,MAX(0,W658-X658-MAX(0,Z658-Y658)),0)</x:f>
      </x:c>
      <x:c r="AB658" s="32" t="e">
        <x:f>IF(A658=1,Y658,AB657+Y658)</x:f>
      </x:c>
      <x:c r="AC658" s="32"/>
      <x:c r="AD658" s="32" t="e">
        <x:f>IF(A658=1,MAX(0,Dashboard!$F$14-$B$8),AG657)</x:f>
      </x:c>
      <x:c r="AE658" s="32" t="n">
        <x:f>0</x:f>
        <x:v>0</x:v>
      </x:c>
      <x:c r="AF658" s="32" t="e">
        <x:f>IF(A658&lt;=Dashboard!$F$17,AD658*Dashboard!$F$6,0)</x:f>
      </x:c>
      <x:c r="AG658" s="32" t="e">
        <x:f>IF(A658&lt;=Dashboard!$F$17,MIN(Dashboard!$F$10,AD658+AF658),0)</x:f>
      </x:c>
      <x:c r="AH658" s="32" t="e">
        <x:f>IF(A658&lt;=Dashboard!$F$17,MAX(0,AD658-MAX(0,AG658-AF658)),0)</x:f>
      </x:c>
      <x:c r="AI658" s="32" t="e">
        <x:f>IF(A658=1,AF658,AI657+AF658)</x:f>
      </x:c>
      <x:c r="AJ658" s="33"/>
      <x:c r="AK658" s="33"/>
      <x:c r="AL658" s="33"/>
      <x:c r="AM658" s="33"/>
    </x:row>
    <x:row r="659">
      <x:c r="A659" s="33" t="n">
        <x:v>647</x:v>
      </x:c>
      <x:c r="B659" s="32" t="e">
        <x:f>IF(A659=1,Dashboard!$F$14,F658)</x:f>
      </x:c>
      <x:c r="C659" s="32" t="n">
        <x:f>0</x:f>
        <x:v>0</x:v>
      </x:c>
      <x:c r="D659" s="32" t="e">
        <x:f>IF(A659&lt;=Dashboard!$F$15,B659*Dashboard!$F$6,0)</x:f>
      </x:c>
      <x:c r="E659" s="32" t="e">
        <x:f>IF(A659&lt;=Dashboard!$F$15,MIN(Dashboard!$F$10,B659+D659),0)</x:f>
      </x:c>
      <x:c r="F659" s="32" t="e">
        <x:f>IF(A659&lt;=Dashboard!$F$15,MAX(0,B659-MAX(0,E659-D659)),0)</x:f>
      </x:c>
      <x:c r="G659" s="32" t="e">
        <x:f>IF(A659=1,D659,G658+D659)</x:f>
      </x:c>
      <x:c r="H659" s="32"/>
      <x:c r="I659" s="32" t="e">
        <x:f>IF(A659=1,Dashboard!$F$14,M658)</x:f>
      </x:c>
      <x:c r="J659" s="32" t="e">
        <x:f>IF(A659&lt;=Dashboard!$F$17,MIN(I659,$B$5),0)</x:f>
      </x:c>
      <x:c r="K659" s="32" t="e">
        <x:f>IF(A659&lt;=Dashboard!$F$17,MAX(0,I659-J659)*Dashboard!$F$6,0)</x:f>
      </x:c>
      <x:c r="L659" s="32" t="e">
        <x:f>IF(A659&lt;=Dashboard!$F$17,MIN(Dashboard!$F$10,MAX(0,I659-J659)+K659),0)</x:f>
      </x:c>
      <x:c r="M659" s="32" t="e">
        <x:f>IF(A659&lt;=Dashboard!$F$17,MAX(0,I659-J659-MAX(0,L659-K659)),0)</x:f>
      </x:c>
      <x:c r="N659" s="32" t="e">
        <x:f>IF(A659=1,K659,N658+K659)</x:f>
      </x:c>
      <x:c r="O659" s="32"/>
      <x:c r="P659" s="32" t="e">
        <x:f>IF(A659=1,Dashboard!$F$14,T658)</x:f>
      </x:c>
      <x:c r="Q659" s="32" t="e">
        <x:f>IF(A659&lt;=Dashboard!$F$17,MIN(P659,$B$6*52/12),0)</x:f>
      </x:c>
      <x:c r="R659" s="32" t="e">
        <x:f>IF(A659&lt;=Dashboard!$F$17,MAX(0,P659-Q659)*Dashboard!$F$6,0)</x:f>
      </x:c>
      <x:c r="S659" s="32" t="e">
        <x:f>IF(A659&lt;=Dashboard!$F$17,MIN(Dashboard!$F$10,MAX(0,P659-Q659)+R659),0)</x:f>
      </x:c>
      <x:c r="T659" s="32" t="e">
        <x:f>IF(A659&lt;=Dashboard!$F$17,MAX(0,P659-Q659-MAX(0,S659-R659)),0)</x:f>
      </x:c>
      <x:c r="U659" s="32" t="e">
        <x:f>IF(A659=1,R659,U658+R659)</x:f>
      </x:c>
      <x:c r="V659" s="32"/>
      <x:c r="W659" s="32" t="e">
        <x:f>IF(A659=1,Dashboard!$F$14,AA658)</x:f>
      </x:c>
      <x:c r="X659" s="32" t="e">
        <x:f>IF(AND(A659&lt;=Dashboard!$F$17,MOD(A659-1,12)=0),MIN(W659,$B$7),0)</x:f>
      </x:c>
      <x:c r="Y659" s="32" t="e">
        <x:f>IF(A659&lt;=Dashboard!$F$17,MAX(0,W659-X659)*Dashboard!$F$6,0)</x:f>
      </x:c>
      <x:c r="Z659" s="32" t="e">
        <x:f>IF(A659&lt;=Dashboard!$F$17,MIN(Dashboard!$F$10,MAX(0,W659-X659)+Y659),0)</x:f>
      </x:c>
      <x:c r="AA659" s="32" t="e">
        <x:f>IF(A659&lt;=Dashboard!$F$17,MAX(0,W659-X659-MAX(0,Z659-Y659)),0)</x:f>
      </x:c>
      <x:c r="AB659" s="32" t="e">
        <x:f>IF(A659=1,Y659,AB658+Y659)</x:f>
      </x:c>
      <x:c r="AC659" s="32"/>
      <x:c r="AD659" s="32" t="e">
        <x:f>IF(A659=1,MAX(0,Dashboard!$F$14-$B$8),AG658)</x:f>
      </x:c>
      <x:c r="AE659" s="32" t="n">
        <x:f>0</x:f>
        <x:v>0</x:v>
      </x:c>
      <x:c r="AF659" s="32" t="e">
        <x:f>IF(A659&lt;=Dashboard!$F$17,AD659*Dashboard!$F$6,0)</x:f>
      </x:c>
      <x:c r="AG659" s="32" t="e">
        <x:f>IF(A659&lt;=Dashboard!$F$17,MIN(Dashboard!$F$10,AD659+AF659),0)</x:f>
      </x:c>
      <x:c r="AH659" s="32" t="e">
        <x:f>IF(A659&lt;=Dashboard!$F$17,MAX(0,AD659-MAX(0,AG659-AF659)),0)</x:f>
      </x:c>
      <x:c r="AI659" s="32" t="e">
        <x:f>IF(A659=1,AF659,AI658+AF659)</x:f>
      </x:c>
      <x:c r="AJ659" s="33"/>
      <x:c r="AK659" s="33"/>
      <x:c r="AL659" s="33"/>
      <x:c r="AM659" s="33"/>
    </x:row>
    <x:row r="660">
      <x:c r="A660" s="33" t="n">
        <x:v>648</x:v>
      </x:c>
      <x:c r="B660" s="32" t="e">
        <x:f>IF(A660=1,Dashboard!$F$14,F659)</x:f>
      </x:c>
      <x:c r="C660" s="32" t="n">
        <x:f>0</x:f>
        <x:v>0</x:v>
      </x:c>
      <x:c r="D660" s="32" t="e">
        <x:f>IF(A660&lt;=Dashboard!$F$15,B660*Dashboard!$F$6,0)</x:f>
      </x:c>
      <x:c r="E660" s="32" t="e">
        <x:f>IF(A660&lt;=Dashboard!$F$15,MIN(Dashboard!$F$10,B660+D660),0)</x:f>
      </x:c>
      <x:c r="F660" s="32" t="e">
        <x:f>IF(A660&lt;=Dashboard!$F$15,MAX(0,B660-MAX(0,E660-D660)),0)</x:f>
      </x:c>
      <x:c r="G660" s="32" t="e">
        <x:f>IF(A660=1,D660,G659+D660)</x:f>
      </x:c>
      <x:c r="H660" s="32"/>
      <x:c r="I660" s="32" t="e">
        <x:f>IF(A660=1,Dashboard!$F$14,M659)</x:f>
      </x:c>
      <x:c r="J660" s="32" t="e">
        <x:f>IF(A660&lt;=Dashboard!$F$17,MIN(I660,$B$5),0)</x:f>
      </x:c>
      <x:c r="K660" s="32" t="e">
        <x:f>IF(A660&lt;=Dashboard!$F$17,MAX(0,I660-J660)*Dashboard!$F$6,0)</x:f>
      </x:c>
      <x:c r="L660" s="32" t="e">
        <x:f>IF(A660&lt;=Dashboard!$F$17,MIN(Dashboard!$F$10,MAX(0,I660-J660)+K660),0)</x:f>
      </x:c>
      <x:c r="M660" s="32" t="e">
        <x:f>IF(A660&lt;=Dashboard!$F$17,MAX(0,I660-J660-MAX(0,L660-K660)),0)</x:f>
      </x:c>
      <x:c r="N660" s="32" t="e">
        <x:f>IF(A660=1,K660,N659+K660)</x:f>
      </x:c>
      <x:c r="O660" s="32"/>
      <x:c r="P660" s="32" t="e">
        <x:f>IF(A660=1,Dashboard!$F$14,T659)</x:f>
      </x:c>
      <x:c r="Q660" s="32" t="e">
        <x:f>IF(A660&lt;=Dashboard!$F$17,MIN(P660,$B$6*52/12),0)</x:f>
      </x:c>
      <x:c r="R660" s="32" t="e">
        <x:f>IF(A660&lt;=Dashboard!$F$17,MAX(0,P660-Q660)*Dashboard!$F$6,0)</x:f>
      </x:c>
      <x:c r="S660" s="32" t="e">
        <x:f>IF(A660&lt;=Dashboard!$F$17,MIN(Dashboard!$F$10,MAX(0,P660-Q660)+R660),0)</x:f>
      </x:c>
      <x:c r="T660" s="32" t="e">
        <x:f>IF(A660&lt;=Dashboard!$F$17,MAX(0,P660-Q660-MAX(0,S660-R660)),0)</x:f>
      </x:c>
      <x:c r="U660" s="32" t="e">
        <x:f>IF(A660=1,R660,U659+R660)</x:f>
      </x:c>
      <x:c r="V660" s="32"/>
      <x:c r="W660" s="32" t="e">
        <x:f>IF(A660=1,Dashboard!$F$14,AA659)</x:f>
      </x:c>
      <x:c r="X660" s="32" t="e">
        <x:f>IF(AND(A660&lt;=Dashboard!$F$17,MOD(A660-1,12)=0),MIN(W660,$B$7),0)</x:f>
      </x:c>
      <x:c r="Y660" s="32" t="e">
        <x:f>IF(A660&lt;=Dashboard!$F$17,MAX(0,W660-X660)*Dashboard!$F$6,0)</x:f>
      </x:c>
      <x:c r="Z660" s="32" t="e">
        <x:f>IF(A660&lt;=Dashboard!$F$17,MIN(Dashboard!$F$10,MAX(0,W660-X660)+Y660),0)</x:f>
      </x:c>
      <x:c r="AA660" s="32" t="e">
        <x:f>IF(A660&lt;=Dashboard!$F$17,MAX(0,W660-X660-MAX(0,Z660-Y660)),0)</x:f>
      </x:c>
      <x:c r="AB660" s="32" t="e">
        <x:f>IF(A660=1,Y660,AB659+Y660)</x:f>
      </x:c>
      <x:c r="AC660" s="32"/>
      <x:c r="AD660" s="32" t="e">
        <x:f>IF(A660=1,MAX(0,Dashboard!$F$14-$B$8),AG659)</x:f>
      </x:c>
      <x:c r="AE660" s="32" t="n">
        <x:f>0</x:f>
        <x:v>0</x:v>
      </x:c>
      <x:c r="AF660" s="32" t="e">
        <x:f>IF(A660&lt;=Dashboard!$F$17,AD660*Dashboard!$F$6,0)</x:f>
      </x:c>
      <x:c r="AG660" s="32" t="e">
        <x:f>IF(A660&lt;=Dashboard!$F$17,MIN(Dashboard!$F$10,AD660+AF660),0)</x:f>
      </x:c>
      <x:c r="AH660" s="32" t="e">
        <x:f>IF(A660&lt;=Dashboard!$F$17,MAX(0,AD660-MAX(0,AG660-AF660)),0)</x:f>
      </x:c>
      <x:c r="AI660" s="32" t="e">
        <x:f>IF(A660=1,AF660,AI659+AF660)</x:f>
      </x:c>
      <x:c r="AJ660" s="33"/>
      <x:c r="AK660" s="33"/>
      <x:c r="AL660" s="33"/>
      <x:c r="AM660" s="33"/>
    </x:row>
    <x:row r="661">
      <x:c r="A661" s="33" t="n">
        <x:v>649</x:v>
      </x:c>
      <x:c r="B661" s="32" t="e">
        <x:f>IF(A661=1,Dashboard!$F$14,F660)</x:f>
      </x:c>
      <x:c r="C661" s="32" t="n">
        <x:f>0</x:f>
        <x:v>0</x:v>
      </x:c>
      <x:c r="D661" s="32" t="e">
        <x:f>IF(A661&lt;=Dashboard!$F$15,B661*Dashboard!$F$6,0)</x:f>
      </x:c>
      <x:c r="E661" s="32" t="e">
        <x:f>IF(A661&lt;=Dashboard!$F$15,MIN(Dashboard!$F$10,B661+D661),0)</x:f>
      </x:c>
      <x:c r="F661" s="32" t="e">
        <x:f>IF(A661&lt;=Dashboard!$F$15,MAX(0,B661-MAX(0,E661-D661)),0)</x:f>
      </x:c>
      <x:c r="G661" s="32" t="e">
        <x:f>IF(A661=1,D661,G660+D661)</x:f>
      </x:c>
      <x:c r="H661" s="32"/>
      <x:c r="I661" s="32" t="e">
        <x:f>IF(A661=1,Dashboard!$F$14,M660)</x:f>
      </x:c>
      <x:c r="J661" s="32" t="e">
        <x:f>IF(A661&lt;=Dashboard!$F$17,MIN(I661,$B$5),0)</x:f>
      </x:c>
      <x:c r="K661" s="32" t="e">
        <x:f>IF(A661&lt;=Dashboard!$F$17,MAX(0,I661-J661)*Dashboard!$F$6,0)</x:f>
      </x:c>
      <x:c r="L661" s="32" t="e">
        <x:f>IF(A661&lt;=Dashboard!$F$17,MIN(Dashboard!$F$10,MAX(0,I661-J661)+K661),0)</x:f>
      </x:c>
      <x:c r="M661" s="32" t="e">
        <x:f>IF(A661&lt;=Dashboard!$F$17,MAX(0,I661-J661-MAX(0,L661-K661)),0)</x:f>
      </x:c>
      <x:c r="N661" s="32" t="e">
        <x:f>IF(A661=1,K661,N660+K661)</x:f>
      </x:c>
      <x:c r="O661" s="32"/>
      <x:c r="P661" s="32" t="e">
        <x:f>IF(A661=1,Dashboard!$F$14,T660)</x:f>
      </x:c>
      <x:c r="Q661" s="32" t="e">
        <x:f>IF(A661&lt;=Dashboard!$F$17,MIN(P661,$B$6*52/12),0)</x:f>
      </x:c>
      <x:c r="R661" s="32" t="e">
        <x:f>IF(A661&lt;=Dashboard!$F$17,MAX(0,P661-Q661)*Dashboard!$F$6,0)</x:f>
      </x:c>
      <x:c r="S661" s="32" t="e">
        <x:f>IF(A661&lt;=Dashboard!$F$17,MIN(Dashboard!$F$10,MAX(0,P661-Q661)+R661),0)</x:f>
      </x:c>
      <x:c r="T661" s="32" t="e">
        <x:f>IF(A661&lt;=Dashboard!$F$17,MAX(0,P661-Q661-MAX(0,S661-R661)),0)</x:f>
      </x:c>
      <x:c r="U661" s="32" t="e">
        <x:f>IF(A661=1,R661,U660+R661)</x:f>
      </x:c>
      <x:c r="V661" s="32"/>
      <x:c r="W661" s="32" t="e">
        <x:f>IF(A661=1,Dashboard!$F$14,AA660)</x:f>
      </x:c>
      <x:c r="X661" s="32" t="e">
        <x:f>IF(AND(A661&lt;=Dashboard!$F$17,MOD(A661-1,12)=0),MIN(W661,$B$7),0)</x:f>
      </x:c>
      <x:c r="Y661" s="32" t="e">
        <x:f>IF(A661&lt;=Dashboard!$F$17,MAX(0,W661-X661)*Dashboard!$F$6,0)</x:f>
      </x:c>
      <x:c r="Z661" s="32" t="e">
        <x:f>IF(A661&lt;=Dashboard!$F$17,MIN(Dashboard!$F$10,MAX(0,W661-X661)+Y661),0)</x:f>
      </x:c>
      <x:c r="AA661" s="32" t="e">
        <x:f>IF(A661&lt;=Dashboard!$F$17,MAX(0,W661-X661-MAX(0,Z661-Y661)),0)</x:f>
      </x:c>
      <x:c r="AB661" s="32" t="e">
        <x:f>IF(A661=1,Y661,AB660+Y661)</x:f>
      </x:c>
      <x:c r="AC661" s="32"/>
      <x:c r="AD661" s="32" t="e">
        <x:f>IF(A661=1,MAX(0,Dashboard!$F$14-$B$8),AG660)</x:f>
      </x:c>
      <x:c r="AE661" s="32" t="n">
        <x:f>0</x:f>
        <x:v>0</x:v>
      </x:c>
      <x:c r="AF661" s="32" t="e">
        <x:f>IF(A661&lt;=Dashboard!$F$17,AD661*Dashboard!$F$6,0)</x:f>
      </x:c>
      <x:c r="AG661" s="32" t="e">
        <x:f>IF(A661&lt;=Dashboard!$F$17,MIN(Dashboard!$F$10,AD661+AF661),0)</x:f>
      </x:c>
      <x:c r="AH661" s="32" t="e">
        <x:f>IF(A661&lt;=Dashboard!$F$17,MAX(0,AD661-MAX(0,AG661-AF661)),0)</x:f>
      </x:c>
      <x:c r="AI661" s="32" t="e">
        <x:f>IF(A661=1,AF661,AI660+AF661)</x:f>
      </x:c>
      <x:c r="AJ661" s="33"/>
      <x:c r="AK661" s="33"/>
      <x:c r="AL661" s="33"/>
      <x:c r="AM661" s="33"/>
    </x:row>
    <x:row r="662">
      <x:c r="A662" s="33" t="n">
        <x:v>650</x:v>
      </x:c>
      <x:c r="B662" s="32" t="e">
        <x:f>IF(A662=1,Dashboard!$F$14,F661)</x:f>
      </x:c>
      <x:c r="C662" s="32" t="n">
        <x:f>0</x:f>
        <x:v>0</x:v>
      </x:c>
      <x:c r="D662" s="32" t="e">
        <x:f>IF(A662&lt;=Dashboard!$F$15,B662*Dashboard!$F$6,0)</x:f>
      </x:c>
      <x:c r="E662" s="32" t="e">
        <x:f>IF(A662&lt;=Dashboard!$F$15,MIN(Dashboard!$F$10,B662+D662),0)</x:f>
      </x:c>
      <x:c r="F662" s="32" t="e">
        <x:f>IF(A662&lt;=Dashboard!$F$15,MAX(0,B662-MAX(0,E662-D662)),0)</x:f>
      </x:c>
      <x:c r="G662" s="32" t="e">
        <x:f>IF(A662=1,D662,G661+D662)</x:f>
      </x:c>
      <x:c r="H662" s="32"/>
      <x:c r="I662" s="32" t="e">
        <x:f>IF(A662=1,Dashboard!$F$14,M661)</x:f>
      </x:c>
      <x:c r="J662" s="32" t="e">
        <x:f>IF(A662&lt;=Dashboard!$F$17,MIN(I662,$B$5),0)</x:f>
      </x:c>
      <x:c r="K662" s="32" t="e">
        <x:f>IF(A662&lt;=Dashboard!$F$17,MAX(0,I662-J662)*Dashboard!$F$6,0)</x:f>
      </x:c>
      <x:c r="L662" s="32" t="e">
        <x:f>IF(A662&lt;=Dashboard!$F$17,MIN(Dashboard!$F$10,MAX(0,I662-J662)+K662),0)</x:f>
      </x:c>
      <x:c r="M662" s="32" t="e">
        <x:f>IF(A662&lt;=Dashboard!$F$17,MAX(0,I662-J662-MAX(0,L662-K662)),0)</x:f>
      </x:c>
      <x:c r="N662" s="32" t="e">
        <x:f>IF(A662=1,K662,N661+K662)</x:f>
      </x:c>
      <x:c r="O662" s="32"/>
      <x:c r="P662" s="32" t="e">
        <x:f>IF(A662=1,Dashboard!$F$14,T661)</x:f>
      </x:c>
      <x:c r="Q662" s="32" t="e">
        <x:f>IF(A662&lt;=Dashboard!$F$17,MIN(P662,$B$6*52/12),0)</x:f>
      </x:c>
      <x:c r="R662" s="32" t="e">
        <x:f>IF(A662&lt;=Dashboard!$F$17,MAX(0,P662-Q662)*Dashboard!$F$6,0)</x:f>
      </x:c>
      <x:c r="S662" s="32" t="e">
        <x:f>IF(A662&lt;=Dashboard!$F$17,MIN(Dashboard!$F$10,MAX(0,P662-Q662)+R662),0)</x:f>
      </x:c>
      <x:c r="T662" s="32" t="e">
        <x:f>IF(A662&lt;=Dashboard!$F$17,MAX(0,P662-Q662-MAX(0,S662-R662)),0)</x:f>
      </x:c>
      <x:c r="U662" s="32" t="e">
        <x:f>IF(A662=1,R662,U661+R662)</x:f>
      </x:c>
      <x:c r="V662" s="32"/>
      <x:c r="W662" s="32" t="e">
        <x:f>IF(A662=1,Dashboard!$F$14,AA661)</x:f>
      </x:c>
      <x:c r="X662" s="32" t="e">
        <x:f>IF(AND(A662&lt;=Dashboard!$F$17,MOD(A662-1,12)=0),MIN(W662,$B$7),0)</x:f>
      </x:c>
      <x:c r="Y662" s="32" t="e">
        <x:f>IF(A662&lt;=Dashboard!$F$17,MAX(0,W662-X662)*Dashboard!$F$6,0)</x:f>
      </x:c>
      <x:c r="Z662" s="32" t="e">
        <x:f>IF(A662&lt;=Dashboard!$F$17,MIN(Dashboard!$F$10,MAX(0,W662-X662)+Y662),0)</x:f>
      </x:c>
      <x:c r="AA662" s="32" t="e">
        <x:f>IF(A662&lt;=Dashboard!$F$17,MAX(0,W662-X662-MAX(0,Z662-Y662)),0)</x:f>
      </x:c>
      <x:c r="AB662" s="32" t="e">
        <x:f>IF(A662=1,Y662,AB661+Y662)</x:f>
      </x:c>
      <x:c r="AC662" s="32"/>
      <x:c r="AD662" s="32" t="e">
        <x:f>IF(A662=1,MAX(0,Dashboard!$F$14-$B$8),AG661)</x:f>
      </x:c>
      <x:c r="AE662" s="32" t="n">
        <x:f>0</x:f>
        <x:v>0</x:v>
      </x:c>
      <x:c r="AF662" s="32" t="e">
        <x:f>IF(A662&lt;=Dashboard!$F$17,AD662*Dashboard!$F$6,0)</x:f>
      </x:c>
      <x:c r="AG662" s="32" t="e">
        <x:f>IF(A662&lt;=Dashboard!$F$17,MIN(Dashboard!$F$10,AD662+AF662),0)</x:f>
      </x:c>
      <x:c r="AH662" s="32" t="e">
        <x:f>IF(A662&lt;=Dashboard!$F$17,MAX(0,AD662-MAX(0,AG662-AF662)),0)</x:f>
      </x:c>
      <x:c r="AI662" s="32" t="e">
        <x:f>IF(A662=1,AF662,AI661+AF662)</x:f>
      </x:c>
      <x:c r="AJ662" s="33"/>
      <x:c r="AK662" s="33"/>
      <x:c r="AL662" s="33"/>
      <x:c r="AM662" s="33"/>
    </x:row>
    <x:row r="663">
      <x:c r="A663" s="33" t="n">
        <x:v>651</x:v>
      </x:c>
      <x:c r="B663" s="32" t="e">
        <x:f>IF(A663=1,Dashboard!$F$14,F662)</x:f>
      </x:c>
      <x:c r="C663" s="32" t="n">
        <x:f>0</x:f>
        <x:v>0</x:v>
      </x:c>
      <x:c r="D663" s="32" t="e">
        <x:f>IF(A663&lt;=Dashboard!$F$15,B663*Dashboard!$F$6,0)</x:f>
      </x:c>
      <x:c r="E663" s="32" t="e">
        <x:f>IF(A663&lt;=Dashboard!$F$15,MIN(Dashboard!$F$10,B663+D663),0)</x:f>
      </x:c>
      <x:c r="F663" s="32" t="e">
        <x:f>IF(A663&lt;=Dashboard!$F$15,MAX(0,B663-MAX(0,E663-D663)),0)</x:f>
      </x:c>
      <x:c r="G663" s="32" t="e">
        <x:f>IF(A663=1,D663,G662+D663)</x:f>
      </x:c>
      <x:c r="H663" s="32"/>
      <x:c r="I663" s="32" t="e">
        <x:f>IF(A663=1,Dashboard!$F$14,M662)</x:f>
      </x:c>
      <x:c r="J663" s="32" t="e">
        <x:f>IF(A663&lt;=Dashboard!$F$17,MIN(I663,$B$5),0)</x:f>
      </x:c>
      <x:c r="K663" s="32" t="e">
        <x:f>IF(A663&lt;=Dashboard!$F$17,MAX(0,I663-J663)*Dashboard!$F$6,0)</x:f>
      </x:c>
      <x:c r="L663" s="32" t="e">
        <x:f>IF(A663&lt;=Dashboard!$F$17,MIN(Dashboard!$F$10,MAX(0,I663-J663)+K663),0)</x:f>
      </x:c>
      <x:c r="M663" s="32" t="e">
        <x:f>IF(A663&lt;=Dashboard!$F$17,MAX(0,I663-J663-MAX(0,L663-K663)),0)</x:f>
      </x:c>
      <x:c r="N663" s="32" t="e">
        <x:f>IF(A663=1,K663,N662+K663)</x:f>
      </x:c>
      <x:c r="O663" s="32"/>
      <x:c r="P663" s="32" t="e">
        <x:f>IF(A663=1,Dashboard!$F$14,T662)</x:f>
      </x:c>
      <x:c r="Q663" s="32" t="e">
        <x:f>IF(A663&lt;=Dashboard!$F$17,MIN(P663,$B$6*52/12),0)</x:f>
      </x:c>
      <x:c r="R663" s="32" t="e">
        <x:f>IF(A663&lt;=Dashboard!$F$17,MAX(0,P663-Q663)*Dashboard!$F$6,0)</x:f>
      </x:c>
      <x:c r="S663" s="32" t="e">
        <x:f>IF(A663&lt;=Dashboard!$F$17,MIN(Dashboard!$F$10,MAX(0,P663-Q663)+R663),0)</x:f>
      </x:c>
      <x:c r="T663" s="32" t="e">
        <x:f>IF(A663&lt;=Dashboard!$F$17,MAX(0,P663-Q663-MAX(0,S663-R663)),0)</x:f>
      </x:c>
      <x:c r="U663" s="32" t="e">
        <x:f>IF(A663=1,R663,U662+R663)</x:f>
      </x:c>
      <x:c r="V663" s="32"/>
      <x:c r="W663" s="32" t="e">
        <x:f>IF(A663=1,Dashboard!$F$14,AA662)</x:f>
      </x:c>
      <x:c r="X663" s="32" t="e">
        <x:f>IF(AND(A663&lt;=Dashboard!$F$17,MOD(A663-1,12)=0),MIN(W663,$B$7),0)</x:f>
      </x:c>
      <x:c r="Y663" s="32" t="e">
        <x:f>IF(A663&lt;=Dashboard!$F$17,MAX(0,W663-X663)*Dashboard!$F$6,0)</x:f>
      </x:c>
      <x:c r="Z663" s="32" t="e">
        <x:f>IF(A663&lt;=Dashboard!$F$17,MIN(Dashboard!$F$10,MAX(0,W663-X663)+Y663),0)</x:f>
      </x:c>
      <x:c r="AA663" s="32" t="e">
        <x:f>IF(A663&lt;=Dashboard!$F$17,MAX(0,W663-X663-MAX(0,Z663-Y663)),0)</x:f>
      </x:c>
      <x:c r="AB663" s="32" t="e">
        <x:f>IF(A663=1,Y663,AB662+Y663)</x:f>
      </x:c>
      <x:c r="AC663" s="32"/>
      <x:c r="AD663" s="32" t="e">
        <x:f>IF(A663=1,MAX(0,Dashboard!$F$14-$B$8),AG662)</x:f>
      </x:c>
      <x:c r="AE663" s="32" t="n">
        <x:f>0</x:f>
        <x:v>0</x:v>
      </x:c>
      <x:c r="AF663" s="32" t="e">
        <x:f>IF(A663&lt;=Dashboard!$F$17,AD663*Dashboard!$F$6,0)</x:f>
      </x:c>
      <x:c r="AG663" s="32" t="e">
        <x:f>IF(A663&lt;=Dashboard!$F$17,MIN(Dashboard!$F$10,AD663+AF663),0)</x:f>
      </x:c>
      <x:c r="AH663" s="32" t="e">
        <x:f>IF(A663&lt;=Dashboard!$F$17,MAX(0,AD663-MAX(0,AG663-AF663)),0)</x:f>
      </x:c>
      <x:c r="AI663" s="32" t="e">
        <x:f>IF(A663=1,AF663,AI662+AF663)</x:f>
      </x:c>
      <x:c r="AJ663" s="33"/>
      <x:c r="AK663" s="33"/>
      <x:c r="AL663" s="33"/>
      <x:c r="AM663" s="33"/>
    </x:row>
    <x:row r="664">
      <x:c r="A664" s="33" t="n">
        <x:v>652</x:v>
      </x:c>
      <x:c r="B664" s="32" t="e">
        <x:f>IF(A664=1,Dashboard!$F$14,F663)</x:f>
      </x:c>
      <x:c r="C664" s="32" t="n">
        <x:f>0</x:f>
        <x:v>0</x:v>
      </x:c>
      <x:c r="D664" s="32" t="e">
        <x:f>IF(A664&lt;=Dashboard!$F$15,B664*Dashboard!$F$6,0)</x:f>
      </x:c>
      <x:c r="E664" s="32" t="e">
        <x:f>IF(A664&lt;=Dashboard!$F$15,MIN(Dashboard!$F$10,B664+D664),0)</x:f>
      </x:c>
      <x:c r="F664" s="32" t="e">
        <x:f>IF(A664&lt;=Dashboard!$F$15,MAX(0,B664-MAX(0,E664-D664)),0)</x:f>
      </x:c>
      <x:c r="G664" s="32" t="e">
        <x:f>IF(A664=1,D664,G663+D664)</x:f>
      </x:c>
      <x:c r="H664" s="32"/>
      <x:c r="I664" s="32" t="e">
        <x:f>IF(A664=1,Dashboard!$F$14,M663)</x:f>
      </x:c>
      <x:c r="J664" s="32" t="e">
        <x:f>IF(A664&lt;=Dashboard!$F$17,MIN(I664,$B$5),0)</x:f>
      </x:c>
      <x:c r="K664" s="32" t="e">
        <x:f>IF(A664&lt;=Dashboard!$F$17,MAX(0,I664-J664)*Dashboard!$F$6,0)</x:f>
      </x:c>
      <x:c r="L664" s="32" t="e">
        <x:f>IF(A664&lt;=Dashboard!$F$17,MIN(Dashboard!$F$10,MAX(0,I664-J664)+K664),0)</x:f>
      </x:c>
      <x:c r="M664" s="32" t="e">
        <x:f>IF(A664&lt;=Dashboard!$F$17,MAX(0,I664-J664-MAX(0,L664-K664)),0)</x:f>
      </x:c>
      <x:c r="N664" s="32" t="e">
        <x:f>IF(A664=1,K664,N663+K664)</x:f>
      </x:c>
      <x:c r="O664" s="32"/>
      <x:c r="P664" s="32" t="e">
        <x:f>IF(A664=1,Dashboard!$F$14,T663)</x:f>
      </x:c>
      <x:c r="Q664" s="32" t="e">
        <x:f>IF(A664&lt;=Dashboard!$F$17,MIN(P664,$B$6*52/12),0)</x:f>
      </x:c>
      <x:c r="R664" s="32" t="e">
        <x:f>IF(A664&lt;=Dashboard!$F$17,MAX(0,P664-Q664)*Dashboard!$F$6,0)</x:f>
      </x:c>
      <x:c r="S664" s="32" t="e">
        <x:f>IF(A664&lt;=Dashboard!$F$17,MIN(Dashboard!$F$10,MAX(0,P664-Q664)+R664),0)</x:f>
      </x:c>
      <x:c r="T664" s="32" t="e">
        <x:f>IF(A664&lt;=Dashboard!$F$17,MAX(0,P664-Q664-MAX(0,S664-R664)),0)</x:f>
      </x:c>
      <x:c r="U664" s="32" t="e">
        <x:f>IF(A664=1,R664,U663+R664)</x:f>
      </x:c>
      <x:c r="V664" s="32"/>
      <x:c r="W664" s="32" t="e">
        <x:f>IF(A664=1,Dashboard!$F$14,AA663)</x:f>
      </x:c>
      <x:c r="X664" s="32" t="e">
        <x:f>IF(AND(A664&lt;=Dashboard!$F$17,MOD(A664-1,12)=0),MIN(W664,$B$7),0)</x:f>
      </x:c>
      <x:c r="Y664" s="32" t="e">
        <x:f>IF(A664&lt;=Dashboard!$F$17,MAX(0,W664-X664)*Dashboard!$F$6,0)</x:f>
      </x:c>
      <x:c r="Z664" s="32" t="e">
        <x:f>IF(A664&lt;=Dashboard!$F$17,MIN(Dashboard!$F$10,MAX(0,W664-X664)+Y664),0)</x:f>
      </x:c>
      <x:c r="AA664" s="32" t="e">
        <x:f>IF(A664&lt;=Dashboard!$F$17,MAX(0,W664-X664-MAX(0,Z664-Y664)),0)</x:f>
      </x:c>
      <x:c r="AB664" s="32" t="e">
        <x:f>IF(A664=1,Y664,AB663+Y664)</x:f>
      </x:c>
      <x:c r="AC664" s="32"/>
      <x:c r="AD664" s="32" t="e">
        <x:f>IF(A664=1,MAX(0,Dashboard!$F$14-$B$8),AG663)</x:f>
      </x:c>
      <x:c r="AE664" s="32" t="n">
        <x:f>0</x:f>
        <x:v>0</x:v>
      </x:c>
      <x:c r="AF664" s="32" t="e">
        <x:f>IF(A664&lt;=Dashboard!$F$17,AD664*Dashboard!$F$6,0)</x:f>
      </x:c>
      <x:c r="AG664" s="32" t="e">
        <x:f>IF(A664&lt;=Dashboard!$F$17,MIN(Dashboard!$F$10,AD664+AF664),0)</x:f>
      </x:c>
      <x:c r="AH664" s="32" t="e">
        <x:f>IF(A664&lt;=Dashboard!$F$17,MAX(0,AD664-MAX(0,AG664-AF664)),0)</x:f>
      </x:c>
      <x:c r="AI664" s="32" t="e">
        <x:f>IF(A664=1,AF664,AI663+AF664)</x:f>
      </x:c>
      <x:c r="AJ664" s="33"/>
      <x:c r="AK664" s="33"/>
      <x:c r="AL664" s="33"/>
      <x:c r="AM664" s="33"/>
    </x:row>
    <x:row r="665">
      <x:c r="A665" s="33" t="n">
        <x:v>653</x:v>
      </x:c>
      <x:c r="B665" s="32" t="e">
        <x:f>IF(A665=1,Dashboard!$F$14,F664)</x:f>
      </x:c>
      <x:c r="C665" s="32" t="n">
        <x:f>0</x:f>
        <x:v>0</x:v>
      </x:c>
      <x:c r="D665" s="32" t="e">
        <x:f>IF(A665&lt;=Dashboard!$F$15,B665*Dashboard!$F$6,0)</x:f>
      </x:c>
      <x:c r="E665" s="32" t="e">
        <x:f>IF(A665&lt;=Dashboard!$F$15,MIN(Dashboard!$F$10,B665+D665),0)</x:f>
      </x:c>
      <x:c r="F665" s="32" t="e">
        <x:f>IF(A665&lt;=Dashboard!$F$15,MAX(0,B665-MAX(0,E665-D665)),0)</x:f>
      </x:c>
      <x:c r="G665" s="32" t="e">
        <x:f>IF(A665=1,D665,G664+D665)</x:f>
      </x:c>
      <x:c r="H665" s="32"/>
      <x:c r="I665" s="32" t="e">
        <x:f>IF(A665=1,Dashboard!$F$14,M664)</x:f>
      </x:c>
      <x:c r="J665" s="32" t="e">
        <x:f>IF(A665&lt;=Dashboard!$F$17,MIN(I665,$B$5),0)</x:f>
      </x:c>
      <x:c r="K665" s="32" t="e">
        <x:f>IF(A665&lt;=Dashboard!$F$17,MAX(0,I665-J665)*Dashboard!$F$6,0)</x:f>
      </x:c>
      <x:c r="L665" s="32" t="e">
        <x:f>IF(A665&lt;=Dashboard!$F$17,MIN(Dashboard!$F$10,MAX(0,I665-J665)+K665),0)</x:f>
      </x:c>
      <x:c r="M665" s="32" t="e">
        <x:f>IF(A665&lt;=Dashboard!$F$17,MAX(0,I665-J665-MAX(0,L665-K665)),0)</x:f>
      </x:c>
      <x:c r="N665" s="32" t="e">
        <x:f>IF(A665=1,K665,N664+K665)</x:f>
      </x:c>
      <x:c r="O665" s="32"/>
      <x:c r="P665" s="32" t="e">
        <x:f>IF(A665=1,Dashboard!$F$14,T664)</x:f>
      </x:c>
      <x:c r="Q665" s="32" t="e">
        <x:f>IF(A665&lt;=Dashboard!$F$17,MIN(P665,$B$6*52/12),0)</x:f>
      </x:c>
      <x:c r="R665" s="32" t="e">
        <x:f>IF(A665&lt;=Dashboard!$F$17,MAX(0,P665-Q665)*Dashboard!$F$6,0)</x:f>
      </x:c>
      <x:c r="S665" s="32" t="e">
        <x:f>IF(A665&lt;=Dashboard!$F$17,MIN(Dashboard!$F$10,MAX(0,P665-Q665)+R665),0)</x:f>
      </x:c>
      <x:c r="T665" s="32" t="e">
        <x:f>IF(A665&lt;=Dashboard!$F$17,MAX(0,P665-Q665-MAX(0,S665-R665)),0)</x:f>
      </x:c>
      <x:c r="U665" s="32" t="e">
        <x:f>IF(A665=1,R665,U664+R665)</x:f>
      </x:c>
      <x:c r="V665" s="32"/>
      <x:c r="W665" s="32" t="e">
        <x:f>IF(A665=1,Dashboard!$F$14,AA664)</x:f>
      </x:c>
      <x:c r="X665" s="32" t="e">
        <x:f>IF(AND(A665&lt;=Dashboard!$F$17,MOD(A665-1,12)=0),MIN(W665,$B$7),0)</x:f>
      </x:c>
      <x:c r="Y665" s="32" t="e">
        <x:f>IF(A665&lt;=Dashboard!$F$17,MAX(0,W665-X665)*Dashboard!$F$6,0)</x:f>
      </x:c>
      <x:c r="Z665" s="32" t="e">
        <x:f>IF(A665&lt;=Dashboard!$F$17,MIN(Dashboard!$F$10,MAX(0,W665-X665)+Y665),0)</x:f>
      </x:c>
      <x:c r="AA665" s="32" t="e">
        <x:f>IF(A665&lt;=Dashboard!$F$17,MAX(0,W665-X665-MAX(0,Z665-Y665)),0)</x:f>
      </x:c>
      <x:c r="AB665" s="32" t="e">
        <x:f>IF(A665=1,Y665,AB664+Y665)</x:f>
      </x:c>
      <x:c r="AC665" s="32"/>
      <x:c r="AD665" s="32" t="e">
        <x:f>IF(A665=1,MAX(0,Dashboard!$F$14-$B$8),AG664)</x:f>
      </x:c>
      <x:c r="AE665" s="32" t="n">
        <x:f>0</x:f>
        <x:v>0</x:v>
      </x:c>
      <x:c r="AF665" s="32" t="e">
        <x:f>IF(A665&lt;=Dashboard!$F$17,AD665*Dashboard!$F$6,0)</x:f>
      </x:c>
      <x:c r="AG665" s="32" t="e">
        <x:f>IF(A665&lt;=Dashboard!$F$17,MIN(Dashboard!$F$10,AD665+AF665),0)</x:f>
      </x:c>
      <x:c r="AH665" s="32" t="e">
        <x:f>IF(A665&lt;=Dashboard!$F$17,MAX(0,AD665-MAX(0,AG665-AF665)),0)</x:f>
      </x:c>
      <x:c r="AI665" s="32" t="e">
        <x:f>IF(A665=1,AF665,AI664+AF665)</x:f>
      </x:c>
      <x:c r="AJ665" s="33"/>
      <x:c r="AK665" s="33"/>
      <x:c r="AL665" s="33"/>
      <x:c r="AM665" s="33"/>
    </x:row>
    <x:row r="666">
      <x:c r="A666" s="33" t="n">
        <x:v>654</x:v>
      </x:c>
      <x:c r="B666" s="32" t="e">
        <x:f>IF(A666=1,Dashboard!$F$14,F665)</x:f>
      </x:c>
      <x:c r="C666" s="32" t="n">
        <x:f>0</x:f>
        <x:v>0</x:v>
      </x:c>
      <x:c r="D666" s="32" t="e">
        <x:f>IF(A666&lt;=Dashboard!$F$15,B666*Dashboard!$F$6,0)</x:f>
      </x:c>
      <x:c r="E666" s="32" t="e">
        <x:f>IF(A666&lt;=Dashboard!$F$15,MIN(Dashboard!$F$10,B666+D666),0)</x:f>
      </x:c>
      <x:c r="F666" s="32" t="e">
        <x:f>IF(A666&lt;=Dashboard!$F$15,MAX(0,B666-MAX(0,E666-D666)),0)</x:f>
      </x:c>
      <x:c r="G666" s="32" t="e">
        <x:f>IF(A666=1,D666,G665+D666)</x:f>
      </x:c>
      <x:c r="H666" s="32"/>
      <x:c r="I666" s="32" t="e">
        <x:f>IF(A666=1,Dashboard!$F$14,M665)</x:f>
      </x:c>
      <x:c r="J666" s="32" t="e">
        <x:f>IF(A666&lt;=Dashboard!$F$17,MIN(I666,$B$5),0)</x:f>
      </x:c>
      <x:c r="K666" s="32" t="e">
        <x:f>IF(A666&lt;=Dashboard!$F$17,MAX(0,I666-J666)*Dashboard!$F$6,0)</x:f>
      </x:c>
      <x:c r="L666" s="32" t="e">
        <x:f>IF(A666&lt;=Dashboard!$F$17,MIN(Dashboard!$F$10,MAX(0,I666-J666)+K666),0)</x:f>
      </x:c>
      <x:c r="M666" s="32" t="e">
        <x:f>IF(A666&lt;=Dashboard!$F$17,MAX(0,I666-J666-MAX(0,L666-K666)),0)</x:f>
      </x:c>
      <x:c r="N666" s="32" t="e">
        <x:f>IF(A666=1,K666,N665+K666)</x:f>
      </x:c>
      <x:c r="O666" s="32"/>
      <x:c r="P666" s="32" t="e">
        <x:f>IF(A666=1,Dashboard!$F$14,T665)</x:f>
      </x:c>
      <x:c r="Q666" s="32" t="e">
        <x:f>IF(A666&lt;=Dashboard!$F$17,MIN(P666,$B$6*52/12),0)</x:f>
      </x:c>
      <x:c r="R666" s="32" t="e">
        <x:f>IF(A666&lt;=Dashboard!$F$17,MAX(0,P666-Q666)*Dashboard!$F$6,0)</x:f>
      </x:c>
      <x:c r="S666" s="32" t="e">
        <x:f>IF(A666&lt;=Dashboard!$F$17,MIN(Dashboard!$F$10,MAX(0,P666-Q666)+R666),0)</x:f>
      </x:c>
      <x:c r="T666" s="32" t="e">
        <x:f>IF(A666&lt;=Dashboard!$F$17,MAX(0,P666-Q666-MAX(0,S666-R666)),0)</x:f>
      </x:c>
      <x:c r="U666" s="32" t="e">
        <x:f>IF(A666=1,R666,U665+R666)</x:f>
      </x:c>
      <x:c r="V666" s="32"/>
      <x:c r="W666" s="32" t="e">
        <x:f>IF(A666=1,Dashboard!$F$14,AA665)</x:f>
      </x:c>
      <x:c r="X666" s="32" t="e">
        <x:f>IF(AND(A666&lt;=Dashboard!$F$17,MOD(A666-1,12)=0),MIN(W666,$B$7),0)</x:f>
      </x:c>
      <x:c r="Y666" s="32" t="e">
        <x:f>IF(A666&lt;=Dashboard!$F$17,MAX(0,W666-X666)*Dashboard!$F$6,0)</x:f>
      </x:c>
      <x:c r="Z666" s="32" t="e">
        <x:f>IF(A666&lt;=Dashboard!$F$17,MIN(Dashboard!$F$10,MAX(0,W666-X666)+Y666),0)</x:f>
      </x:c>
      <x:c r="AA666" s="32" t="e">
        <x:f>IF(A666&lt;=Dashboard!$F$17,MAX(0,W666-X666-MAX(0,Z666-Y666)),0)</x:f>
      </x:c>
      <x:c r="AB666" s="32" t="e">
        <x:f>IF(A666=1,Y666,AB665+Y666)</x:f>
      </x:c>
      <x:c r="AC666" s="32"/>
      <x:c r="AD666" s="32" t="e">
        <x:f>IF(A666=1,MAX(0,Dashboard!$F$14-$B$8),AG665)</x:f>
      </x:c>
      <x:c r="AE666" s="32" t="n">
        <x:f>0</x:f>
        <x:v>0</x:v>
      </x:c>
      <x:c r="AF666" s="32" t="e">
        <x:f>IF(A666&lt;=Dashboard!$F$17,AD666*Dashboard!$F$6,0)</x:f>
      </x:c>
      <x:c r="AG666" s="32" t="e">
        <x:f>IF(A666&lt;=Dashboard!$F$17,MIN(Dashboard!$F$10,AD666+AF666),0)</x:f>
      </x:c>
      <x:c r="AH666" s="32" t="e">
        <x:f>IF(A666&lt;=Dashboard!$F$17,MAX(0,AD666-MAX(0,AG666-AF666)),0)</x:f>
      </x:c>
      <x:c r="AI666" s="32" t="e">
        <x:f>IF(A666=1,AF666,AI665+AF666)</x:f>
      </x:c>
      <x:c r="AJ666" s="33"/>
      <x:c r="AK666" s="33"/>
      <x:c r="AL666" s="33"/>
      <x:c r="AM666" s="33"/>
    </x:row>
    <x:row r="667">
      <x:c r="A667" s="33" t="n">
        <x:v>655</x:v>
      </x:c>
      <x:c r="B667" s="32" t="e">
        <x:f>IF(A667=1,Dashboard!$F$14,F666)</x:f>
      </x:c>
      <x:c r="C667" s="32" t="n">
        <x:f>0</x:f>
        <x:v>0</x:v>
      </x:c>
      <x:c r="D667" s="32" t="e">
        <x:f>IF(A667&lt;=Dashboard!$F$15,B667*Dashboard!$F$6,0)</x:f>
      </x:c>
      <x:c r="E667" s="32" t="e">
        <x:f>IF(A667&lt;=Dashboard!$F$15,MIN(Dashboard!$F$10,B667+D667),0)</x:f>
      </x:c>
      <x:c r="F667" s="32" t="e">
        <x:f>IF(A667&lt;=Dashboard!$F$15,MAX(0,B667-MAX(0,E667-D667)),0)</x:f>
      </x:c>
      <x:c r="G667" s="32" t="e">
        <x:f>IF(A667=1,D667,G666+D667)</x:f>
      </x:c>
      <x:c r="H667" s="32"/>
      <x:c r="I667" s="32" t="e">
        <x:f>IF(A667=1,Dashboard!$F$14,M666)</x:f>
      </x:c>
      <x:c r="J667" s="32" t="e">
        <x:f>IF(A667&lt;=Dashboard!$F$17,MIN(I667,$B$5),0)</x:f>
      </x:c>
      <x:c r="K667" s="32" t="e">
        <x:f>IF(A667&lt;=Dashboard!$F$17,MAX(0,I667-J667)*Dashboard!$F$6,0)</x:f>
      </x:c>
      <x:c r="L667" s="32" t="e">
        <x:f>IF(A667&lt;=Dashboard!$F$17,MIN(Dashboard!$F$10,MAX(0,I667-J667)+K667),0)</x:f>
      </x:c>
      <x:c r="M667" s="32" t="e">
        <x:f>IF(A667&lt;=Dashboard!$F$17,MAX(0,I667-J667-MAX(0,L667-K667)),0)</x:f>
      </x:c>
      <x:c r="N667" s="32" t="e">
        <x:f>IF(A667=1,K667,N666+K667)</x:f>
      </x:c>
      <x:c r="O667" s="32"/>
      <x:c r="P667" s="32" t="e">
        <x:f>IF(A667=1,Dashboard!$F$14,T666)</x:f>
      </x:c>
      <x:c r="Q667" s="32" t="e">
        <x:f>IF(A667&lt;=Dashboard!$F$17,MIN(P667,$B$6*52/12),0)</x:f>
      </x:c>
      <x:c r="R667" s="32" t="e">
        <x:f>IF(A667&lt;=Dashboard!$F$17,MAX(0,P667-Q667)*Dashboard!$F$6,0)</x:f>
      </x:c>
      <x:c r="S667" s="32" t="e">
        <x:f>IF(A667&lt;=Dashboard!$F$17,MIN(Dashboard!$F$10,MAX(0,P667-Q667)+R667),0)</x:f>
      </x:c>
      <x:c r="T667" s="32" t="e">
        <x:f>IF(A667&lt;=Dashboard!$F$17,MAX(0,P667-Q667-MAX(0,S667-R667)),0)</x:f>
      </x:c>
      <x:c r="U667" s="32" t="e">
        <x:f>IF(A667=1,R667,U666+R667)</x:f>
      </x:c>
      <x:c r="V667" s="32"/>
      <x:c r="W667" s="32" t="e">
        <x:f>IF(A667=1,Dashboard!$F$14,AA666)</x:f>
      </x:c>
      <x:c r="X667" s="32" t="e">
        <x:f>IF(AND(A667&lt;=Dashboard!$F$17,MOD(A667-1,12)=0),MIN(W667,$B$7),0)</x:f>
      </x:c>
      <x:c r="Y667" s="32" t="e">
        <x:f>IF(A667&lt;=Dashboard!$F$17,MAX(0,W667-X667)*Dashboard!$F$6,0)</x:f>
      </x:c>
      <x:c r="Z667" s="32" t="e">
        <x:f>IF(A667&lt;=Dashboard!$F$17,MIN(Dashboard!$F$10,MAX(0,W667-X667)+Y667),0)</x:f>
      </x:c>
      <x:c r="AA667" s="32" t="e">
        <x:f>IF(A667&lt;=Dashboard!$F$17,MAX(0,W667-X667-MAX(0,Z667-Y667)),0)</x:f>
      </x:c>
      <x:c r="AB667" s="32" t="e">
        <x:f>IF(A667=1,Y667,AB666+Y667)</x:f>
      </x:c>
      <x:c r="AC667" s="32"/>
      <x:c r="AD667" s="32" t="e">
        <x:f>IF(A667=1,MAX(0,Dashboard!$F$14-$B$8),AG666)</x:f>
      </x:c>
      <x:c r="AE667" s="32" t="n">
        <x:f>0</x:f>
        <x:v>0</x:v>
      </x:c>
      <x:c r="AF667" s="32" t="e">
        <x:f>IF(A667&lt;=Dashboard!$F$17,AD667*Dashboard!$F$6,0)</x:f>
      </x:c>
      <x:c r="AG667" s="32" t="e">
        <x:f>IF(A667&lt;=Dashboard!$F$17,MIN(Dashboard!$F$10,AD667+AF667),0)</x:f>
      </x:c>
      <x:c r="AH667" s="32" t="e">
        <x:f>IF(A667&lt;=Dashboard!$F$17,MAX(0,AD667-MAX(0,AG667-AF667)),0)</x:f>
      </x:c>
      <x:c r="AI667" s="32" t="e">
        <x:f>IF(A667=1,AF667,AI666+AF667)</x:f>
      </x:c>
      <x:c r="AJ667" s="33"/>
      <x:c r="AK667" s="33"/>
      <x:c r="AL667" s="33"/>
      <x:c r="AM667" s="33"/>
    </x:row>
    <x:row r="668">
      <x:c r="A668" s="33" t="n">
        <x:v>656</x:v>
      </x:c>
      <x:c r="B668" s="32" t="e">
        <x:f>IF(A668=1,Dashboard!$F$14,F667)</x:f>
      </x:c>
      <x:c r="C668" s="32" t="n">
        <x:f>0</x:f>
        <x:v>0</x:v>
      </x:c>
      <x:c r="D668" s="32" t="e">
        <x:f>IF(A668&lt;=Dashboard!$F$15,B668*Dashboard!$F$6,0)</x:f>
      </x:c>
      <x:c r="E668" s="32" t="e">
        <x:f>IF(A668&lt;=Dashboard!$F$15,MIN(Dashboard!$F$10,B668+D668),0)</x:f>
      </x:c>
      <x:c r="F668" s="32" t="e">
        <x:f>IF(A668&lt;=Dashboard!$F$15,MAX(0,B668-MAX(0,E668-D668)),0)</x:f>
      </x:c>
      <x:c r="G668" s="32" t="e">
        <x:f>IF(A668=1,D668,G667+D668)</x:f>
      </x:c>
      <x:c r="H668" s="32"/>
      <x:c r="I668" s="32" t="e">
        <x:f>IF(A668=1,Dashboard!$F$14,M667)</x:f>
      </x:c>
      <x:c r="J668" s="32" t="e">
        <x:f>IF(A668&lt;=Dashboard!$F$17,MIN(I668,$B$5),0)</x:f>
      </x:c>
      <x:c r="K668" s="32" t="e">
        <x:f>IF(A668&lt;=Dashboard!$F$17,MAX(0,I668-J668)*Dashboard!$F$6,0)</x:f>
      </x:c>
      <x:c r="L668" s="32" t="e">
        <x:f>IF(A668&lt;=Dashboard!$F$17,MIN(Dashboard!$F$10,MAX(0,I668-J668)+K668),0)</x:f>
      </x:c>
      <x:c r="M668" s="32" t="e">
        <x:f>IF(A668&lt;=Dashboard!$F$17,MAX(0,I668-J668-MAX(0,L668-K668)),0)</x:f>
      </x:c>
      <x:c r="N668" s="32" t="e">
        <x:f>IF(A668=1,K668,N667+K668)</x:f>
      </x:c>
      <x:c r="O668" s="32"/>
      <x:c r="P668" s="32" t="e">
        <x:f>IF(A668=1,Dashboard!$F$14,T667)</x:f>
      </x:c>
      <x:c r="Q668" s="32" t="e">
        <x:f>IF(A668&lt;=Dashboard!$F$17,MIN(P668,$B$6*52/12),0)</x:f>
      </x:c>
      <x:c r="R668" s="32" t="e">
        <x:f>IF(A668&lt;=Dashboard!$F$17,MAX(0,P668-Q668)*Dashboard!$F$6,0)</x:f>
      </x:c>
      <x:c r="S668" s="32" t="e">
        <x:f>IF(A668&lt;=Dashboard!$F$17,MIN(Dashboard!$F$10,MAX(0,P668-Q668)+R668),0)</x:f>
      </x:c>
      <x:c r="T668" s="32" t="e">
        <x:f>IF(A668&lt;=Dashboard!$F$17,MAX(0,P668-Q668-MAX(0,S668-R668)),0)</x:f>
      </x:c>
      <x:c r="U668" s="32" t="e">
        <x:f>IF(A668=1,R668,U667+R668)</x:f>
      </x:c>
      <x:c r="V668" s="32"/>
      <x:c r="W668" s="32" t="e">
        <x:f>IF(A668=1,Dashboard!$F$14,AA667)</x:f>
      </x:c>
      <x:c r="X668" s="32" t="e">
        <x:f>IF(AND(A668&lt;=Dashboard!$F$17,MOD(A668-1,12)=0),MIN(W668,$B$7),0)</x:f>
      </x:c>
      <x:c r="Y668" s="32" t="e">
        <x:f>IF(A668&lt;=Dashboard!$F$17,MAX(0,W668-X668)*Dashboard!$F$6,0)</x:f>
      </x:c>
      <x:c r="Z668" s="32" t="e">
        <x:f>IF(A668&lt;=Dashboard!$F$17,MIN(Dashboard!$F$10,MAX(0,W668-X668)+Y668),0)</x:f>
      </x:c>
      <x:c r="AA668" s="32" t="e">
        <x:f>IF(A668&lt;=Dashboard!$F$17,MAX(0,W668-X668-MAX(0,Z668-Y668)),0)</x:f>
      </x:c>
      <x:c r="AB668" s="32" t="e">
        <x:f>IF(A668=1,Y668,AB667+Y668)</x:f>
      </x:c>
      <x:c r="AC668" s="32"/>
      <x:c r="AD668" s="32" t="e">
        <x:f>IF(A668=1,MAX(0,Dashboard!$F$14-$B$8),AG667)</x:f>
      </x:c>
      <x:c r="AE668" s="32" t="n">
        <x:f>0</x:f>
        <x:v>0</x:v>
      </x:c>
      <x:c r="AF668" s="32" t="e">
        <x:f>IF(A668&lt;=Dashboard!$F$17,AD668*Dashboard!$F$6,0)</x:f>
      </x:c>
      <x:c r="AG668" s="32" t="e">
        <x:f>IF(A668&lt;=Dashboard!$F$17,MIN(Dashboard!$F$10,AD668+AF668),0)</x:f>
      </x:c>
      <x:c r="AH668" s="32" t="e">
        <x:f>IF(A668&lt;=Dashboard!$F$17,MAX(0,AD668-MAX(0,AG668-AF668)),0)</x:f>
      </x:c>
      <x:c r="AI668" s="32" t="e">
        <x:f>IF(A668=1,AF668,AI667+AF668)</x:f>
      </x:c>
      <x:c r="AJ668" s="33"/>
      <x:c r="AK668" s="33"/>
      <x:c r="AL668" s="33"/>
      <x:c r="AM668" s="33"/>
    </x:row>
    <x:row r="669">
      <x:c r="A669" s="33" t="n">
        <x:v>657</x:v>
      </x:c>
      <x:c r="B669" s="32" t="e">
        <x:f>IF(A669=1,Dashboard!$F$14,F668)</x:f>
      </x:c>
      <x:c r="C669" s="32" t="n">
        <x:f>0</x:f>
        <x:v>0</x:v>
      </x:c>
      <x:c r="D669" s="32" t="e">
        <x:f>IF(A669&lt;=Dashboard!$F$15,B669*Dashboard!$F$6,0)</x:f>
      </x:c>
      <x:c r="E669" s="32" t="e">
        <x:f>IF(A669&lt;=Dashboard!$F$15,MIN(Dashboard!$F$10,B669+D669),0)</x:f>
      </x:c>
      <x:c r="F669" s="32" t="e">
        <x:f>IF(A669&lt;=Dashboard!$F$15,MAX(0,B669-MAX(0,E669-D669)),0)</x:f>
      </x:c>
      <x:c r="G669" s="32" t="e">
        <x:f>IF(A669=1,D669,G668+D669)</x:f>
      </x:c>
      <x:c r="H669" s="32"/>
      <x:c r="I669" s="32" t="e">
        <x:f>IF(A669=1,Dashboard!$F$14,M668)</x:f>
      </x:c>
      <x:c r="J669" s="32" t="e">
        <x:f>IF(A669&lt;=Dashboard!$F$17,MIN(I669,$B$5),0)</x:f>
      </x:c>
      <x:c r="K669" s="32" t="e">
        <x:f>IF(A669&lt;=Dashboard!$F$17,MAX(0,I669-J669)*Dashboard!$F$6,0)</x:f>
      </x:c>
      <x:c r="L669" s="32" t="e">
        <x:f>IF(A669&lt;=Dashboard!$F$17,MIN(Dashboard!$F$10,MAX(0,I669-J669)+K669),0)</x:f>
      </x:c>
      <x:c r="M669" s="32" t="e">
        <x:f>IF(A669&lt;=Dashboard!$F$17,MAX(0,I669-J669-MAX(0,L669-K669)),0)</x:f>
      </x:c>
      <x:c r="N669" s="32" t="e">
        <x:f>IF(A669=1,K669,N668+K669)</x:f>
      </x:c>
      <x:c r="O669" s="32"/>
      <x:c r="P669" s="32" t="e">
        <x:f>IF(A669=1,Dashboard!$F$14,T668)</x:f>
      </x:c>
      <x:c r="Q669" s="32" t="e">
        <x:f>IF(A669&lt;=Dashboard!$F$17,MIN(P669,$B$6*52/12),0)</x:f>
      </x:c>
      <x:c r="R669" s="32" t="e">
        <x:f>IF(A669&lt;=Dashboard!$F$17,MAX(0,P669-Q669)*Dashboard!$F$6,0)</x:f>
      </x:c>
      <x:c r="S669" s="32" t="e">
        <x:f>IF(A669&lt;=Dashboard!$F$17,MIN(Dashboard!$F$10,MAX(0,P669-Q669)+R669),0)</x:f>
      </x:c>
      <x:c r="T669" s="32" t="e">
        <x:f>IF(A669&lt;=Dashboard!$F$17,MAX(0,P669-Q669-MAX(0,S669-R669)),0)</x:f>
      </x:c>
      <x:c r="U669" s="32" t="e">
        <x:f>IF(A669=1,R669,U668+R669)</x:f>
      </x:c>
      <x:c r="V669" s="32"/>
      <x:c r="W669" s="32" t="e">
        <x:f>IF(A669=1,Dashboard!$F$14,AA668)</x:f>
      </x:c>
      <x:c r="X669" s="32" t="e">
        <x:f>IF(AND(A669&lt;=Dashboard!$F$17,MOD(A669-1,12)=0),MIN(W669,$B$7),0)</x:f>
      </x:c>
      <x:c r="Y669" s="32" t="e">
        <x:f>IF(A669&lt;=Dashboard!$F$17,MAX(0,W669-X669)*Dashboard!$F$6,0)</x:f>
      </x:c>
      <x:c r="Z669" s="32" t="e">
        <x:f>IF(A669&lt;=Dashboard!$F$17,MIN(Dashboard!$F$10,MAX(0,W669-X669)+Y669),0)</x:f>
      </x:c>
      <x:c r="AA669" s="32" t="e">
        <x:f>IF(A669&lt;=Dashboard!$F$17,MAX(0,W669-X669-MAX(0,Z669-Y669)),0)</x:f>
      </x:c>
      <x:c r="AB669" s="32" t="e">
        <x:f>IF(A669=1,Y669,AB668+Y669)</x:f>
      </x:c>
      <x:c r="AC669" s="32"/>
      <x:c r="AD669" s="32" t="e">
        <x:f>IF(A669=1,MAX(0,Dashboard!$F$14-$B$8),AG668)</x:f>
      </x:c>
      <x:c r="AE669" s="32" t="n">
        <x:f>0</x:f>
        <x:v>0</x:v>
      </x:c>
      <x:c r="AF669" s="32" t="e">
        <x:f>IF(A669&lt;=Dashboard!$F$17,AD669*Dashboard!$F$6,0)</x:f>
      </x:c>
      <x:c r="AG669" s="32" t="e">
        <x:f>IF(A669&lt;=Dashboard!$F$17,MIN(Dashboard!$F$10,AD669+AF669),0)</x:f>
      </x:c>
      <x:c r="AH669" s="32" t="e">
        <x:f>IF(A669&lt;=Dashboard!$F$17,MAX(0,AD669-MAX(0,AG669-AF669)),0)</x:f>
      </x:c>
      <x:c r="AI669" s="32" t="e">
        <x:f>IF(A669=1,AF669,AI668+AF669)</x:f>
      </x:c>
      <x:c r="AJ669" s="33"/>
      <x:c r="AK669" s="33"/>
      <x:c r="AL669" s="33"/>
      <x:c r="AM669" s="33"/>
    </x:row>
    <x:row r="670">
      <x:c r="A670" s="33" t="n">
        <x:v>658</x:v>
      </x:c>
      <x:c r="B670" s="32" t="e">
        <x:f>IF(A670=1,Dashboard!$F$14,F669)</x:f>
      </x:c>
      <x:c r="C670" s="32" t="n">
        <x:f>0</x:f>
        <x:v>0</x:v>
      </x:c>
      <x:c r="D670" s="32" t="e">
        <x:f>IF(A670&lt;=Dashboard!$F$15,B670*Dashboard!$F$6,0)</x:f>
      </x:c>
      <x:c r="E670" s="32" t="e">
        <x:f>IF(A670&lt;=Dashboard!$F$15,MIN(Dashboard!$F$10,B670+D670),0)</x:f>
      </x:c>
      <x:c r="F670" s="32" t="e">
        <x:f>IF(A670&lt;=Dashboard!$F$15,MAX(0,B670-MAX(0,E670-D670)),0)</x:f>
      </x:c>
      <x:c r="G670" s="32" t="e">
        <x:f>IF(A670=1,D670,G669+D670)</x:f>
      </x:c>
      <x:c r="H670" s="32"/>
      <x:c r="I670" s="32" t="e">
        <x:f>IF(A670=1,Dashboard!$F$14,M669)</x:f>
      </x:c>
      <x:c r="J670" s="32" t="e">
        <x:f>IF(A670&lt;=Dashboard!$F$17,MIN(I670,$B$5),0)</x:f>
      </x:c>
      <x:c r="K670" s="32" t="e">
        <x:f>IF(A670&lt;=Dashboard!$F$17,MAX(0,I670-J670)*Dashboard!$F$6,0)</x:f>
      </x:c>
      <x:c r="L670" s="32" t="e">
        <x:f>IF(A670&lt;=Dashboard!$F$17,MIN(Dashboard!$F$10,MAX(0,I670-J670)+K670),0)</x:f>
      </x:c>
      <x:c r="M670" s="32" t="e">
        <x:f>IF(A670&lt;=Dashboard!$F$17,MAX(0,I670-J670-MAX(0,L670-K670)),0)</x:f>
      </x:c>
      <x:c r="N670" s="32" t="e">
        <x:f>IF(A670=1,K670,N669+K670)</x:f>
      </x:c>
      <x:c r="O670" s="32"/>
      <x:c r="P670" s="32" t="e">
        <x:f>IF(A670=1,Dashboard!$F$14,T669)</x:f>
      </x:c>
      <x:c r="Q670" s="32" t="e">
        <x:f>IF(A670&lt;=Dashboard!$F$17,MIN(P670,$B$6*52/12),0)</x:f>
      </x:c>
      <x:c r="R670" s="32" t="e">
        <x:f>IF(A670&lt;=Dashboard!$F$17,MAX(0,P670-Q670)*Dashboard!$F$6,0)</x:f>
      </x:c>
      <x:c r="S670" s="32" t="e">
        <x:f>IF(A670&lt;=Dashboard!$F$17,MIN(Dashboard!$F$10,MAX(0,P670-Q670)+R670),0)</x:f>
      </x:c>
      <x:c r="T670" s="32" t="e">
        <x:f>IF(A670&lt;=Dashboard!$F$17,MAX(0,P670-Q670-MAX(0,S670-R670)),0)</x:f>
      </x:c>
      <x:c r="U670" s="32" t="e">
        <x:f>IF(A670=1,R670,U669+R670)</x:f>
      </x:c>
      <x:c r="V670" s="32"/>
      <x:c r="W670" s="32" t="e">
        <x:f>IF(A670=1,Dashboard!$F$14,AA669)</x:f>
      </x:c>
      <x:c r="X670" s="32" t="e">
        <x:f>IF(AND(A670&lt;=Dashboard!$F$17,MOD(A670-1,12)=0),MIN(W670,$B$7),0)</x:f>
      </x:c>
      <x:c r="Y670" s="32" t="e">
        <x:f>IF(A670&lt;=Dashboard!$F$17,MAX(0,W670-X670)*Dashboard!$F$6,0)</x:f>
      </x:c>
      <x:c r="Z670" s="32" t="e">
        <x:f>IF(A670&lt;=Dashboard!$F$17,MIN(Dashboard!$F$10,MAX(0,W670-X670)+Y670),0)</x:f>
      </x:c>
      <x:c r="AA670" s="32" t="e">
        <x:f>IF(A670&lt;=Dashboard!$F$17,MAX(0,W670-X670-MAX(0,Z670-Y670)),0)</x:f>
      </x:c>
      <x:c r="AB670" s="32" t="e">
        <x:f>IF(A670=1,Y670,AB669+Y670)</x:f>
      </x:c>
      <x:c r="AC670" s="32"/>
      <x:c r="AD670" s="32" t="e">
        <x:f>IF(A670=1,MAX(0,Dashboard!$F$14-$B$8),AG669)</x:f>
      </x:c>
      <x:c r="AE670" s="32" t="n">
        <x:f>0</x:f>
        <x:v>0</x:v>
      </x:c>
      <x:c r="AF670" s="32" t="e">
        <x:f>IF(A670&lt;=Dashboard!$F$17,AD670*Dashboard!$F$6,0)</x:f>
      </x:c>
      <x:c r="AG670" s="32" t="e">
        <x:f>IF(A670&lt;=Dashboard!$F$17,MIN(Dashboard!$F$10,AD670+AF670),0)</x:f>
      </x:c>
      <x:c r="AH670" s="32" t="e">
        <x:f>IF(A670&lt;=Dashboard!$F$17,MAX(0,AD670-MAX(0,AG670-AF670)),0)</x:f>
      </x:c>
      <x:c r="AI670" s="32" t="e">
        <x:f>IF(A670=1,AF670,AI669+AF670)</x:f>
      </x:c>
      <x:c r="AJ670" s="33"/>
      <x:c r="AK670" s="33"/>
      <x:c r="AL670" s="33"/>
      <x:c r="AM670" s="33"/>
    </x:row>
    <x:row r="671">
      <x:c r="A671" s="33" t="n">
        <x:v>659</x:v>
      </x:c>
      <x:c r="B671" s="32" t="e">
        <x:f>IF(A671=1,Dashboard!$F$14,F670)</x:f>
      </x:c>
      <x:c r="C671" s="32" t="n">
        <x:f>0</x:f>
        <x:v>0</x:v>
      </x:c>
      <x:c r="D671" s="32" t="e">
        <x:f>IF(A671&lt;=Dashboard!$F$15,B671*Dashboard!$F$6,0)</x:f>
      </x:c>
      <x:c r="E671" s="32" t="e">
        <x:f>IF(A671&lt;=Dashboard!$F$15,MIN(Dashboard!$F$10,B671+D671),0)</x:f>
      </x:c>
      <x:c r="F671" s="32" t="e">
        <x:f>IF(A671&lt;=Dashboard!$F$15,MAX(0,B671-MAX(0,E671-D671)),0)</x:f>
      </x:c>
      <x:c r="G671" s="32" t="e">
        <x:f>IF(A671=1,D671,G670+D671)</x:f>
      </x:c>
      <x:c r="H671" s="32"/>
      <x:c r="I671" s="32" t="e">
        <x:f>IF(A671=1,Dashboard!$F$14,M670)</x:f>
      </x:c>
      <x:c r="J671" s="32" t="e">
        <x:f>IF(A671&lt;=Dashboard!$F$17,MIN(I671,$B$5),0)</x:f>
      </x:c>
      <x:c r="K671" s="32" t="e">
        <x:f>IF(A671&lt;=Dashboard!$F$17,MAX(0,I671-J671)*Dashboard!$F$6,0)</x:f>
      </x:c>
      <x:c r="L671" s="32" t="e">
        <x:f>IF(A671&lt;=Dashboard!$F$17,MIN(Dashboard!$F$10,MAX(0,I671-J671)+K671),0)</x:f>
      </x:c>
      <x:c r="M671" s="32" t="e">
        <x:f>IF(A671&lt;=Dashboard!$F$17,MAX(0,I671-J671-MAX(0,L671-K671)),0)</x:f>
      </x:c>
      <x:c r="N671" s="32" t="e">
        <x:f>IF(A671=1,K671,N670+K671)</x:f>
      </x:c>
      <x:c r="O671" s="32"/>
      <x:c r="P671" s="32" t="e">
        <x:f>IF(A671=1,Dashboard!$F$14,T670)</x:f>
      </x:c>
      <x:c r="Q671" s="32" t="e">
        <x:f>IF(A671&lt;=Dashboard!$F$17,MIN(P671,$B$6*52/12),0)</x:f>
      </x:c>
      <x:c r="R671" s="32" t="e">
        <x:f>IF(A671&lt;=Dashboard!$F$17,MAX(0,P671-Q671)*Dashboard!$F$6,0)</x:f>
      </x:c>
      <x:c r="S671" s="32" t="e">
        <x:f>IF(A671&lt;=Dashboard!$F$17,MIN(Dashboard!$F$10,MAX(0,P671-Q671)+R671),0)</x:f>
      </x:c>
      <x:c r="T671" s="32" t="e">
        <x:f>IF(A671&lt;=Dashboard!$F$17,MAX(0,P671-Q671-MAX(0,S671-R671)),0)</x:f>
      </x:c>
      <x:c r="U671" s="32" t="e">
        <x:f>IF(A671=1,R671,U670+R671)</x:f>
      </x:c>
      <x:c r="V671" s="32"/>
      <x:c r="W671" s="32" t="e">
        <x:f>IF(A671=1,Dashboard!$F$14,AA670)</x:f>
      </x:c>
      <x:c r="X671" s="32" t="e">
        <x:f>IF(AND(A671&lt;=Dashboard!$F$17,MOD(A671-1,12)=0),MIN(W671,$B$7),0)</x:f>
      </x:c>
      <x:c r="Y671" s="32" t="e">
        <x:f>IF(A671&lt;=Dashboard!$F$17,MAX(0,W671-X671)*Dashboard!$F$6,0)</x:f>
      </x:c>
      <x:c r="Z671" s="32" t="e">
        <x:f>IF(A671&lt;=Dashboard!$F$17,MIN(Dashboard!$F$10,MAX(0,W671-X671)+Y671),0)</x:f>
      </x:c>
      <x:c r="AA671" s="32" t="e">
        <x:f>IF(A671&lt;=Dashboard!$F$17,MAX(0,W671-X671-MAX(0,Z671-Y671)),0)</x:f>
      </x:c>
      <x:c r="AB671" s="32" t="e">
        <x:f>IF(A671=1,Y671,AB670+Y671)</x:f>
      </x:c>
      <x:c r="AC671" s="32"/>
      <x:c r="AD671" s="32" t="e">
        <x:f>IF(A671=1,MAX(0,Dashboard!$F$14-$B$8),AG670)</x:f>
      </x:c>
      <x:c r="AE671" s="32" t="n">
        <x:f>0</x:f>
        <x:v>0</x:v>
      </x:c>
      <x:c r="AF671" s="32" t="e">
        <x:f>IF(A671&lt;=Dashboard!$F$17,AD671*Dashboard!$F$6,0)</x:f>
      </x:c>
      <x:c r="AG671" s="32" t="e">
        <x:f>IF(A671&lt;=Dashboard!$F$17,MIN(Dashboard!$F$10,AD671+AF671),0)</x:f>
      </x:c>
      <x:c r="AH671" s="32" t="e">
        <x:f>IF(A671&lt;=Dashboard!$F$17,MAX(0,AD671-MAX(0,AG671-AF671)),0)</x:f>
      </x:c>
      <x:c r="AI671" s="32" t="e">
        <x:f>IF(A671=1,AF671,AI670+AF671)</x:f>
      </x:c>
      <x:c r="AJ671" s="33"/>
      <x:c r="AK671" s="33"/>
      <x:c r="AL671" s="33"/>
      <x:c r="AM671" s="33"/>
    </x:row>
    <x:row r="672">
      <x:c r="A672" s="33" t="n">
        <x:v>660</x:v>
      </x:c>
      <x:c r="B672" s="32" t="e">
        <x:f>IF(A672=1,Dashboard!$F$14,F671)</x:f>
      </x:c>
      <x:c r="C672" s="32" t="n">
        <x:f>0</x:f>
        <x:v>0</x:v>
      </x:c>
      <x:c r="D672" s="32" t="e">
        <x:f>IF(A672&lt;=Dashboard!$F$15,B672*Dashboard!$F$6,0)</x:f>
      </x:c>
      <x:c r="E672" s="32" t="e">
        <x:f>IF(A672&lt;=Dashboard!$F$15,MIN(Dashboard!$F$10,B672+D672),0)</x:f>
      </x:c>
      <x:c r="F672" s="32" t="e">
        <x:f>IF(A672&lt;=Dashboard!$F$15,MAX(0,B672-MAX(0,E672-D672)),0)</x:f>
      </x:c>
      <x:c r="G672" s="32" t="e">
        <x:f>IF(A672=1,D672,G671+D672)</x:f>
      </x:c>
      <x:c r="H672" s="32"/>
      <x:c r="I672" s="32" t="e">
        <x:f>IF(A672=1,Dashboard!$F$14,M671)</x:f>
      </x:c>
      <x:c r="J672" s="32" t="e">
        <x:f>IF(A672&lt;=Dashboard!$F$17,MIN(I672,$B$5),0)</x:f>
      </x:c>
      <x:c r="K672" s="32" t="e">
        <x:f>IF(A672&lt;=Dashboard!$F$17,MAX(0,I672-J672)*Dashboard!$F$6,0)</x:f>
      </x:c>
      <x:c r="L672" s="32" t="e">
        <x:f>IF(A672&lt;=Dashboard!$F$17,MIN(Dashboard!$F$10,MAX(0,I672-J672)+K672),0)</x:f>
      </x:c>
      <x:c r="M672" s="32" t="e">
        <x:f>IF(A672&lt;=Dashboard!$F$17,MAX(0,I672-J672-MAX(0,L672-K672)),0)</x:f>
      </x:c>
      <x:c r="N672" s="32" t="e">
        <x:f>IF(A672=1,K672,N671+K672)</x:f>
      </x:c>
      <x:c r="O672" s="32"/>
      <x:c r="P672" s="32" t="e">
        <x:f>IF(A672=1,Dashboard!$F$14,T671)</x:f>
      </x:c>
      <x:c r="Q672" s="32" t="e">
        <x:f>IF(A672&lt;=Dashboard!$F$17,MIN(P672,$B$6*52/12),0)</x:f>
      </x:c>
      <x:c r="R672" s="32" t="e">
        <x:f>IF(A672&lt;=Dashboard!$F$17,MAX(0,P672-Q672)*Dashboard!$F$6,0)</x:f>
      </x:c>
      <x:c r="S672" s="32" t="e">
        <x:f>IF(A672&lt;=Dashboard!$F$17,MIN(Dashboard!$F$10,MAX(0,P672-Q672)+R672),0)</x:f>
      </x:c>
      <x:c r="T672" s="32" t="e">
        <x:f>IF(A672&lt;=Dashboard!$F$17,MAX(0,P672-Q672-MAX(0,S672-R672)),0)</x:f>
      </x:c>
      <x:c r="U672" s="32" t="e">
        <x:f>IF(A672=1,R672,U671+R672)</x:f>
      </x:c>
      <x:c r="V672" s="32"/>
      <x:c r="W672" s="32" t="e">
        <x:f>IF(A672=1,Dashboard!$F$14,AA671)</x:f>
      </x:c>
      <x:c r="X672" s="32" t="e">
        <x:f>IF(AND(A672&lt;=Dashboard!$F$17,MOD(A672-1,12)=0),MIN(W672,$B$7),0)</x:f>
      </x:c>
      <x:c r="Y672" s="32" t="e">
        <x:f>IF(A672&lt;=Dashboard!$F$17,MAX(0,W672-X672)*Dashboard!$F$6,0)</x:f>
      </x:c>
      <x:c r="Z672" s="32" t="e">
        <x:f>IF(A672&lt;=Dashboard!$F$17,MIN(Dashboard!$F$10,MAX(0,W672-X672)+Y672),0)</x:f>
      </x:c>
      <x:c r="AA672" s="32" t="e">
        <x:f>IF(A672&lt;=Dashboard!$F$17,MAX(0,W672-X672-MAX(0,Z672-Y672)),0)</x:f>
      </x:c>
      <x:c r="AB672" s="32" t="e">
        <x:f>IF(A672=1,Y672,AB671+Y672)</x:f>
      </x:c>
      <x:c r="AC672" s="32"/>
      <x:c r="AD672" s="32" t="e">
        <x:f>IF(A672=1,MAX(0,Dashboard!$F$14-$B$8),AG671)</x:f>
      </x:c>
      <x:c r="AE672" s="32" t="n">
        <x:f>0</x:f>
        <x:v>0</x:v>
      </x:c>
      <x:c r="AF672" s="32" t="e">
        <x:f>IF(A672&lt;=Dashboard!$F$17,AD672*Dashboard!$F$6,0)</x:f>
      </x:c>
      <x:c r="AG672" s="32" t="e">
        <x:f>IF(A672&lt;=Dashboard!$F$17,MIN(Dashboard!$F$10,AD672+AF672),0)</x:f>
      </x:c>
      <x:c r="AH672" s="32" t="e">
        <x:f>IF(A672&lt;=Dashboard!$F$17,MAX(0,AD672-MAX(0,AG672-AF672)),0)</x:f>
      </x:c>
      <x:c r="AI672" s="32" t="e">
        <x:f>IF(A672=1,AF672,AI671+AF672)</x:f>
      </x:c>
      <x:c r="AJ672" s="33"/>
      <x:c r="AK672" s="33"/>
      <x:c r="AL672" s="33"/>
      <x:c r="AM672" s="33"/>
    </x:row>
    <x:row r="673">
      <x:c r="A673" s="33" t="n">
        <x:v>661</x:v>
      </x:c>
      <x:c r="B673" s="32" t="e">
        <x:f>IF(A673=1,Dashboard!$F$14,F672)</x:f>
      </x:c>
      <x:c r="C673" s="32" t="n">
        <x:f>0</x:f>
        <x:v>0</x:v>
      </x:c>
      <x:c r="D673" s="32" t="e">
        <x:f>IF(A673&lt;=Dashboard!$F$15,B673*Dashboard!$F$6,0)</x:f>
      </x:c>
      <x:c r="E673" s="32" t="e">
        <x:f>IF(A673&lt;=Dashboard!$F$15,MIN(Dashboard!$F$10,B673+D673),0)</x:f>
      </x:c>
      <x:c r="F673" s="32" t="e">
        <x:f>IF(A673&lt;=Dashboard!$F$15,MAX(0,B673-MAX(0,E673-D673)),0)</x:f>
      </x:c>
      <x:c r="G673" s="32" t="e">
        <x:f>IF(A673=1,D673,G672+D673)</x:f>
      </x:c>
      <x:c r="H673" s="32"/>
      <x:c r="I673" s="32" t="e">
        <x:f>IF(A673=1,Dashboard!$F$14,M672)</x:f>
      </x:c>
      <x:c r="J673" s="32" t="e">
        <x:f>IF(A673&lt;=Dashboard!$F$17,MIN(I673,$B$5),0)</x:f>
      </x:c>
      <x:c r="K673" s="32" t="e">
        <x:f>IF(A673&lt;=Dashboard!$F$17,MAX(0,I673-J673)*Dashboard!$F$6,0)</x:f>
      </x:c>
      <x:c r="L673" s="32" t="e">
        <x:f>IF(A673&lt;=Dashboard!$F$17,MIN(Dashboard!$F$10,MAX(0,I673-J673)+K673),0)</x:f>
      </x:c>
      <x:c r="M673" s="32" t="e">
        <x:f>IF(A673&lt;=Dashboard!$F$17,MAX(0,I673-J673-MAX(0,L673-K673)),0)</x:f>
      </x:c>
      <x:c r="N673" s="32" t="e">
        <x:f>IF(A673=1,K673,N672+K673)</x:f>
      </x:c>
      <x:c r="O673" s="32"/>
      <x:c r="P673" s="32" t="e">
        <x:f>IF(A673=1,Dashboard!$F$14,T672)</x:f>
      </x:c>
      <x:c r="Q673" s="32" t="e">
        <x:f>IF(A673&lt;=Dashboard!$F$17,MIN(P673,$B$6*52/12),0)</x:f>
      </x:c>
      <x:c r="R673" s="32" t="e">
        <x:f>IF(A673&lt;=Dashboard!$F$17,MAX(0,P673-Q673)*Dashboard!$F$6,0)</x:f>
      </x:c>
      <x:c r="S673" s="32" t="e">
        <x:f>IF(A673&lt;=Dashboard!$F$17,MIN(Dashboard!$F$10,MAX(0,P673-Q673)+R673),0)</x:f>
      </x:c>
      <x:c r="T673" s="32" t="e">
        <x:f>IF(A673&lt;=Dashboard!$F$17,MAX(0,P673-Q673-MAX(0,S673-R673)),0)</x:f>
      </x:c>
      <x:c r="U673" s="32" t="e">
        <x:f>IF(A673=1,R673,U672+R673)</x:f>
      </x:c>
      <x:c r="V673" s="32"/>
      <x:c r="W673" s="32" t="e">
        <x:f>IF(A673=1,Dashboard!$F$14,AA672)</x:f>
      </x:c>
      <x:c r="X673" s="32" t="e">
        <x:f>IF(AND(A673&lt;=Dashboard!$F$17,MOD(A673-1,12)=0),MIN(W673,$B$7),0)</x:f>
      </x:c>
      <x:c r="Y673" s="32" t="e">
        <x:f>IF(A673&lt;=Dashboard!$F$17,MAX(0,W673-X673)*Dashboard!$F$6,0)</x:f>
      </x:c>
      <x:c r="Z673" s="32" t="e">
        <x:f>IF(A673&lt;=Dashboard!$F$17,MIN(Dashboard!$F$10,MAX(0,W673-X673)+Y673),0)</x:f>
      </x:c>
      <x:c r="AA673" s="32" t="e">
        <x:f>IF(A673&lt;=Dashboard!$F$17,MAX(0,W673-X673-MAX(0,Z673-Y673)),0)</x:f>
      </x:c>
      <x:c r="AB673" s="32" t="e">
        <x:f>IF(A673=1,Y673,AB672+Y673)</x:f>
      </x:c>
      <x:c r="AC673" s="32"/>
      <x:c r="AD673" s="32" t="e">
        <x:f>IF(A673=1,MAX(0,Dashboard!$F$14-$B$8),AG672)</x:f>
      </x:c>
      <x:c r="AE673" s="32" t="n">
        <x:f>0</x:f>
        <x:v>0</x:v>
      </x:c>
      <x:c r="AF673" s="32" t="e">
        <x:f>IF(A673&lt;=Dashboard!$F$17,AD673*Dashboard!$F$6,0)</x:f>
      </x:c>
      <x:c r="AG673" s="32" t="e">
        <x:f>IF(A673&lt;=Dashboard!$F$17,MIN(Dashboard!$F$10,AD673+AF673),0)</x:f>
      </x:c>
      <x:c r="AH673" s="32" t="e">
        <x:f>IF(A673&lt;=Dashboard!$F$17,MAX(0,AD673-MAX(0,AG673-AF673)),0)</x:f>
      </x:c>
      <x:c r="AI673" s="32" t="e">
        <x:f>IF(A673=1,AF673,AI672+AF673)</x:f>
      </x:c>
      <x:c r="AJ673" s="33"/>
      <x:c r="AK673" s="33"/>
      <x:c r="AL673" s="33"/>
      <x:c r="AM673" s="33"/>
    </x:row>
    <x:row r="674">
      <x:c r="A674" s="33" t="n">
        <x:v>662</x:v>
      </x:c>
      <x:c r="B674" s="32" t="e">
        <x:f>IF(A674=1,Dashboard!$F$14,F673)</x:f>
      </x:c>
      <x:c r="C674" s="32" t="n">
        <x:f>0</x:f>
        <x:v>0</x:v>
      </x:c>
      <x:c r="D674" s="32" t="e">
        <x:f>IF(A674&lt;=Dashboard!$F$15,B674*Dashboard!$F$6,0)</x:f>
      </x:c>
      <x:c r="E674" s="32" t="e">
        <x:f>IF(A674&lt;=Dashboard!$F$15,MIN(Dashboard!$F$10,B674+D674),0)</x:f>
      </x:c>
      <x:c r="F674" s="32" t="e">
        <x:f>IF(A674&lt;=Dashboard!$F$15,MAX(0,B674-MAX(0,E674-D674)),0)</x:f>
      </x:c>
      <x:c r="G674" s="32" t="e">
        <x:f>IF(A674=1,D674,G673+D674)</x:f>
      </x:c>
      <x:c r="H674" s="32"/>
      <x:c r="I674" s="32" t="e">
        <x:f>IF(A674=1,Dashboard!$F$14,M673)</x:f>
      </x:c>
      <x:c r="J674" s="32" t="e">
        <x:f>IF(A674&lt;=Dashboard!$F$17,MIN(I674,$B$5),0)</x:f>
      </x:c>
      <x:c r="K674" s="32" t="e">
        <x:f>IF(A674&lt;=Dashboard!$F$17,MAX(0,I674-J674)*Dashboard!$F$6,0)</x:f>
      </x:c>
      <x:c r="L674" s="32" t="e">
        <x:f>IF(A674&lt;=Dashboard!$F$17,MIN(Dashboard!$F$10,MAX(0,I674-J674)+K674),0)</x:f>
      </x:c>
      <x:c r="M674" s="32" t="e">
        <x:f>IF(A674&lt;=Dashboard!$F$17,MAX(0,I674-J674-MAX(0,L674-K674)),0)</x:f>
      </x:c>
      <x:c r="N674" s="32" t="e">
        <x:f>IF(A674=1,K674,N673+K674)</x:f>
      </x:c>
      <x:c r="O674" s="32"/>
      <x:c r="P674" s="32" t="e">
        <x:f>IF(A674=1,Dashboard!$F$14,T673)</x:f>
      </x:c>
      <x:c r="Q674" s="32" t="e">
        <x:f>IF(A674&lt;=Dashboard!$F$17,MIN(P674,$B$6*52/12),0)</x:f>
      </x:c>
      <x:c r="R674" s="32" t="e">
        <x:f>IF(A674&lt;=Dashboard!$F$17,MAX(0,P674-Q674)*Dashboard!$F$6,0)</x:f>
      </x:c>
      <x:c r="S674" s="32" t="e">
        <x:f>IF(A674&lt;=Dashboard!$F$17,MIN(Dashboard!$F$10,MAX(0,P674-Q674)+R674),0)</x:f>
      </x:c>
      <x:c r="T674" s="32" t="e">
        <x:f>IF(A674&lt;=Dashboard!$F$17,MAX(0,P674-Q674-MAX(0,S674-R674)),0)</x:f>
      </x:c>
      <x:c r="U674" s="32" t="e">
        <x:f>IF(A674=1,R674,U673+R674)</x:f>
      </x:c>
      <x:c r="V674" s="32"/>
      <x:c r="W674" s="32" t="e">
        <x:f>IF(A674=1,Dashboard!$F$14,AA673)</x:f>
      </x:c>
      <x:c r="X674" s="32" t="e">
        <x:f>IF(AND(A674&lt;=Dashboard!$F$17,MOD(A674-1,12)=0),MIN(W674,$B$7),0)</x:f>
      </x:c>
      <x:c r="Y674" s="32" t="e">
        <x:f>IF(A674&lt;=Dashboard!$F$17,MAX(0,W674-X674)*Dashboard!$F$6,0)</x:f>
      </x:c>
      <x:c r="Z674" s="32" t="e">
        <x:f>IF(A674&lt;=Dashboard!$F$17,MIN(Dashboard!$F$10,MAX(0,W674-X674)+Y674),0)</x:f>
      </x:c>
      <x:c r="AA674" s="32" t="e">
        <x:f>IF(A674&lt;=Dashboard!$F$17,MAX(0,W674-X674-MAX(0,Z674-Y674)),0)</x:f>
      </x:c>
      <x:c r="AB674" s="32" t="e">
        <x:f>IF(A674=1,Y674,AB673+Y674)</x:f>
      </x:c>
      <x:c r="AC674" s="32"/>
      <x:c r="AD674" s="32" t="e">
        <x:f>IF(A674=1,MAX(0,Dashboard!$F$14-$B$8),AG673)</x:f>
      </x:c>
      <x:c r="AE674" s="32" t="n">
        <x:f>0</x:f>
        <x:v>0</x:v>
      </x:c>
      <x:c r="AF674" s="32" t="e">
        <x:f>IF(A674&lt;=Dashboard!$F$17,AD674*Dashboard!$F$6,0)</x:f>
      </x:c>
      <x:c r="AG674" s="32" t="e">
        <x:f>IF(A674&lt;=Dashboard!$F$17,MIN(Dashboard!$F$10,AD674+AF674),0)</x:f>
      </x:c>
      <x:c r="AH674" s="32" t="e">
        <x:f>IF(A674&lt;=Dashboard!$F$17,MAX(0,AD674-MAX(0,AG674-AF674)),0)</x:f>
      </x:c>
      <x:c r="AI674" s="32" t="e">
        <x:f>IF(A674=1,AF674,AI673+AF674)</x:f>
      </x:c>
      <x:c r="AJ674" s="33"/>
      <x:c r="AK674" s="33"/>
      <x:c r="AL674" s="33"/>
      <x:c r="AM674" s="33"/>
    </x:row>
    <x:row r="675">
      <x:c r="A675" s="33" t="n">
        <x:v>663</x:v>
      </x:c>
      <x:c r="B675" s="32" t="e">
        <x:f>IF(A675=1,Dashboard!$F$14,F674)</x:f>
      </x:c>
      <x:c r="C675" s="32" t="n">
        <x:f>0</x:f>
        <x:v>0</x:v>
      </x:c>
      <x:c r="D675" s="32" t="e">
        <x:f>IF(A675&lt;=Dashboard!$F$15,B675*Dashboard!$F$6,0)</x:f>
      </x:c>
      <x:c r="E675" s="32" t="e">
        <x:f>IF(A675&lt;=Dashboard!$F$15,MIN(Dashboard!$F$10,B675+D675),0)</x:f>
      </x:c>
      <x:c r="F675" s="32" t="e">
        <x:f>IF(A675&lt;=Dashboard!$F$15,MAX(0,B675-MAX(0,E675-D675)),0)</x:f>
      </x:c>
      <x:c r="G675" s="32" t="e">
        <x:f>IF(A675=1,D675,G674+D675)</x:f>
      </x:c>
      <x:c r="H675" s="32"/>
      <x:c r="I675" s="32" t="e">
        <x:f>IF(A675=1,Dashboard!$F$14,M674)</x:f>
      </x:c>
      <x:c r="J675" s="32" t="e">
        <x:f>IF(A675&lt;=Dashboard!$F$17,MIN(I675,$B$5),0)</x:f>
      </x:c>
      <x:c r="K675" s="32" t="e">
        <x:f>IF(A675&lt;=Dashboard!$F$17,MAX(0,I675-J675)*Dashboard!$F$6,0)</x:f>
      </x:c>
      <x:c r="L675" s="32" t="e">
        <x:f>IF(A675&lt;=Dashboard!$F$17,MIN(Dashboard!$F$10,MAX(0,I675-J675)+K675),0)</x:f>
      </x:c>
      <x:c r="M675" s="32" t="e">
        <x:f>IF(A675&lt;=Dashboard!$F$17,MAX(0,I675-J675-MAX(0,L675-K675)),0)</x:f>
      </x:c>
      <x:c r="N675" s="32" t="e">
        <x:f>IF(A675=1,K675,N674+K675)</x:f>
      </x:c>
      <x:c r="O675" s="32"/>
      <x:c r="P675" s="32" t="e">
        <x:f>IF(A675=1,Dashboard!$F$14,T674)</x:f>
      </x:c>
      <x:c r="Q675" s="32" t="e">
        <x:f>IF(A675&lt;=Dashboard!$F$17,MIN(P675,$B$6*52/12),0)</x:f>
      </x:c>
      <x:c r="R675" s="32" t="e">
        <x:f>IF(A675&lt;=Dashboard!$F$17,MAX(0,P675-Q675)*Dashboard!$F$6,0)</x:f>
      </x:c>
      <x:c r="S675" s="32" t="e">
        <x:f>IF(A675&lt;=Dashboard!$F$17,MIN(Dashboard!$F$10,MAX(0,P675-Q675)+R675),0)</x:f>
      </x:c>
      <x:c r="T675" s="32" t="e">
        <x:f>IF(A675&lt;=Dashboard!$F$17,MAX(0,P675-Q675-MAX(0,S675-R675)),0)</x:f>
      </x:c>
      <x:c r="U675" s="32" t="e">
        <x:f>IF(A675=1,R675,U674+R675)</x:f>
      </x:c>
      <x:c r="V675" s="32"/>
      <x:c r="W675" s="32" t="e">
        <x:f>IF(A675=1,Dashboard!$F$14,AA674)</x:f>
      </x:c>
      <x:c r="X675" s="32" t="e">
        <x:f>IF(AND(A675&lt;=Dashboard!$F$17,MOD(A675-1,12)=0),MIN(W675,$B$7),0)</x:f>
      </x:c>
      <x:c r="Y675" s="32" t="e">
        <x:f>IF(A675&lt;=Dashboard!$F$17,MAX(0,W675-X675)*Dashboard!$F$6,0)</x:f>
      </x:c>
      <x:c r="Z675" s="32" t="e">
        <x:f>IF(A675&lt;=Dashboard!$F$17,MIN(Dashboard!$F$10,MAX(0,W675-X675)+Y675),0)</x:f>
      </x:c>
      <x:c r="AA675" s="32" t="e">
        <x:f>IF(A675&lt;=Dashboard!$F$17,MAX(0,W675-X675-MAX(0,Z675-Y675)),0)</x:f>
      </x:c>
      <x:c r="AB675" s="32" t="e">
        <x:f>IF(A675=1,Y675,AB674+Y675)</x:f>
      </x:c>
      <x:c r="AC675" s="32"/>
      <x:c r="AD675" s="32" t="e">
        <x:f>IF(A675=1,MAX(0,Dashboard!$F$14-$B$8),AG674)</x:f>
      </x:c>
      <x:c r="AE675" s="32" t="n">
        <x:f>0</x:f>
        <x:v>0</x:v>
      </x:c>
      <x:c r="AF675" s="32" t="e">
        <x:f>IF(A675&lt;=Dashboard!$F$17,AD675*Dashboard!$F$6,0)</x:f>
      </x:c>
      <x:c r="AG675" s="32" t="e">
        <x:f>IF(A675&lt;=Dashboard!$F$17,MIN(Dashboard!$F$10,AD675+AF675),0)</x:f>
      </x:c>
      <x:c r="AH675" s="32" t="e">
        <x:f>IF(A675&lt;=Dashboard!$F$17,MAX(0,AD675-MAX(0,AG675-AF675)),0)</x:f>
      </x:c>
      <x:c r="AI675" s="32" t="e">
        <x:f>IF(A675=1,AF675,AI674+AF675)</x:f>
      </x:c>
      <x:c r="AJ675" s="33"/>
      <x:c r="AK675" s="33"/>
      <x:c r="AL675" s="33"/>
      <x:c r="AM675" s="33"/>
    </x:row>
    <x:row r="676">
      <x:c r="A676" s="33" t="n">
        <x:v>664</x:v>
      </x:c>
      <x:c r="B676" s="32" t="e">
        <x:f>IF(A676=1,Dashboard!$F$14,F675)</x:f>
      </x:c>
      <x:c r="C676" s="32" t="n">
        <x:f>0</x:f>
        <x:v>0</x:v>
      </x:c>
      <x:c r="D676" s="32" t="e">
        <x:f>IF(A676&lt;=Dashboard!$F$15,B676*Dashboard!$F$6,0)</x:f>
      </x:c>
      <x:c r="E676" s="32" t="e">
        <x:f>IF(A676&lt;=Dashboard!$F$15,MIN(Dashboard!$F$10,B676+D676),0)</x:f>
      </x:c>
      <x:c r="F676" s="32" t="e">
        <x:f>IF(A676&lt;=Dashboard!$F$15,MAX(0,B676-MAX(0,E676-D676)),0)</x:f>
      </x:c>
      <x:c r="G676" s="32" t="e">
        <x:f>IF(A676=1,D676,G675+D676)</x:f>
      </x:c>
      <x:c r="H676" s="32"/>
      <x:c r="I676" s="32" t="e">
        <x:f>IF(A676=1,Dashboard!$F$14,M675)</x:f>
      </x:c>
      <x:c r="J676" s="32" t="e">
        <x:f>IF(A676&lt;=Dashboard!$F$17,MIN(I676,$B$5),0)</x:f>
      </x:c>
      <x:c r="K676" s="32" t="e">
        <x:f>IF(A676&lt;=Dashboard!$F$17,MAX(0,I676-J676)*Dashboard!$F$6,0)</x:f>
      </x:c>
      <x:c r="L676" s="32" t="e">
        <x:f>IF(A676&lt;=Dashboard!$F$17,MIN(Dashboard!$F$10,MAX(0,I676-J676)+K676),0)</x:f>
      </x:c>
      <x:c r="M676" s="32" t="e">
        <x:f>IF(A676&lt;=Dashboard!$F$17,MAX(0,I676-J676-MAX(0,L676-K676)),0)</x:f>
      </x:c>
      <x:c r="N676" s="32" t="e">
        <x:f>IF(A676=1,K676,N675+K676)</x:f>
      </x:c>
      <x:c r="O676" s="32"/>
      <x:c r="P676" s="32" t="e">
        <x:f>IF(A676=1,Dashboard!$F$14,T675)</x:f>
      </x:c>
      <x:c r="Q676" s="32" t="e">
        <x:f>IF(A676&lt;=Dashboard!$F$17,MIN(P676,$B$6*52/12),0)</x:f>
      </x:c>
      <x:c r="R676" s="32" t="e">
        <x:f>IF(A676&lt;=Dashboard!$F$17,MAX(0,P676-Q676)*Dashboard!$F$6,0)</x:f>
      </x:c>
      <x:c r="S676" s="32" t="e">
        <x:f>IF(A676&lt;=Dashboard!$F$17,MIN(Dashboard!$F$10,MAX(0,P676-Q676)+R676),0)</x:f>
      </x:c>
      <x:c r="T676" s="32" t="e">
        <x:f>IF(A676&lt;=Dashboard!$F$17,MAX(0,P676-Q676-MAX(0,S676-R676)),0)</x:f>
      </x:c>
      <x:c r="U676" s="32" t="e">
        <x:f>IF(A676=1,R676,U675+R676)</x:f>
      </x:c>
      <x:c r="V676" s="32"/>
      <x:c r="W676" s="32" t="e">
        <x:f>IF(A676=1,Dashboard!$F$14,AA675)</x:f>
      </x:c>
      <x:c r="X676" s="32" t="e">
        <x:f>IF(AND(A676&lt;=Dashboard!$F$17,MOD(A676-1,12)=0),MIN(W676,$B$7),0)</x:f>
      </x:c>
      <x:c r="Y676" s="32" t="e">
        <x:f>IF(A676&lt;=Dashboard!$F$17,MAX(0,W676-X676)*Dashboard!$F$6,0)</x:f>
      </x:c>
      <x:c r="Z676" s="32" t="e">
        <x:f>IF(A676&lt;=Dashboard!$F$17,MIN(Dashboard!$F$10,MAX(0,W676-X676)+Y676),0)</x:f>
      </x:c>
      <x:c r="AA676" s="32" t="e">
        <x:f>IF(A676&lt;=Dashboard!$F$17,MAX(0,W676-X676-MAX(0,Z676-Y676)),0)</x:f>
      </x:c>
      <x:c r="AB676" s="32" t="e">
        <x:f>IF(A676=1,Y676,AB675+Y676)</x:f>
      </x:c>
      <x:c r="AC676" s="32"/>
      <x:c r="AD676" s="32" t="e">
        <x:f>IF(A676=1,MAX(0,Dashboard!$F$14-$B$8),AG675)</x:f>
      </x:c>
      <x:c r="AE676" s="32" t="n">
        <x:f>0</x:f>
        <x:v>0</x:v>
      </x:c>
      <x:c r="AF676" s="32" t="e">
        <x:f>IF(A676&lt;=Dashboard!$F$17,AD676*Dashboard!$F$6,0)</x:f>
      </x:c>
      <x:c r="AG676" s="32" t="e">
        <x:f>IF(A676&lt;=Dashboard!$F$17,MIN(Dashboard!$F$10,AD676+AF676),0)</x:f>
      </x:c>
      <x:c r="AH676" s="32" t="e">
        <x:f>IF(A676&lt;=Dashboard!$F$17,MAX(0,AD676-MAX(0,AG676-AF676)),0)</x:f>
      </x:c>
      <x:c r="AI676" s="32" t="e">
        <x:f>IF(A676=1,AF676,AI675+AF676)</x:f>
      </x:c>
      <x:c r="AJ676" s="33"/>
      <x:c r="AK676" s="33"/>
      <x:c r="AL676" s="33"/>
      <x:c r="AM676" s="33"/>
    </x:row>
    <x:row r="677">
      <x:c r="A677" s="33" t="n">
        <x:v>665</x:v>
      </x:c>
      <x:c r="B677" s="32" t="e">
        <x:f>IF(A677=1,Dashboard!$F$14,F676)</x:f>
      </x:c>
      <x:c r="C677" s="32" t="n">
        <x:f>0</x:f>
        <x:v>0</x:v>
      </x:c>
      <x:c r="D677" s="32" t="e">
        <x:f>IF(A677&lt;=Dashboard!$F$15,B677*Dashboard!$F$6,0)</x:f>
      </x:c>
      <x:c r="E677" s="32" t="e">
        <x:f>IF(A677&lt;=Dashboard!$F$15,MIN(Dashboard!$F$10,B677+D677),0)</x:f>
      </x:c>
      <x:c r="F677" s="32" t="e">
        <x:f>IF(A677&lt;=Dashboard!$F$15,MAX(0,B677-MAX(0,E677-D677)),0)</x:f>
      </x:c>
      <x:c r="G677" s="32" t="e">
        <x:f>IF(A677=1,D677,G676+D677)</x:f>
      </x:c>
      <x:c r="H677" s="32"/>
      <x:c r="I677" s="32" t="e">
        <x:f>IF(A677=1,Dashboard!$F$14,M676)</x:f>
      </x:c>
      <x:c r="J677" s="32" t="e">
        <x:f>IF(A677&lt;=Dashboard!$F$17,MIN(I677,$B$5),0)</x:f>
      </x:c>
      <x:c r="K677" s="32" t="e">
        <x:f>IF(A677&lt;=Dashboard!$F$17,MAX(0,I677-J677)*Dashboard!$F$6,0)</x:f>
      </x:c>
      <x:c r="L677" s="32" t="e">
        <x:f>IF(A677&lt;=Dashboard!$F$17,MIN(Dashboard!$F$10,MAX(0,I677-J677)+K677),0)</x:f>
      </x:c>
      <x:c r="M677" s="32" t="e">
        <x:f>IF(A677&lt;=Dashboard!$F$17,MAX(0,I677-J677-MAX(0,L677-K677)),0)</x:f>
      </x:c>
      <x:c r="N677" s="32" t="e">
        <x:f>IF(A677=1,K677,N676+K677)</x:f>
      </x:c>
      <x:c r="O677" s="32"/>
      <x:c r="P677" s="32" t="e">
        <x:f>IF(A677=1,Dashboard!$F$14,T676)</x:f>
      </x:c>
      <x:c r="Q677" s="32" t="e">
        <x:f>IF(A677&lt;=Dashboard!$F$17,MIN(P677,$B$6*52/12),0)</x:f>
      </x:c>
      <x:c r="R677" s="32" t="e">
        <x:f>IF(A677&lt;=Dashboard!$F$17,MAX(0,P677-Q677)*Dashboard!$F$6,0)</x:f>
      </x:c>
      <x:c r="S677" s="32" t="e">
        <x:f>IF(A677&lt;=Dashboard!$F$17,MIN(Dashboard!$F$10,MAX(0,P677-Q677)+R677),0)</x:f>
      </x:c>
      <x:c r="T677" s="32" t="e">
        <x:f>IF(A677&lt;=Dashboard!$F$17,MAX(0,P677-Q677-MAX(0,S677-R677)),0)</x:f>
      </x:c>
      <x:c r="U677" s="32" t="e">
        <x:f>IF(A677=1,R677,U676+R677)</x:f>
      </x:c>
      <x:c r="V677" s="32"/>
      <x:c r="W677" s="32" t="e">
        <x:f>IF(A677=1,Dashboard!$F$14,AA676)</x:f>
      </x:c>
      <x:c r="X677" s="32" t="e">
        <x:f>IF(AND(A677&lt;=Dashboard!$F$17,MOD(A677-1,12)=0),MIN(W677,$B$7),0)</x:f>
      </x:c>
      <x:c r="Y677" s="32" t="e">
        <x:f>IF(A677&lt;=Dashboard!$F$17,MAX(0,W677-X677)*Dashboard!$F$6,0)</x:f>
      </x:c>
      <x:c r="Z677" s="32" t="e">
        <x:f>IF(A677&lt;=Dashboard!$F$17,MIN(Dashboard!$F$10,MAX(0,W677-X677)+Y677),0)</x:f>
      </x:c>
      <x:c r="AA677" s="32" t="e">
        <x:f>IF(A677&lt;=Dashboard!$F$17,MAX(0,W677-X677-MAX(0,Z677-Y677)),0)</x:f>
      </x:c>
      <x:c r="AB677" s="32" t="e">
        <x:f>IF(A677=1,Y677,AB676+Y677)</x:f>
      </x:c>
      <x:c r="AC677" s="32"/>
      <x:c r="AD677" s="32" t="e">
        <x:f>IF(A677=1,MAX(0,Dashboard!$F$14-$B$8),AG676)</x:f>
      </x:c>
      <x:c r="AE677" s="32" t="n">
        <x:f>0</x:f>
        <x:v>0</x:v>
      </x:c>
      <x:c r="AF677" s="32" t="e">
        <x:f>IF(A677&lt;=Dashboard!$F$17,AD677*Dashboard!$F$6,0)</x:f>
      </x:c>
      <x:c r="AG677" s="32" t="e">
        <x:f>IF(A677&lt;=Dashboard!$F$17,MIN(Dashboard!$F$10,AD677+AF677),0)</x:f>
      </x:c>
      <x:c r="AH677" s="32" t="e">
        <x:f>IF(A677&lt;=Dashboard!$F$17,MAX(0,AD677-MAX(0,AG677-AF677)),0)</x:f>
      </x:c>
      <x:c r="AI677" s="32" t="e">
        <x:f>IF(A677=1,AF677,AI676+AF677)</x:f>
      </x:c>
      <x:c r="AJ677" s="33"/>
      <x:c r="AK677" s="33"/>
      <x:c r="AL677" s="33"/>
      <x:c r="AM677" s="33"/>
    </x:row>
    <x:row r="678">
      <x:c r="A678" s="33" t="n">
        <x:v>666</x:v>
      </x:c>
      <x:c r="B678" s="32" t="e">
        <x:f>IF(A678=1,Dashboard!$F$14,F677)</x:f>
      </x:c>
      <x:c r="C678" s="32" t="n">
        <x:f>0</x:f>
        <x:v>0</x:v>
      </x:c>
      <x:c r="D678" s="32" t="e">
        <x:f>IF(A678&lt;=Dashboard!$F$15,B678*Dashboard!$F$6,0)</x:f>
      </x:c>
      <x:c r="E678" s="32" t="e">
        <x:f>IF(A678&lt;=Dashboard!$F$15,MIN(Dashboard!$F$10,B678+D678),0)</x:f>
      </x:c>
      <x:c r="F678" s="32" t="e">
        <x:f>IF(A678&lt;=Dashboard!$F$15,MAX(0,B678-MAX(0,E678-D678)),0)</x:f>
      </x:c>
      <x:c r="G678" s="32" t="e">
        <x:f>IF(A678=1,D678,G677+D678)</x:f>
      </x:c>
      <x:c r="H678" s="32"/>
      <x:c r="I678" s="32" t="e">
        <x:f>IF(A678=1,Dashboard!$F$14,M677)</x:f>
      </x:c>
      <x:c r="J678" s="32" t="e">
        <x:f>IF(A678&lt;=Dashboard!$F$17,MIN(I678,$B$5),0)</x:f>
      </x:c>
      <x:c r="K678" s="32" t="e">
        <x:f>IF(A678&lt;=Dashboard!$F$17,MAX(0,I678-J678)*Dashboard!$F$6,0)</x:f>
      </x:c>
      <x:c r="L678" s="32" t="e">
        <x:f>IF(A678&lt;=Dashboard!$F$17,MIN(Dashboard!$F$10,MAX(0,I678-J678)+K678),0)</x:f>
      </x:c>
      <x:c r="M678" s="32" t="e">
        <x:f>IF(A678&lt;=Dashboard!$F$17,MAX(0,I678-J678-MAX(0,L678-K678)),0)</x:f>
      </x:c>
      <x:c r="N678" s="32" t="e">
        <x:f>IF(A678=1,K678,N677+K678)</x:f>
      </x:c>
      <x:c r="O678" s="32"/>
      <x:c r="P678" s="32" t="e">
        <x:f>IF(A678=1,Dashboard!$F$14,T677)</x:f>
      </x:c>
      <x:c r="Q678" s="32" t="e">
        <x:f>IF(A678&lt;=Dashboard!$F$17,MIN(P678,$B$6*52/12),0)</x:f>
      </x:c>
      <x:c r="R678" s="32" t="e">
        <x:f>IF(A678&lt;=Dashboard!$F$17,MAX(0,P678-Q678)*Dashboard!$F$6,0)</x:f>
      </x:c>
      <x:c r="S678" s="32" t="e">
        <x:f>IF(A678&lt;=Dashboard!$F$17,MIN(Dashboard!$F$10,MAX(0,P678-Q678)+R678),0)</x:f>
      </x:c>
      <x:c r="T678" s="32" t="e">
        <x:f>IF(A678&lt;=Dashboard!$F$17,MAX(0,P678-Q678-MAX(0,S678-R678)),0)</x:f>
      </x:c>
      <x:c r="U678" s="32" t="e">
        <x:f>IF(A678=1,R678,U677+R678)</x:f>
      </x:c>
      <x:c r="V678" s="32"/>
      <x:c r="W678" s="32" t="e">
        <x:f>IF(A678=1,Dashboard!$F$14,AA677)</x:f>
      </x:c>
      <x:c r="X678" s="32" t="e">
        <x:f>IF(AND(A678&lt;=Dashboard!$F$17,MOD(A678-1,12)=0),MIN(W678,$B$7),0)</x:f>
      </x:c>
      <x:c r="Y678" s="32" t="e">
        <x:f>IF(A678&lt;=Dashboard!$F$17,MAX(0,W678-X678)*Dashboard!$F$6,0)</x:f>
      </x:c>
      <x:c r="Z678" s="32" t="e">
        <x:f>IF(A678&lt;=Dashboard!$F$17,MIN(Dashboard!$F$10,MAX(0,W678-X678)+Y678),0)</x:f>
      </x:c>
      <x:c r="AA678" s="32" t="e">
        <x:f>IF(A678&lt;=Dashboard!$F$17,MAX(0,W678-X678-MAX(0,Z678-Y678)),0)</x:f>
      </x:c>
      <x:c r="AB678" s="32" t="e">
        <x:f>IF(A678=1,Y678,AB677+Y678)</x:f>
      </x:c>
      <x:c r="AC678" s="32"/>
      <x:c r="AD678" s="32" t="e">
        <x:f>IF(A678=1,MAX(0,Dashboard!$F$14-$B$8),AG677)</x:f>
      </x:c>
      <x:c r="AE678" s="32" t="n">
        <x:f>0</x:f>
        <x:v>0</x:v>
      </x:c>
      <x:c r="AF678" s="32" t="e">
        <x:f>IF(A678&lt;=Dashboard!$F$17,AD678*Dashboard!$F$6,0)</x:f>
      </x:c>
      <x:c r="AG678" s="32" t="e">
        <x:f>IF(A678&lt;=Dashboard!$F$17,MIN(Dashboard!$F$10,AD678+AF678),0)</x:f>
      </x:c>
      <x:c r="AH678" s="32" t="e">
        <x:f>IF(A678&lt;=Dashboard!$F$17,MAX(0,AD678-MAX(0,AG678-AF678)),0)</x:f>
      </x:c>
      <x:c r="AI678" s="32" t="e">
        <x:f>IF(A678=1,AF678,AI677+AF678)</x:f>
      </x:c>
      <x:c r="AJ678" s="33"/>
      <x:c r="AK678" s="33"/>
      <x:c r="AL678" s="33"/>
      <x:c r="AM678" s="33"/>
    </x:row>
    <x:row r="679">
      <x:c r="A679" s="33" t="n">
        <x:v>667</x:v>
      </x:c>
      <x:c r="B679" s="32" t="e">
        <x:f>IF(A679=1,Dashboard!$F$14,F678)</x:f>
      </x:c>
      <x:c r="C679" s="32" t="n">
        <x:f>0</x:f>
        <x:v>0</x:v>
      </x:c>
      <x:c r="D679" s="32" t="e">
        <x:f>IF(A679&lt;=Dashboard!$F$15,B679*Dashboard!$F$6,0)</x:f>
      </x:c>
      <x:c r="E679" s="32" t="e">
        <x:f>IF(A679&lt;=Dashboard!$F$15,MIN(Dashboard!$F$10,B679+D679),0)</x:f>
      </x:c>
      <x:c r="F679" s="32" t="e">
        <x:f>IF(A679&lt;=Dashboard!$F$15,MAX(0,B679-MAX(0,E679-D679)),0)</x:f>
      </x:c>
      <x:c r="G679" s="32" t="e">
        <x:f>IF(A679=1,D679,G678+D679)</x:f>
      </x:c>
      <x:c r="H679" s="32"/>
      <x:c r="I679" s="32" t="e">
        <x:f>IF(A679=1,Dashboard!$F$14,M678)</x:f>
      </x:c>
      <x:c r="J679" s="32" t="e">
        <x:f>IF(A679&lt;=Dashboard!$F$17,MIN(I679,$B$5),0)</x:f>
      </x:c>
      <x:c r="K679" s="32" t="e">
        <x:f>IF(A679&lt;=Dashboard!$F$17,MAX(0,I679-J679)*Dashboard!$F$6,0)</x:f>
      </x:c>
      <x:c r="L679" s="32" t="e">
        <x:f>IF(A679&lt;=Dashboard!$F$17,MIN(Dashboard!$F$10,MAX(0,I679-J679)+K679),0)</x:f>
      </x:c>
      <x:c r="M679" s="32" t="e">
        <x:f>IF(A679&lt;=Dashboard!$F$17,MAX(0,I679-J679-MAX(0,L679-K679)),0)</x:f>
      </x:c>
      <x:c r="N679" s="32" t="e">
        <x:f>IF(A679=1,K679,N678+K679)</x:f>
      </x:c>
      <x:c r="O679" s="32"/>
      <x:c r="P679" s="32" t="e">
        <x:f>IF(A679=1,Dashboard!$F$14,T678)</x:f>
      </x:c>
      <x:c r="Q679" s="32" t="e">
        <x:f>IF(A679&lt;=Dashboard!$F$17,MIN(P679,$B$6*52/12),0)</x:f>
      </x:c>
      <x:c r="R679" s="32" t="e">
        <x:f>IF(A679&lt;=Dashboard!$F$17,MAX(0,P679-Q679)*Dashboard!$F$6,0)</x:f>
      </x:c>
      <x:c r="S679" s="32" t="e">
        <x:f>IF(A679&lt;=Dashboard!$F$17,MIN(Dashboard!$F$10,MAX(0,P679-Q679)+R679),0)</x:f>
      </x:c>
      <x:c r="T679" s="32" t="e">
        <x:f>IF(A679&lt;=Dashboard!$F$17,MAX(0,P679-Q679-MAX(0,S679-R679)),0)</x:f>
      </x:c>
      <x:c r="U679" s="32" t="e">
        <x:f>IF(A679=1,R679,U678+R679)</x:f>
      </x:c>
      <x:c r="V679" s="32"/>
      <x:c r="W679" s="32" t="e">
        <x:f>IF(A679=1,Dashboard!$F$14,AA678)</x:f>
      </x:c>
      <x:c r="X679" s="32" t="e">
        <x:f>IF(AND(A679&lt;=Dashboard!$F$17,MOD(A679-1,12)=0),MIN(W679,$B$7),0)</x:f>
      </x:c>
      <x:c r="Y679" s="32" t="e">
        <x:f>IF(A679&lt;=Dashboard!$F$17,MAX(0,W679-X679)*Dashboard!$F$6,0)</x:f>
      </x:c>
      <x:c r="Z679" s="32" t="e">
        <x:f>IF(A679&lt;=Dashboard!$F$17,MIN(Dashboard!$F$10,MAX(0,W679-X679)+Y679),0)</x:f>
      </x:c>
      <x:c r="AA679" s="32" t="e">
        <x:f>IF(A679&lt;=Dashboard!$F$17,MAX(0,W679-X679-MAX(0,Z679-Y679)),0)</x:f>
      </x:c>
      <x:c r="AB679" s="32" t="e">
        <x:f>IF(A679=1,Y679,AB678+Y679)</x:f>
      </x:c>
      <x:c r="AC679" s="32"/>
      <x:c r="AD679" s="32" t="e">
        <x:f>IF(A679=1,MAX(0,Dashboard!$F$14-$B$8),AG678)</x:f>
      </x:c>
      <x:c r="AE679" s="32" t="n">
        <x:f>0</x:f>
        <x:v>0</x:v>
      </x:c>
      <x:c r="AF679" s="32" t="e">
        <x:f>IF(A679&lt;=Dashboard!$F$17,AD679*Dashboard!$F$6,0)</x:f>
      </x:c>
      <x:c r="AG679" s="32" t="e">
        <x:f>IF(A679&lt;=Dashboard!$F$17,MIN(Dashboard!$F$10,AD679+AF679),0)</x:f>
      </x:c>
      <x:c r="AH679" s="32" t="e">
        <x:f>IF(A679&lt;=Dashboard!$F$17,MAX(0,AD679-MAX(0,AG679-AF679)),0)</x:f>
      </x:c>
      <x:c r="AI679" s="32" t="e">
        <x:f>IF(A679=1,AF679,AI678+AF679)</x:f>
      </x:c>
      <x:c r="AJ679" s="33"/>
      <x:c r="AK679" s="33"/>
      <x:c r="AL679" s="33"/>
      <x:c r="AM679" s="33"/>
    </x:row>
    <x:row r="680">
      <x:c r="A680" s="33" t="n">
        <x:v>668</x:v>
      </x:c>
      <x:c r="B680" s="32" t="e">
        <x:f>IF(A680=1,Dashboard!$F$14,F679)</x:f>
      </x:c>
      <x:c r="C680" s="32" t="n">
        <x:f>0</x:f>
        <x:v>0</x:v>
      </x:c>
      <x:c r="D680" s="32" t="e">
        <x:f>IF(A680&lt;=Dashboard!$F$15,B680*Dashboard!$F$6,0)</x:f>
      </x:c>
      <x:c r="E680" s="32" t="e">
        <x:f>IF(A680&lt;=Dashboard!$F$15,MIN(Dashboard!$F$10,B680+D680),0)</x:f>
      </x:c>
      <x:c r="F680" s="32" t="e">
        <x:f>IF(A680&lt;=Dashboard!$F$15,MAX(0,B680-MAX(0,E680-D680)),0)</x:f>
      </x:c>
      <x:c r="G680" s="32" t="e">
        <x:f>IF(A680=1,D680,G679+D680)</x:f>
      </x:c>
      <x:c r="H680" s="32"/>
      <x:c r="I680" s="32" t="e">
        <x:f>IF(A680=1,Dashboard!$F$14,M679)</x:f>
      </x:c>
      <x:c r="J680" s="32" t="e">
        <x:f>IF(A680&lt;=Dashboard!$F$17,MIN(I680,$B$5),0)</x:f>
      </x:c>
      <x:c r="K680" s="32" t="e">
        <x:f>IF(A680&lt;=Dashboard!$F$17,MAX(0,I680-J680)*Dashboard!$F$6,0)</x:f>
      </x:c>
      <x:c r="L680" s="32" t="e">
        <x:f>IF(A680&lt;=Dashboard!$F$17,MIN(Dashboard!$F$10,MAX(0,I680-J680)+K680),0)</x:f>
      </x:c>
      <x:c r="M680" s="32" t="e">
        <x:f>IF(A680&lt;=Dashboard!$F$17,MAX(0,I680-J680-MAX(0,L680-K680)),0)</x:f>
      </x:c>
      <x:c r="N680" s="32" t="e">
        <x:f>IF(A680=1,K680,N679+K680)</x:f>
      </x:c>
      <x:c r="O680" s="32"/>
      <x:c r="P680" s="32" t="e">
        <x:f>IF(A680=1,Dashboard!$F$14,T679)</x:f>
      </x:c>
      <x:c r="Q680" s="32" t="e">
        <x:f>IF(A680&lt;=Dashboard!$F$17,MIN(P680,$B$6*52/12),0)</x:f>
      </x:c>
      <x:c r="R680" s="32" t="e">
        <x:f>IF(A680&lt;=Dashboard!$F$17,MAX(0,P680-Q680)*Dashboard!$F$6,0)</x:f>
      </x:c>
      <x:c r="S680" s="32" t="e">
        <x:f>IF(A680&lt;=Dashboard!$F$17,MIN(Dashboard!$F$10,MAX(0,P680-Q680)+R680),0)</x:f>
      </x:c>
      <x:c r="T680" s="32" t="e">
        <x:f>IF(A680&lt;=Dashboard!$F$17,MAX(0,P680-Q680-MAX(0,S680-R680)),0)</x:f>
      </x:c>
      <x:c r="U680" s="32" t="e">
        <x:f>IF(A680=1,R680,U679+R680)</x:f>
      </x:c>
      <x:c r="V680" s="32"/>
      <x:c r="W680" s="32" t="e">
        <x:f>IF(A680=1,Dashboard!$F$14,AA679)</x:f>
      </x:c>
      <x:c r="X680" s="32" t="e">
        <x:f>IF(AND(A680&lt;=Dashboard!$F$17,MOD(A680-1,12)=0),MIN(W680,$B$7),0)</x:f>
      </x:c>
      <x:c r="Y680" s="32" t="e">
        <x:f>IF(A680&lt;=Dashboard!$F$17,MAX(0,W680-X680)*Dashboard!$F$6,0)</x:f>
      </x:c>
      <x:c r="Z680" s="32" t="e">
        <x:f>IF(A680&lt;=Dashboard!$F$17,MIN(Dashboard!$F$10,MAX(0,W680-X680)+Y680),0)</x:f>
      </x:c>
      <x:c r="AA680" s="32" t="e">
        <x:f>IF(A680&lt;=Dashboard!$F$17,MAX(0,W680-X680-MAX(0,Z680-Y680)),0)</x:f>
      </x:c>
      <x:c r="AB680" s="32" t="e">
        <x:f>IF(A680=1,Y680,AB679+Y680)</x:f>
      </x:c>
      <x:c r="AC680" s="32"/>
      <x:c r="AD680" s="32" t="e">
        <x:f>IF(A680=1,MAX(0,Dashboard!$F$14-$B$8),AG679)</x:f>
      </x:c>
      <x:c r="AE680" s="32" t="n">
        <x:f>0</x:f>
        <x:v>0</x:v>
      </x:c>
      <x:c r="AF680" s="32" t="e">
        <x:f>IF(A680&lt;=Dashboard!$F$17,AD680*Dashboard!$F$6,0)</x:f>
      </x:c>
      <x:c r="AG680" s="32" t="e">
        <x:f>IF(A680&lt;=Dashboard!$F$17,MIN(Dashboard!$F$10,AD680+AF680),0)</x:f>
      </x:c>
      <x:c r="AH680" s="32" t="e">
        <x:f>IF(A680&lt;=Dashboard!$F$17,MAX(0,AD680-MAX(0,AG680-AF680)),0)</x:f>
      </x:c>
      <x:c r="AI680" s="32" t="e">
        <x:f>IF(A680=1,AF680,AI679+AF680)</x:f>
      </x:c>
      <x:c r="AJ680" s="33"/>
      <x:c r="AK680" s="33"/>
      <x:c r="AL680" s="33"/>
      <x:c r="AM680" s="33"/>
    </x:row>
    <x:row r="681">
      <x:c r="A681" s="33" t="n">
        <x:v>669</x:v>
      </x:c>
      <x:c r="B681" s="32" t="e">
        <x:f>IF(A681=1,Dashboard!$F$14,F680)</x:f>
      </x:c>
      <x:c r="C681" s="32" t="n">
        <x:f>0</x:f>
        <x:v>0</x:v>
      </x:c>
      <x:c r="D681" s="32" t="e">
        <x:f>IF(A681&lt;=Dashboard!$F$15,B681*Dashboard!$F$6,0)</x:f>
      </x:c>
      <x:c r="E681" s="32" t="e">
        <x:f>IF(A681&lt;=Dashboard!$F$15,MIN(Dashboard!$F$10,B681+D681),0)</x:f>
      </x:c>
      <x:c r="F681" s="32" t="e">
        <x:f>IF(A681&lt;=Dashboard!$F$15,MAX(0,B681-MAX(0,E681-D681)),0)</x:f>
      </x:c>
      <x:c r="G681" s="32" t="e">
        <x:f>IF(A681=1,D681,G680+D681)</x:f>
      </x:c>
      <x:c r="H681" s="32"/>
      <x:c r="I681" s="32" t="e">
        <x:f>IF(A681=1,Dashboard!$F$14,M680)</x:f>
      </x:c>
      <x:c r="J681" s="32" t="e">
        <x:f>IF(A681&lt;=Dashboard!$F$17,MIN(I681,$B$5),0)</x:f>
      </x:c>
      <x:c r="K681" s="32" t="e">
        <x:f>IF(A681&lt;=Dashboard!$F$17,MAX(0,I681-J681)*Dashboard!$F$6,0)</x:f>
      </x:c>
      <x:c r="L681" s="32" t="e">
        <x:f>IF(A681&lt;=Dashboard!$F$17,MIN(Dashboard!$F$10,MAX(0,I681-J681)+K681),0)</x:f>
      </x:c>
      <x:c r="M681" s="32" t="e">
        <x:f>IF(A681&lt;=Dashboard!$F$17,MAX(0,I681-J681-MAX(0,L681-K681)),0)</x:f>
      </x:c>
      <x:c r="N681" s="32" t="e">
        <x:f>IF(A681=1,K681,N680+K681)</x:f>
      </x:c>
      <x:c r="O681" s="32"/>
      <x:c r="P681" s="32" t="e">
        <x:f>IF(A681=1,Dashboard!$F$14,T680)</x:f>
      </x:c>
      <x:c r="Q681" s="32" t="e">
        <x:f>IF(A681&lt;=Dashboard!$F$17,MIN(P681,$B$6*52/12),0)</x:f>
      </x:c>
      <x:c r="R681" s="32" t="e">
        <x:f>IF(A681&lt;=Dashboard!$F$17,MAX(0,P681-Q681)*Dashboard!$F$6,0)</x:f>
      </x:c>
      <x:c r="S681" s="32" t="e">
        <x:f>IF(A681&lt;=Dashboard!$F$17,MIN(Dashboard!$F$10,MAX(0,P681-Q681)+R681),0)</x:f>
      </x:c>
      <x:c r="T681" s="32" t="e">
        <x:f>IF(A681&lt;=Dashboard!$F$17,MAX(0,P681-Q681-MAX(0,S681-R681)),0)</x:f>
      </x:c>
      <x:c r="U681" s="32" t="e">
        <x:f>IF(A681=1,R681,U680+R681)</x:f>
      </x:c>
      <x:c r="V681" s="32"/>
      <x:c r="W681" s="32" t="e">
        <x:f>IF(A681=1,Dashboard!$F$14,AA680)</x:f>
      </x:c>
      <x:c r="X681" s="32" t="e">
        <x:f>IF(AND(A681&lt;=Dashboard!$F$17,MOD(A681-1,12)=0),MIN(W681,$B$7),0)</x:f>
      </x:c>
      <x:c r="Y681" s="32" t="e">
        <x:f>IF(A681&lt;=Dashboard!$F$17,MAX(0,W681-X681)*Dashboard!$F$6,0)</x:f>
      </x:c>
      <x:c r="Z681" s="32" t="e">
        <x:f>IF(A681&lt;=Dashboard!$F$17,MIN(Dashboard!$F$10,MAX(0,W681-X681)+Y681),0)</x:f>
      </x:c>
      <x:c r="AA681" s="32" t="e">
        <x:f>IF(A681&lt;=Dashboard!$F$17,MAX(0,W681-X681-MAX(0,Z681-Y681)),0)</x:f>
      </x:c>
      <x:c r="AB681" s="32" t="e">
        <x:f>IF(A681=1,Y681,AB680+Y681)</x:f>
      </x:c>
      <x:c r="AC681" s="32"/>
      <x:c r="AD681" s="32" t="e">
        <x:f>IF(A681=1,MAX(0,Dashboard!$F$14-$B$8),AG680)</x:f>
      </x:c>
      <x:c r="AE681" s="32" t="n">
        <x:f>0</x:f>
        <x:v>0</x:v>
      </x:c>
      <x:c r="AF681" s="32" t="e">
        <x:f>IF(A681&lt;=Dashboard!$F$17,AD681*Dashboard!$F$6,0)</x:f>
      </x:c>
      <x:c r="AG681" s="32" t="e">
        <x:f>IF(A681&lt;=Dashboard!$F$17,MIN(Dashboard!$F$10,AD681+AF681),0)</x:f>
      </x:c>
      <x:c r="AH681" s="32" t="e">
        <x:f>IF(A681&lt;=Dashboard!$F$17,MAX(0,AD681-MAX(0,AG681-AF681)),0)</x:f>
      </x:c>
      <x:c r="AI681" s="32" t="e">
        <x:f>IF(A681=1,AF681,AI680+AF681)</x:f>
      </x:c>
      <x:c r="AJ681" s="33"/>
      <x:c r="AK681" s="33"/>
      <x:c r="AL681" s="33"/>
      <x:c r="AM681" s="33"/>
    </x:row>
    <x:row r="682">
      <x:c r="A682" s="33" t="n">
        <x:v>670</x:v>
      </x:c>
      <x:c r="B682" s="32" t="e">
        <x:f>IF(A682=1,Dashboard!$F$14,F681)</x:f>
      </x:c>
      <x:c r="C682" s="32" t="n">
        <x:f>0</x:f>
        <x:v>0</x:v>
      </x:c>
      <x:c r="D682" s="32" t="e">
        <x:f>IF(A682&lt;=Dashboard!$F$15,B682*Dashboard!$F$6,0)</x:f>
      </x:c>
      <x:c r="E682" s="32" t="e">
        <x:f>IF(A682&lt;=Dashboard!$F$15,MIN(Dashboard!$F$10,B682+D682),0)</x:f>
      </x:c>
      <x:c r="F682" s="32" t="e">
        <x:f>IF(A682&lt;=Dashboard!$F$15,MAX(0,B682-MAX(0,E682-D682)),0)</x:f>
      </x:c>
      <x:c r="G682" s="32" t="e">
        <x:f>IF(A682=1,D682,G681+D682)</x:f>
      </x:c>
      <x:c r="H682" s="32"/>
      <x:c r="I682" s="32" t="e">
        <x:f>IF(A682=1,Dashboard!$F$14,M681)</x:f>
      </x:c>
      <x:c r="J682" s="32" t="e">
        <x:f>IF(A682&lt;=Dashboard!$F$17,MIN(I682,$B$5),0)</x:f>
      </x:c>
      <x:c r="K682" s="32" t="e">
        <x:f>IF(A682&lt;=Dashboard!$F$17,MAX(0,I682-J682)*Dashboard!$F$6,0)</x:f>
      </x:c>
      <x:c r="L682" s="32" t="e">
        <x:f>IF(A682&lt;=Dashboard!$F$17,MIN(Dashboard!$F$10,MAX(0,I682-J682)+K682),0)</x:f>
      </x:c>
      <x:c r="M682" s="32" t="e">
        <x:f>IF(A682&lt;=Dashboard!$F$17,MAX(0,I682-J682-MAX(0,L682-K682)),0)</x:f>
      </x:c>
      <x:c r="N682" s="32" t="e">
        <x:f>IF(A682=1,K682,N681+K682)</x:f>
      </x:c>
      <x:c r="O682" s="32"/>
      <x:c r="P682" s="32" t="e">
        <x:f>IF(A682=1,Dashboard!$F$14,T681)</x:f>
      </x:c>
      <x:c r="Q682" s="32" t="e">
        <x:f>IF(A682&lt;=Dashboard!$F$17,MIN(P682,$B$6*52/12),0)</x:f>
      </x:c>
      <x:c r="R682" s="32" t="e">
        <x:f>IF(A682&lt;=Dashboard!$F$17,MAX(0,P682-Q682)*Dashboard!$F$6,0)</x:f>
      </x:c>
      <x:c r="S682" s="32" t="e">
        <x:f>IF(A682&lt;=Dashboard!$F$17,MIN(Dashboard!$F$10,MAX(0,P682-Q682)+R682),0)</x:f>
      </x:c>
      <x:c r="T682" s="32" t="e">
        <x:f>IF(A682&lt;=Dashboard!$F$17,MAX(0,P682-Q682-MAX(0,S682-R682)),0)</x:f>
      </x:c>
      <x:c r="U682" s="32" t="e">
        <x:f>IF(A682=1,R682,U681+R682)</x:f>
      </x:c>
      <x:c r="V682" s="32"/>
      <x:c r="W682" s="32" t="e">
        <x:f>IF(A682=1,Dashboard!$F$14,AA681)</x:f>
      </x:c>
      <x:c r="X682" s="32" t="e">
        <x:f>IF(AND(A682&lt;=Dashboard!$F$17,MOD(A682-1,12)=0),MIN(W682,$B$7),0)</x:f>
      </x:c>
      <x:c r="Y682" s="32" t="e">
        <x:f>IF(A682&lt;=Dashboard!$F$17,MAX(0,W682-X682)*Dashboard!$F$6,0)</x:f>
      </x:c>
      <x:c r="Z682" s="32" t="e">
        <x:f>IF(A682&lt;=Dashboard!$F$17,MIN(Dashboard!$F$10,MAX(0,W682-X682)+Y682),0)</x:f>
      </x:c>
      <x:c r="AA682" s="32" t="e">
        <x:f>IF(A682&lt;=Dashboard!$F$17,MAX(0,W682-X682-MAX(0,Z682-Y682)),0)</x:f>
      </x:c>
      <x:c r="AB682" s="32" t="e">
        <x:f>IF(A682=1,Y682,AB681+Y682)</x:f>
      </x:c>
      <x:c r="AC682" s="32"/>
      <x:c r="AD682" s="32" t="e">
        <x:f>IF(A682=1,MAX(0,Dashboard!$F$14-$B$8),AG681)</x:f>
      </x:c>
      <x:c r="AE682" s="32" t="n">
        <x:f>0</x:f>
        <x:v>0</x:v>
      </x:c>
      <x:c r="AF682" s="32" t="e">
        <x:f>IF(A682&lt;=Dashboard!$F$17,AD682*Dashboard!$F$6,0)</x:f>
      </x:c>
      <x:c r="AG682" s="32" t="e">
        <x:f>IF(A682&lt;=Dashboard!$F$17,MIN(Dashboard!$F$10,AD682+AF682),0)</x:f>
      </x:c>
      <x:c r="AH682" s="32" t="e">
        <x:f>IF(A682&lt;=Dashboard!$F$17,MAX(0,AD682-MAX(0,AG682-AF682)),0)</x:f>
      </x:c>
      <x:c r="AI682" s="32" t="e">
        <x:f>IF(A682=1,AF682,AI681+AF682)</x:f>
      </x:c>
      <x:c r="AJ682" s="33"/>
      <x:c r="AK682" s="33"/>
      <x:c r="AL682" s="33"/>
      <x:c r="AM682" s="33"/>
    </x:row>
    <x:row r="683">
      <x:c r="A683" s="33" t="n">
        <x:v>671</x:v>
      </x:c>
      <x:c r="B683" s="32" t="e">
        <x:f>IF(A683=1,Dashboard!$F$14,F682)</x:f>
      </x:c>
      <x:c r="C683" s="32" t="n">
        <x:f>0</x:f>
        <x:v>0</x:v>
      </x:c>
      <x:c r="D683" s="32" t="e">
        <x:f>IF(A683&lt;=Dashboard!$F$15,B683*Dashboard!$F$6,0)</x:f>
      </x:c>
      <x:c r="E683" s="32" t="e">
        <x:f>IF(A683&lt;=Dashboard!$F$15,MIN(Dashboard!$F$10,B683+D683),0)</x:f>
      </x:c>
      <x:c r="F683" s="32" t="e">
        <x:f>IF(A683&lt;=Dashboard!$F$15,MAX(0,B683-MAX(0,E683-D683)),0)</x:f>
      </x:c>
      <x:c r="G683" s="32" t="e">
        <x:f>IF(A683=1,D683,G682+D683)</x:f>
      </x:c>
      <x:c r="H683" s="32"/>
      <x:c r="I683" s="32" t="e">
        <x:f>IF(A683=1,Dashboard!$F$14,M682)</x:f>
      </x:c>
      <x:c r="J683" s="32" t="e">
        <x:f>IF(A683&lt;=Dashboard!$F$17,MIN(I683,$B$5),0)</x:f>
      </x:c>
      <x:c r="K683" s="32" t="e">
        <x:f>IF(A683&lt;=Dashboard!$F$17,MAX(0,I683-J683)*Dashboard!$F$6,0)</x:f>
      </x:c>
      <x:c r="L683" s="32" t="e">
        <x:f>IF(A683&lt;=Dashboard!$F$17,MIN(Dashboard!$F$10,MAX(0,I683-J683)+K683),0)</x:f>
      </x:c>
      <x:c r="M683" s="32" t="e">
        <x:f>IF(A683&lt;=Dashboard!$F$17,MAX(0,I683-J683-MAX(0,L683-K683)),0)</x:f>
      </x:c>
      <x:c r="N683" s="32" t="e">
        <x:f>IF(A683=1,K683,N682+K683)</x:f>
      </x:c>
      <x:c r="O683" s="32"/>
      <x:c r="P683" s="32" t="e">
        <x:f>IF(A683=1,Dashboard!$F$14,T682)</x:f>
      </x:c>
      <x:c r="Q683" s="32" t="e">
        <x:f>IF(A683&lt;=Dashboard!$F$17,MIN(P683,$B$6*52/12),0)</x:f>
      </x:c>
      <x:c r="R683" s="32" t="e">
        <x:f>IF(A683&lt;=Dashboard!$F$17,MAX(0,P683-Q683)*Dashboard!$F$6,0)</x:f>
      </x:c>
      <x:c r="S683" s="32" t="e">
        <x:f>IF(A683&lt;=Dashboard!$F$17,MIN(Dashboard!$F$10,MAX(0,P683-Q683)+R683),0)</x:f>
      </x:c>
      <x:c r="T683" s="32" t="e">
        <x:f>IF(A683&lt;=Dashboard!$F$17,MAX(0,P683-Q683-MAX(0,S683-R683)),0)</x:f>
      </x:c>
      <x:c r="U683" s="32" t="e">
        <x:f>IF(A683=1,R683,U682+R683)</x:f>
      </x:c>
      <x:c r="V683" s="32"/>
      <x:c r="W683" s="32" t="e">
        <x:f>IF(A683=1,Dashboard!$F$14,AA682)</x:f>
      </x:c>
      <x:c r="X683" s="32" t="e">
        <x:f>IF(AND(A683&lt;=Dashboard!$F$17,MOD(A683-1,12)=0),MIN(W683,$B$7),0)</x:f>
      </x:c>
      <x:c r="Y683" s="32" t="e">
        <x:f>IF(A683&lt;=Dashboard!$F$17,MAX(0,W683-X683)*Dashboard!$F$6,0)</x:f>
      </x:c>
      <x:c r="Z683" s="32" t="e">
        <x:f>IF(A683&lt;=Dashboard!$F$17,MIN(Dashboard!$F$10,MAX(0,W683-X683)+Y683),0)</x:f>
      </x:c>
      <x:c r="AA683" s="32" t="e">
        <x:f>IF(A683&lt;=Dashboard!$F$17,MAX(0,W683-X683-MAX(0,Z683-Y683)),0)</x:f>
      </x:c>
      <x:c r="AB683" s="32" t="e">
        <x:f>IF(A683=1,Y683,AB682+Y683)</x:f>
      </x:c>
      <x:c r="AC683" s="32"/>
      <x:c r="AD683" s="32" t="e">
        <x:f>IF(A683=1,MAX(0,Dashboard!$F$14-$B$8),AG682)</x:f>
      </x:c>
      <x:c r="AE683" s="32" t="n">
        <x:f>0</x:f>
        <x:v>0</x:v>
      </x:c>
      <x:c r="AF683" s="32" t="e">
        <x:f>IF(A683&lt;=Dashboard!$F$17,AD683*Dashboard!$F$6,0)</x:f>
      </x:c>
      <x:c r="AG683" s="32" t="e">
        <x:f>IF(A683&lt;=Dashboard!$F$17,MIN(Dashboard!$F$10,AD683+AF683),0)</x:f>
      </x:c>
      <x:c r="AH683" s="32" t="e">
        <x:f>IF(A683&lt;=Dashboard!$F$17,MAX(0,AD683-MAX(0,AG683-AF683)),0)</x:f>
      </x:c>
      <x:c r="AI683" s="32" t="e">
        <x:f>IF(A683=1,AF683,AI682+AF683)</x:f>
      </x:c>
      <x:c r="AJ683" s="33"/>
      <x:c r="AK683" s="33"/>
      <x:c r="AL683" s="33"/>
      <x:c r="AM683" s="33"/>
    </x:row>
    <x:row r="684">
      <x:c r="A684" s="33" t="n">
        <x:v>672</x:v>
      </x:c>
      <x:c r="B684" s="32" t="e">
        <x:f>IF(A684=1,Dashboard!$F$14,F683)</x:f>
      </x:c>
      <x:c r="C684" s="32" t="n">
        <x:f>0</x:f>
        <x:v>0</x:v>
      </x:c>
      <x:c r="D684" s="32" t="e">
        <x:f>IF(A684&lt;=Dashboard!$F$15,B684*Dashboard!$F$6,0)</x:f>
      </x:c>
      <x:c r="E684" s="32" t="e">
        <x:f>IF(A684&lt;=Dashboard!$F$15,MIN(Dashboard!$F$10,B684+D684),0)</x:f>
      </x:c>
      <x:c r="F684" s="32" t="e">
        <x:f>IF(A684&lt;=Dashboard!$F$15,MAX(0,B684-MAX(0,E684-D684)),0)</x:f>
      </x:c>
      <x:c r="G684" s="32" t="e">
        <x:f>IF(A684=1,D684,G683+D684)</x:f>
      </x:c>
      <x:c r="H684" s="32"/>
      <x:c r="I684" s="32" t="e">
        <x:f>IF(A684=1,Dashboard!$F$14,M683)</x:f>
      </x:c>
      <x:c r="J684" s="32" t="e">
        <x:f>IF(A684&lt;=Dashboard!$F$17,MIN(I684,$B$5),0)</x:f>
      </x:c>
      <x:c r="K684" s="32" t="e">
        <x:f>IF(A684&lt;=Dashboard!$F$17,MAX(0,I684-J684)*Dashboard!$F$6,0)</x:f>
      </x:c>
      <x:c r="L684" s="32" t="e">
        <x:f>IF(A684&lt;=Dashboard!$F$17,MIN(Dashboard!$F$10,MAX(0,I684-J684)+K684),0)</x:f>
      </x:c>
      <x:c r="M684" s="32" t="e">
        <x:f>IF(A684&lt;=Dashboard!$F$17,MAX(0,I684-J684-MAX(0,L684-K684)),0)</x:f>
      </x:c>
      <x:c r="N684" s="32" t="e">
        <x:f>IF(A684=1,K684,N683+K684)</x:f>
      </x:c>
      <x:c r="O684" s="32"/>
      <x:c r="P684" s="32" t="e">
        <x:f>IF(A684=1,Dashboard!$F$14,T683)</x:f>
      </x:c>
      <x:c r="Q684" s="32" t="e">
        <x:f>IF(A684&lt;=Dashboard!$F$17,MIN(P684,$B$6*52/12),0)</x:f>
      </x:c>
      <x:c r="R684" s="32" t="e">
        <x:f>IF(A684&lt;=Dashboard!$F$17,MAX(0,P684-Q684)*Dashboard!$F$6,0)</x:f>
      </x:c>
      <x:c r="S684" s="32" t="e">
        <x:f>IF(A684&lt;=Dashboard!$F$17,MIN(Dashboard!$F$10,MAX(0,P684-Q684)+R684),0)</x:f>
      </x:c>
      <x:c r="T684" s="32" t="e">
        <x:f>IF(A684&lt;=Dashboard!$F$17,MAX(0,P684-Q684-MAX(0,S684-R684)),0)</x:f>
      </x:c>
      <x:c r="U684" s="32" t="e">
        <x:f>IF(A684=1,R684,U683+R684)</x:f>
      </x:c>
      <x:c r="V684" s="32"/>
      <x:c r="W684" s="32" t="e">
        <x:f>IF(A684=1,Dashboard!$F$14,AA683)</x:f>
      </x:c>
      <x:c r="X684" s="32" t="e">
        <x:f>IF(AND(A684&lt;=Dashboard!$F$17,MOD(A684-1,12)=0),MIN(W684,$B$7),0)</x:f>
      </x:c>
      <x:c r="Y684" s="32" t="e">
        <x:f>IF(A684&lt;=Dashboard!$F$17,MAX(0,W684-X684)*Dashboard!$F$6,0)</x:f>
      </x:c>
      <x:c r="Z684" s="32" t="e">
        <x:f>IF(A684&lt;=Dashboard!$F$17,MIN(Dashboard!$F$10,MAX(0,W684-X684)+Y684),0)</x:f>
      </x:c>
      <x:c r="AA684" s="32" t="e">
        <x:f>IF(A684&lt;=Dashboard!$F$17,MAX(0,W684-X684-MAX(0,Z684-Y684)),0)</x:f>
      </x:c>
      <x:c r="AB684" s="32" t="e">
        <x:f>IF(A684=1,Y684,AB683+Y684)</x:f>
      </x:c>
      <x:c r="AC684" s="32"/>
      <x:c r="AD684" s="32" t="e">
        <x:f>IF(A684=1,MAX(0,Dashboard!$F$14-$B$8),AG683)</x:f>
      </x:c>
      <x:c r="AE684" s="32" t="n">
        <x:f>0</x:f>
        <x:v>0</x:v>
      </x:c>
      <x:c r="AF684" s="32" t="e">
        <x:f>IF(A684&lt;=Dashboard!$F$17,AD684*Dashboard!$F$6,0)</x:f>
      </x:c>
      <x:c r="AG684" s="32" t="e">
        <x:f>IF(A684&lt;=Dashboard!$F$17,MIN(Dashboard!$F$10,AD684+AF684),0)</x:f>
      </x:c>
      <x:c r="AH684" s="32" t="e">
        <x:f>IF(A684&lt;=Dashboard!$F$17,MAX(0,AD684-MAX(0,AG684-AF684)),0)</x:f>
      </x:c>
      <x:c r="AI684" s="32" t="e">
        <x:f>IF(A684=1,AF684,AI683+AF684)</x:f>
      </x:c>
      <x:c r="AJ684" s="33"/>
      <x:c r="AK684" s="33"/>
      <x:c r="AL684" s="33"/>
      <x:c r="AM684" s="33"/>
    </x:row>
    <x:row r="685">
      <x:c r="A685" s="33" t="n">
        <x:v>673</x:v>
      </x:c>
      <x:c r="B685" s="32" t="e">
        <x:f>IF(A685=1,Dashboard!$F$14,F684)</x:f>
      </x:c>
      <x:c r="C685" s="32" t="n">
        <x:f>0</x:f>
        <x:v>0</x:v>
      </x:c>
      <x:c r="D685" s="32" t="e">
        <x:f>IF(A685&lt;=Dashboard!$F$15,B685*Dashboard!$F$6,0)</x:f>
      </x:c>
      <x:c r="E685" s="32" t="e">
        <x:f>IF(A685&lt;=Dashboard!$F$15,MIN(Dashboard!$F$10,B685+D685),0)</x:f>
      </x:c>
      <x:c r="F685" s="32" t="e">
        <x:f>IF(A685&lt;=Dashboard!$F$15,MAX(0,B685-MAX(0,E685-D685)),0)</x:f>
      </x:c>
      <x:c r="G685" s="32" t="e">
        <x:f>IF(A685=1,D685,G684+D685)</x:f>
      </x:c>
      <x:c r="H685" s="32"/>
      <x:c r="I685" s="32" t="e">
        <x:f>IF(A685=1,Dashboard!$F$14,M684)</x:f>
      </x:c>
      <x:c r="J685" s="32" t="e">
        <x:f>IF(A685&lt;=Dashboard!$F$17,MIN(I685,$B$5),0)</x:f>
      </x:c>
      <x:c r="K685" s="32" t="e">
        <x:f>IF(A685&lt;=Dashboard!$F$17,MAX(0,I685-J685)*Dashboard!$F$6,0)</x:f>
      </x:c>
      <x:c r="L685" s="32" t="e">
        <x:f>IF(A685&lt;=Dashboard!$F$17,MIN(Dashboard!$F$10,MAX(0,I685-J685)+K685),0)</x:f>
      </x:c>
      <x:c r="M685" s="32" t="e">
        <x:f>IF(A685&lt;=Dashboard!$F$17,MAX(0,I685-J685-MAX(0,L685-K685)),0)</x:f>
      </x:c>
      <x:c r="N685" s="32" t="e">
        <x:f>IF(A685=1,K685,N684+K685)</x:f>
      </x:c>
      <x:c r="O685" s="32"/>
      <x:c r="P685" s="32" t="e">
        <x:f>IF(A685=1,Dashboard!$F$14,T684)</x:f>
      </x:c>
      <x:c r="Q685" s="32" t="e">
        <x:f>IF(A685&lt;=Dashboard!$F$17,MIN(P685,$B$6*52/12),0)</x:f>
      </x:c>
      <x:c r="R685" s="32" t="e">
        <x:f>IF(A685&lt;=Dashboard!$F$17,MAX(0,P685-Q685)*Dashboard!$F$6,0)</x:f>
      </x:c>
      <x:c r="S685" s="32" t="e">
        <x:f>IF(A685&lt;=Dashboard!$F$17,MIN(Dashboard!$F$10,MAX(0,P685-Q685)+R685),0)</x:f>
      </x:c>
      <x:c r="T685" s="32" t="e">
        <x:f>IF(A685&lt;=Dashboard!$F$17,MAX(0,P685-Q685-MAX(0,S685-R685)),0)</x:f>
      </x:c>
      <x:c r="U685" s="32" t="e">
        <x:f>IF(A685=1,R685,U684+R685)</x:f>
      </x:c>
      <x:c r="V685" s="32"/>
      <x:c r="W685" s="32" t="e">
        <x:f>IF(A685=1,Dashboard!$F$14,AA684)</x:f>
      </x:c>
      <x:c r="X685" s="32" t="e">
        <x:f>IF(AND(A685&lt;=Dashboard!$F$17,MOD(A685-1,12)=0),MIN(W685,$B$7),0)</x:f>
      </x:c>
      <x:c r="Y685" s="32" t="e">
        <x:f>IF(A685&lt;=Dashboard!$F$17,MAX(0,W685-X685)*Dashboard!$F$6,0)</x:f>
      </x:c>
      <x:c r="Z685" s="32" t="e">
        <x:f>IF(A685&lt;=Dashboard!$F$17,MIN(Dashboard!$F$10,MAX(0,W685-X685)+Y685),0)</x:f>
      </x:c>
      <x:c r="AA685" s="32" t="e">
        <x:f>IF(A685&lt;=Dashboard!$F$17,MAX(0,W685-X685-MAX(0,Z685-Y685)),0)</x:f>
      </x:c>
      <x:c r="AB685" s="32" t="e">
        <x:f>IF(A685=1,Y685,AB684+Y685)</x:f>
      </x:c>
      <x:c r="AC685" s="32"/>
      <x:c r="AD685" s="32" t="e">
        <x:f>IF(A685=1,MAX(0,Dashboard!$F$14-$B$8),AG684)</x:f>
      </x:c>
      <x:c r="AE685" s="32" t="n">
        <x:f>0</x:f>
        <x:v>0</x:v>
      </x:c>
      <x:c r="AF685" s="32" t="e">
        <x:f>IF(A685&lt;=Dashboard!$F$17,AD685*Dashboard!$F$6,0)</x:f>
      </x:c>
      <x:c r="AG685" s="32" t="e">
        <x:f>IF(A685&lt;=Dashboard!$F$17,MIN(Dashboard!$F$10,AD685+AF685),0)</x:f>
      </x:c>
      <x:c r="AH685" s="32" t="e">
        <x:f>IF(A685&lt;=Dashboard!$F$17,MAX(0,AD685-MAX(0,AG685-AF685)),0)</x:f>
      </x:c>
      <x:c r="AI685" s="32" t="e">
        <x:f>IF(A685=1,AF685,AI684+AF685)</x:f>
      </x:c>
      <x:c r="AJ685" s="33"/>
      <x:c r="AK685" s="33"/>
      <x:c r="AL685" s="33"/>
      <x:c r="AM685" s="33"/>
    </x:row>
    <x:row r="686">
      <x:c r="A686" s="33" t="n">
        <x:v>674</x:v>
      </x:c>
      <x:c r="B686" s="32" t="e">
        <x:f>IF(A686=1,Dashboard!$F$14,F685)</x:f>
      </x:c>
      <x:c r="C686" s="32" t="n">
        <x:f>0</x:f>
        <x:v>0</x:v>
      </x:c>
      <x:c r="D686" s="32" t="e">
        <x:f>IF(A686&lt;=Dashboard!$F$15,B686*Dashboard!$F$6,0)</x:f>
      </x:c>
      <x:c r="E686" s="32" t="e">
        <x:f>IF(A686&lt;=Dashboard!$F$15,MIN(Dashboard!$F$10,B686+D686),0)</x:f>
      </x:c>
      <x:c r="F686" s="32" t="e">
        <x:f>IF(A686&lt;=Dashboard!$F$15,MAX(0,B686-MAX(0,E686-D686)),0)</x:f>
      </x:c>
      <x:c r="G686" s="32" t="e">
        <x:f>IF(A686=1,D686,G685+D686)</x:f>
      </x:c>
      <x:c r="H686" s="32"/>
      <x:c r="I686" s="32" t="e">
        <x:f>IF(A686=1,Dashboard!$F$14,M685)</x:f>
      </x:c>
      <x:c r="J686" s="32" t="e">
        <x:f>IF(A686&lt;=Dashboard!$F$17,MIN(I686,$B$5),0)</x:f>
      </x:c>
      <x:c r="K686" s="32" t="e">
        <x:f>IF(A686&lt;=Dashboard!$F$17,MAX(0,I686-J686)*Dashboard!$F$6,0)</x:f>
      </x:c>
      <x:c r="L686" s="32" t="e">
        <x:f>IF(A686&lt;=Dashboard!$F$17,MIN(Dashboard!$F$10,MAX(0,I686-J686)+K686),0)</x:f>
      </x:c>
      <x:c r="M686" s="32" t="e">
        <x:f>IF(A686&lt;=Dashboard!$F$17,MAX(0,I686-J686-MAX(0,L686-K686)),0)</x:f>
      </x:c>
      <x:c r="N686" s="32" t="e">
        <x:f>IF(A686=1,K686,N685+K686)</x:f>
      </x:c>
      <x:c r="O686" s="32"/>
      <x:c r="P686" s="32" t="e">
        <x:f>IF(A686=1,Dashboard!$F$14,T685)</x:f>
      </x:c>
      <x:c r="Q686" s="32" t="e">
        <x:f>IF(A686&lt;=Dashboard!$F$17,MIN(P686,$B$6*52/12),0)</x:f>
      </x:c>
      <x:c r="R686" s="32" t="e">
        <x:f>IF(A686&lt;=Dashboard!$F$17,MAX(0,P686-Q686)*Dashboard!$F$6,0)</x:f>
      </x:c>
      <x:c r="S686" s="32" t="e">
        <x:f>IF(A686&lt;=Dashboard!$F$17,MIN(Dashboard!$F$10,MAX(0,P686-Q686)+R686),0)</x:f>
      </x:c>
      <x:c r="T686" s="32" t="e">
        <x:f>IF(A686&lt;=Dashboard!$F$17,MAX(0,P686-Q686-MAX(0,S686-R686)),0)</x:f>
      </x:c>
      <x:c r="U686" s="32" t="e">
        <x:f>IF(A686=1,R686,U685+R686)</x:f>
      </x:c>
      <x:c r="V686" s="32"/>
      <x:c r="W686" s="32" t="e">
        <x:f>IF(A686=1,Dashboard!$F$14,AA685)</x:f>
      </x:c>
      <x:c r="X686" s="32" t="e">
        <x:f>IF(AND(A686&lt;=Dashboard!$F$17,MOD(A686-1,12)=0),MIN(W686,$B$7),0)</x:f>
      </x:c>
      <x:c r="Y686" s="32" t="e">
        <x:f>IF(A686&lt;=Dashboard!$F$17,MAX(0,W686-X686)*Dashboard!$F$6,0)</x:f>
      </x:c>
      <x:c r="Z686" s="32" t="e">
        <x:f>IF(A686&lt;=Dashboard!$F$17,MIN(Dashboard!$F$10,MAX(0,W686-X686)+Y686),0)</x:f>
      </x:c>
      <x:c r="AA686" s="32" t="e">
        <x:f>IF(A686&lt;=Dashboard!$F$17,MAX(0,W686-X686-MAX(0,Z686-Y686)),0)</x:f>
      </x:c>
      <x:c r="AB686" s="32" t="e">
        <x:f>IF(A686=1,Y686,AB685+Y686)</x:f>
      </x:c>
      <x:c r="AC686" s="32"/>
      <x:c r="AD686" s="32" t="e">
        <x:f>IF(A686=1,MAX(0,Dashboard!$F$14-$B$8),AG685)</x:f>
      </x:c>
      <x:c r="AE686" s="32" t="n">
        <x:f>0</x:f>
        <x:v>0</x:v>
      </x:c>
      <x:c r="AF686" s="32" t="e">
        <x:f>IF(A686&lt;=Dashboard!$F$17,AD686*Dashboard!$F$6,0)</x:f>
      </x:c>
      <x:c r="AG686" s="32" t="e">
        <x:f>IF(A686&lt;=Dashboard!$F$17,MIN(Dashboard!$F$10,AD686+AF686),0)</x:f>
      </x:c>
      <x:c r="AH686" s="32" t="e">
        <x:f>IF(A686&lt;=Dashboard!$F$17,MAX(0,AD686-MAX(0,AG686-AF686)),0)</x:f>
      </x:c>
      <x:c r="AI686" s="32" t="e">
        <x:f>IF(A686=1,AF686,AI685+AF686)</x:f>
      </x:c>
      <x:c r="AJ686" s="33"/>
      <x:c r="AK686" s="33"/>
      <x:c r="AL686" s="33"/>
      <x:c r="AM686" s="33"/>
    </x:row>
    <x:row r="687">
      <x:c r="A687" s="33" t="n">
        <x:v>675</x:v>
      </x:c>
      <x:c r="B687" s="32" t="e">
        <x:f>IF(A687=1,Dashboard!$F$14,F686)</x:f>
      </x:c>
      <x:c r="C687" s="32" t="n">
        <x:f>0</x:f>
        <x:v>0</x:v>
      </x:c>
      <x:c r="D687" s="32" t="e">
        <x:f>IF(A687&lt;=Dashboard!$F$15,B687*Dashboard!$F$6,0)</x:f>
      </x:c>
      <x:c r="E687" s="32" t="e">
        <x:f>IF(A687&lt;=Dashboard!$F$15,MIN(Dashboard!$F$10,B687+D687),0)</x:f>
      </x:c>
      <x:c r="F687" s="32" t="e">
        <x:f>IF(A687&lt;=Dashboard!$F$15,MAX(0,B687-MAX(0,E687-D687)),0)</x:f>
      </x:c>
      <x:c r="G687" s="32" t="e">
        <x:f>IF(A687=1,D687,G686+D687)</x:f>
      </x:c>
      <x:c r="H687" s="32"/>
      <x:c r="I687" s="32" t="e">
        <x:f>IF(A687=1,Dashboard!$F$14,M686)</x:f>
      </x:c>
      <x:c r="J687" s="32" t="e">
        <x:f>IF(A687&lt;=Dashboard!$F$17,MIN(I687,$B$5),0)</x:f>
      </x:c>
      <x:c r="K687" s="32" t="e">
        <x:f>IF(A687&lt;=Dashboard!$F$17,MAX(0,I687-J687)*Dashboard!$F$6,0)</x:f>
      </x:c>
      <x:c r="L687" s="32" t="e">
        <x:f>IF(A687&lt;=Dashboard!$F$17,MIN(Dashboard!$F$10,MAX(0,I687-J687)+K687),0)</x:f>
      </x:c>
      <x:c r="M687" s="32" t="e">
        <x:f>IF(A687&lt;=Dashboard!$F$17,MAX(0,I687-J687-MAX(0,L687-K687)),0)</x:f>
      </x:c>
      <x:c r="N687" s="32" t="e">
        <x:f>IF(A687=1,K687,N686+K687)</x:f>
      </x:c>
      <x:c r="O687" s="32"/>
      <x:c r="P687" s="32" t="e">
        <x:f>IF(A687=1,Dashboard!$F$14,T686)</x:f>
      </x:c>
      <x:c r="Q687" s="32" t="e">
        <x:f>IF(A687&lt;=Dashboard!$F$17,MIN(P687,$B$6*52/12),0)</x:f>
      </x:c>
      <x:c r="R687" s="32" t="e">
        <x:f>IF(A687&lt;=Dashboard!$F$17,MAX(0,P687-Q687)*Dashboard!$F$6,0)</x:f>
      </x:c>
      <x:c r="S687" s="32" t="e">
        <x:f>IF(A687&lt;=Dashboard!$F$17,MIN(Dashboard!$F$10,MAX(0,P687-Q687)+R687),0)</x:f>
      </x:c>
      <x:c r="T687" s="32" t="e">
        <x:f>IF(A687&lt;=Dashboard!$F$17,MAX(0,P687-Q687-MAX(0,S687-R687)),0)</x:f>
      </x:c>
      <x:c r="U687" s="32" t="e">
        <x:f>IF(A687=1,R687,U686+R687)</x:f>
      </x:c>
      <x:c r="V687" s="32"/>
      <x:c r="W687" s="32" t="e">
        <x:f>IF(A687=1,Dashboard!$F$14,AA686)</x:f>
      </x:c>
      <x:c r="X687" s="32" t="e">
        <x:f>IF(AND(A687&lt;=Dashboard!$F$17,MOD(A687-1,12)=0),MIN(W687,$B$7),0)</x:f>
      </x:c>
      <x:c r="Y687" s="32" t="e">
        <x:f>IF(A687&lt;=Dashboard!$F$17,MAX(0,W687-X687)*Dashboard!$F$6,0)</x:f>
      </x:c>
      <x:c r="Z687" s="32" t="e">
        <x:f>IF(A687&lt;=Dashboard!$F$17,MIN(Dashboard!$F$10,MAX(0,W687-X687)+Y687),0)</x:f>
      </x:c>
      <x:c r="AA687" s="32" t="e">
        <x:f>IF(A687&lt;=Dashboard!$F$17,MAX(0,W687-X687-MAX(0,Z687-Y687)),0)</x:f>
      </x:c>
      <x:c r="AB687" s="32" t="e">
        <x:f>IF(A687=1,Y687,AB686+Y687)</x:f>
      </x:c>
      <x:c r="AC687" s="32"/>
      <x:c r="AD687" s="32" t="e">
        <x:f>IF(A687=1,MAX(0,Dashboard!$F$14-$B$8),AG686)</x:f>
      </x:c>
      <x:c r="AE687" s="32" t="n">
        <x:f>0</x:f>
        <x:v>0</x:v>
      </x:c>
      <x:c r="AF687" s="32" t="e">
        <x:f>IF(A687&lt;=Dashboard!$F$17,AD687*Dashboard!$F$6,0)</x:f>
      </x:c>
      <x:c r="AG687" s="32" t="e">
        <x:f>IF(A687&lt;=Dashboard!$F$17,MIN(Dashboard!$F$10,AD687+AF687),0)</x:f>
      </x:c>
      <x:c r="AH687" s="32" t="e">
        <x:f>IF(A687&lt;=Dashboard!$F$17,MAX(0,AD687-MAX(0,AG687-AF687)),0)</x:f>
      </x:c>
      <x:c r="AI687" s="32" t="e">
        <x:f>IF(A687=1,AF687,AI686+AF687)</x:f>
      </x:c>
      <x:c r="AJ687" s="33"/>
      <x:c r="AK687" s="33"/>
      <x:c r="AL687" s="33"/>
      <x:c r="AM687" s="33"/>
    </x:row>
    <x:row r="688">
      <x:c r="A688" s="33" t="n">
        <x:v>676</x:v>
      </x:c>
      <x:c r="B688" s="32" t="e">
        <x:f>IF(A688=1,Dashboard!$F$14,F687)</x:f>
      </x:c>
      <x:c r="C688" s="32" t="n">
        <x:f>0</x:f>
        <x:v>0</x:v>
      </x:c>
      <x:c r="D688" s="32" t="e">
        <x:f>IF(A688&lt;=Dashboard!$F$15,B688*Dashboard!$F$6,0)</x:f>
      </x:c>
      <x:c r="E688" s="32" t="e">
        <x:f>IF(A688&lt;=Dashboard!$F$15,MIN(Dashboard!$F$10,B688+D688),0)</x:f>
      </x:c>
      <x:c r="F688" s="32" t="e">
        <x:f>IF(A688&lt;=Dashboard!$F$15,MAX(0,B688-MAX(0,E688-D688)),0)</x:f>
      </x:c>
      <x:c r="G688" s="32" t="e">
        <x:f>IF(A688=1,D688,G687+D688)</x:f>
      </x:c>
      <x:c r="H688" s="32"/>
      <x:c r="I688" s="32" t="e">
        <x:f>IF(A688=1,Dashboard!$F$14,M687)</x:f>
      </x:c>
      <x:c r="J688" s="32" t="e">
        <x:f>IF(A688&lt;=Dashboard!$F$17,MIN(I688,$B$5),0)</x:f>
      </x:c>
      <x:c r="K688" s="32" t="e">
        <x:f>IF(A688&lt;=Dashboard!$F$17,MAX(0,I688-J688)*Dashboard!$F$6,0)</x:f>
      </x:c>
      <x:c r="L688" s="32" t="e">
        <x:f>IF(A688&lt;=Dashboard!$F$17,MIN(Dashboard!$F$10,MAX(0,I688-J688)+K688),0)</x:f>
      </x:c>
      <x:c r="M688" s="32" t="e">
        <x:f>IF(A688&lt;=Dashboard!$F$17,MAX(0,I688-J688-MAX(0,L688-K688)),0)</x:f>
      </x:c>
      <x:c r="N688" s="32" t="e">
        <x:f>IF(A688=1,K688,N687+K688)</x:f>
      </x:c>
      <x:c r="O688" s="32"/>
      <x:c r="P688" s="32" t="e">
        <x:f>IF(A688=1,Dashboard!$F$14,T687)</x:f>
      </x:c>
      <x:c r="Q688" s="32" t="e">
        <x:f>IF(A688&lt;=Dashboard!$F$17,MIN(P688,$B$6*52/12),0)</x:f>
      </x:c>
      <x:c r="R688" s="32" t="e">
        <x:f>IF(A688&lt;=Dashboard!$F$17,MAX(0,P688-Q688)*Dashboard!$F$6,0)</x:f>
      </x:c>
      <x:c r="S688" s="32" t="e">
        <x:f>IF(A688&lt;=Dashboard!$F$17,MIN(Dashboard!$F$10,MAX(0,P688-Q688)+R688),0)</x:f>
      </x:c>
      <x:c r="T688" s="32" t="e">
        <x:f>IF(A688&lt;=Dashboard!$F$17,MAX(0,P688-Q688-MAX(0,S688-R688)),0)</x:f>
      </x:c>
      <x:c r="U688" s="32" t="e">
        <x:f>IF(A688=1,R688,U687+R688)</x:f>
      </x:c>
      <x:c r="V688" s="32"/>
      <x:c r="W688" s="32" t="e">
        <x:f>IF(A688=1,Dashboard!$F$14,AA687)</x:f>
      </x:c>
      <x:c r="X688" s="32" t="e">
        <x:f>IF(AND(A688&lt;=Dashboard!$F$17,MOD(A688-1,12)=0),MIN(W688,$B$7),0)</x:f>
      </x:c>
      <x:c r="Y688" s="32" t="e">
        <x:f>IF(A688&lt;=Dashboard!$F$17,MAX(0,W688-X688)*Dashboard!$F$6,0)</x:f>
      </x:c>
      <x:c r="Z688" s="32" t="e">
        <x:f>IF(A688&lt;=Dashboard!$F$17,MIN(Dashboard!$F$10,MAX(0,W688-X688)+Y688),0)</x:f>
      </x:c>
      <x:c r="AA688" s="32" t="e">
        <x:f>IF(A688&lt;=Dashboard!$F$17,MAX(0,W688-X688-MAX(0,Z688-Y688)),0)</x:f>
      </x:c>
      <x:c r="AB688" s="32" t="e">
        <x:f>IF(A688=1,Y688,AB687+Y688)</x:f>
      </x:c>
      <x:c r="AC688" s="32"/>
      <x:c r="AD688" s="32" t="e">
        <x:f>IF(A688=1,MAX(0,Dashboard!$F$14-$B$8),AG687)</x:f>
      </x:c>
      <x:c r="AE688" s="32" t="n">
        <x:f>0</x:f>
        <x:v>0</x:v>
      </x:c>
      <x:c r="AF688" s="32" t="e">
        <x:f>IF(A688&lt;=Dashboard!$F$17,AD688*Dashboard!$F$6,0)</x:f>
      </x:c>
      <x:c r="AG688" s="32" t="e">
        <x:f>IF(A688&lt;=Dashboard!$F$17,MIN(Dashboard!$F$10,AD688+AF688),0)</x:f>
      </x:c>
      <x:c r="AH688" s="32" t="e">
        <x:f>IF(A688&lt;=Dashboard!$F$17,MAX(0,AD688-MAX(0,AG688-AF688)),0)</x:f>
      </x:c>
      <x:c r="AI688" s="32" t="e">
        <x:f>IF(A688=1,AF688,AI687+AF688)</x:f>
      </x:c>
      <x:c r="AJ688" s="33"/>
      <x:c r="AK688" s="33"/>
      <x:c r="AL688" s="33"/>
      <x:c r="AM688" s="33"/>
    </x:row>
    <x:row r="689">
      <x:c r="A689" s="33" t="n">
        <x:v>677</x:v>
      </x:c>
      <x:c r="B689" s="32" t="e">
        <x:f>IF(A689=1,Dashboard!$F$14,F688)</x:f>
      </x:c>
      <x:c r="C689" s="32" t="n">
        <x:f>0</x:f>
        <x:v>0</x:v>
      </x:c>
      <x:c r="D689" s="32" t="e">
        <x:f>IF(A689&lt;=Dashboard!$F$15,B689*Dashboard!$F$6,0)</x:f>
      </x:c>
      <x:c r="E689" s="32" t="e">
        <x:f>IF(A689&lt;=Dashboard!$F$15,MIN(Dashboard!$F$10,B689+D689),0)</x:f>
      </x:c>
      <x:c r="F689" s="32" t="e">
        <x:f>IF(A689&lt;=Dashboard!$F$15,MAX(0,B689-MAX(0,E689-D689)),0)</x:f>
      </x:c>
      <x:c r="G689" s="32" t="e">
        <x:f>IF(A689=1,D689,G688+D689)</x:f>
      </x:c>
      <x:c r="H689" s="32"/>
      <x:c r="I689" s="32" t="e">
        <x:f>IF(A689=1,Dashboard!$F$14,M688)</x:f>
      </x:c>
      <x:c r="J689" s="32" t="e">
        <x:f>IF(A689&lt;=Dashboard!$F$17,MIN(I689,$B$5),0)</x:f>
      </x:c>
      <x:c r="K689" s="32" t="e">
        <x:f>IF(A689&lt;=Dashboard!$F$17,MAX(0,I689-J689)*Dashboard!$F$6,0)</x:f>
      </x:c>
      <x:c r="L689" s="32" t="e">
        <x:f>IF(A689&lt;=Dashboard!$F$17,MIN(Dashboard!$F$10,MAX(0,I689-J689)+K689),0)</x:f>
      </x:c>
      <x:c r="M689" s="32" t="e">
        <x:f>IF(A689&lt;=Dashboard!$F$17,MAX(0,I689-J689-MAX(0,L689-K689)),0)</x:f>
      </x:c>
      <x:c r="N689" s="32" t="e">
        <x:f>IF(A689=1,K689,N688+K689)</x:f>
      </x:c>
      <x:c r="O689" s="32"/>
      <x:c r="P689" s="32" t="e">
        <x:f>IF(A689=1,Dashboard!$F$14,T688)</x:f>
      </x:c>
      <x:c r="Q689" s="32" t="e">
        <x:f>IF(A689&lt;=Dashboard!$F$17,MIN(P689,$B$6*52/12),0)</x:f>
      </x:c>
      <x:c r="R689" s="32" t="e">
        <x:f>IF(A689&lt;=Dashboard!$F$17,MAX(0,P689-Q689)*Dashboard!$F$6,0)</x:f>
      </x:c>
      <x:c r="S689" s="32" t="e">
        <x:f>IF(A689&lt;=Dashboard!$F$17,MIN(Dashboard!$F$10,MAX(0,P689-Q689)+R689),0)</x:f>
      </x:c>
      <x:c r="T689" s="32" t="e">
        <x:f>IF(A689&lt;=Dashboard!$F$17,MAX(0,P689-Q689-MAX(0,S689-R689)),0)</x:f>
      </x:c>
      <x:c r="U689" s="32" t="e">
        <x:f>IF(A689=1,R689,U688+R689)</x:f>
      </x:c>
      <x:c r="V689" s="32"/>
      <x:c r="W689" s="32" t="e">
        <x:f>IF(A689=1,Dashboard!$F$14,AA688)</x:f>
      </x:c>
      <x:c r="X689" s="32" t="e">
        <x:f>IF(AND(A689&lt;=Dashboard!$F$17,MOD(A689-1,12)=0),MIN(W689,$B$7),0)</x:f>
      </x:c>
      <x:c r="Y689" s="32" t="e">
        <x:f>IF(A689&lt;=Dashboard!$F$17,MAX(0,W689-X689)*Dashboard!$F$6,0)</x:f>
      </x:c>
      <x:c r="Z689" s="32" t="e">
        <x:f>IF(A689&lt;=Dashboard!$F$17,MIN(Dashboard!$F$10,MAX(0,W689-X689)+Y689),0)</x:f>
      </x:c>
      <x:c r="AA689" s="32" t="e">
        <x:f>IF(A689&lt;=Dashboard!$F$17,MAX(0,W689-X689-MAX(0,Z689-Y689)),0)</x:f>
      </x:c>
      <x:c r="AB689" s="32" t="e">
        <x:f>IF(A689=1,Y689,AB688+Y689)</x:f>
      </x:c>
      <x:c r="AC689" s="32"/>
      <x:c r="AD689" s="32" t="e">
        <x:f>IF(A689=1,MAX(0,Dashboard!$F$14-$B$8),AG688)</x:f>
      </x:c>
      <x:c r="AE689" s="32" t="n">
        <x:f>0</x:f>
        <x:v>0</x:v>
      </x:c>
      <x:c r="AF689" s="32" t="e">
        <x:f>IF(A689&lt;=Dashboard!$F$17,AD689*Dashboard!$F$6,0)</x:f>
      </x:c>
      <x:c r="AG689" s="32" t="e">
        <x:f>IF(A689&lt;=Dashboard!$F$17,MIN(Dashboard!$F$10,AD689+AF689),0)</x:f>
      </x:c>
      <x:c r="AH689" s="32" t="e">
        <x:f>IF(A689&lt;=Dashboard!$F$17,MAX(0,AD689-MAX(0,AG689-AF689)),0)</x:f>
      </x:c>
      <x:c r="AI689" s="32" t="e">
        <x:f>IF(A689=1,AF689,AI688+AF689)</x:f>
      </x:c>
      <x:c r="AJ689" s="33"/>
      <x:c r="AK689" s="33"/>
      <x:c r="AL689" s="33"/>
      <x:c r="AM689" s="33"/>
    </x:row>
    <x:row r="690">
      <x:c r="A690" s="33" t="n">
        <x:v>678</x:v>
      </x:c>
      <x:c r="B690" s="32" t="e">
        <x:f>IF(A690=1,Dashboard!$F$14,F689)</x:f>
      </x:c>
      <x:c r="C690" s="32" t="n">
        <x:f>0</x:f>
        <x:v>0</x:v>
      </x:c>
      <x:c r="D690" s="32" t="e">
        <x:f>IF(A690&lt;=Dashboard!$F$15,B690*Dashboard!$F$6,0)</x:f>
      </x:c>
      <x:c r="E690" s="32" t="e">
        <x:f>IF(A690&lt;=Dashboard!$F$15,MIN(Dashboard!$F$10,B690+D690),0)</x:f>
      </x:c>
      <x:c r="F690" s="32" t="e">
        <x:f>IF(A690&lt;=Dashboard!$F$15,MAX(0,B690-MAX(0,E690-D690)),0)</x:f>
      </x:c>
      <x:c r="G690" s="32" t="e">
        <x:f>IF(A690=1,D690,G689+D690)</x:f>
      </x:c>
      <x:c r="H690" s="32"/>
      <x:c r="I690" s="32" t="e">
        <x:f>IF(A690=1,Dashboard!$F$14,M689)</x:f>
      </x:c>
      <x:c r="J690" s="32" t="e">
        <x:f>IF(A690&lt;=Dashboard!$F$17,MIN(I690,$B$5),0)</x:f>
      </x:c>
      <x:c r="K690" s="32" t="e">
        <x:f>IF(A690&lt;=Dashboard!$F$17,MAX(0,I690-J690)*Dashboard!$F$6,0)</x:f>
      </x:c>
      <x:c r="L690" s="32" t="e">
        <x:f>IF(A690&lt;=Dashboard!$F$17,MIN(Dashboard!$F$10,MAX(0,I690-J690)+K690),0)</x:f>
      </x:c>
      <x:c r="M690" s="32" t="e">
        <x:f>IF(A690&lt;=Dashboard!$F$17,MAX(0,I690-J690-MAX(0,L690-K690)),0)</x:f>
      </x:c>
      <x:c r="N690" s="32" t="e">
        <x:f>IF(A690=1,K690,N689+K690)</x:f>
      </x:c>
      <x:c r="O690" s="32"/>
      <x:c r="P690" s="32" t="e">
        <x:f>IF(A690=1,Dashboard!$F$14,T689)</x:f>
      </x:c>
      <x:c r="Q690" s="32" t="e">
        <x:f>IF(A690&lt;=Dashboard!$F$17,MIN(P690,$B$6*52/12),0)</x:f>
      </x:c>
      <x:c r="R690" s="32" t="e">
        <x:f>IF(A690&lt;=Dashboard!$F$17,MAX(0,P690-Q690)*Dashboard!$F$6,0)</x:f>
      </x:c>
      <x:c r="S690" s="32" t="e">
        <x:f>IF(A690&lt;=Dashboard!$F$17,MIN(Dashboard!$F$10,MAX(0,P690-Q690)+R690),0)</x:f>
      </x:c>
      <x:c r="T690" s="32" t="e">
        <x:f>IF(A690&lt;=Dashboard!$F$17,MAX(0,P690-Q690-MAX(0,S690-R690)),0)</x:f>
      </x:c>
      <x:c r="U690" s="32" t="e">
        <x:f>IF(A690=1,R690,U689+R690)</x:f>
      </x:c>
      <x:c r="V690" s="32"/>
      <x:c r="W690" s="32" t="e">
        <x:f>IF(A690=1,Dashboard!$F$14,AA689)</x:f>
      </x:c>
      <x:c r="X690" s="32" t="e">
        <x:f>IF(AND(A690&lt;=Dashboard!$F$17,MOD(A690-1,12)=0),MIN(W690,$B$7),0)</x:f>
      </x:c>
      <x:c r="Y690" s="32" t="e">
        <x:f>IF(A690&lt;=Dashboard!$F$17,MAX(0,W690-X690)*Dashboard!$F$6,0)</x:f>
      </x:c>
      <x:c r="Z690" s="32" t="e">
        <x:f>IF(A690&lt;=Dashboard!$F$17,MIN(Dashboard!$F$10,MAX(0,W690-X690)+Y690),0)</x:f>
      </x:c>
      <x:c r="AA690" s="32" t="e">
        <x:f>IF(A690&lt;=Dashboard!$F$17,MAX(0,W690-X690-MAX(0,Z690-Y690)),0)</x:f>
      </x:c>
      <x:c r="AB690" s="32" t="e">
        <x:f>IF(A690=1,Y690,AB689+Y690)</x:f>
      </x:c>
      <x:c r="AC690" s="32"/>
      <x:c r="AD690" s="32" t="e">
        <x:f>IF(A690=1,MAX(0,Dashboard!$F$14-$B$8),AG689)</x:f>
      </x:c>
      <x:c r="AE690" s="32" t="n">
        <x:f>0</x:f>
        <x:v>0</x:v>
      </x:c>
      <x:c r="AF690" s="32" t="e">
        <x:f>IF(A690&lt;=Dashboard!$F$17,AD690*Dashboard!$F$6,0)</x:f>
      </x:c>
      <x:c r="AG690" s="32" t="e">
        <x:f>IF(A690&lt;=Dashboard!$F$17,MIN(Dashboard!$F$10,AD690+AF690),0)</x:f>
      </x:c>
      <x:c r="AH690" s="32" t="e">
        <x:f>IF(A690&lt;=Dashboard!$F$17,MAX(0,AD690-MAX(0,AG690-AF690)),0)</x:f>
      </x:c>
      <x:c r="AI690" s="32" t="e">
        <x:f>IF(A690=1,AF690,AI689+AF690)</x:f>
      </x:c>
      <x:c r="AJ690" s="33"/>
      <x:c r="AK690" s="33"/>
      <x:c r="AL690" s="33"/>
      <x:c r="AM690" s="33"/>
    </x:row>
    <x:row r="691">
      <x:c r="A691" s="33" t="n">
        <x:v>679</x:v>
      </x:c>
      <x:c r="B691" s="32" t="e">
        <x:f>IF(A691=1,Dashboard!$F$14,F690)</x:f>
      </x:c>
      <x:c r="C691" s="32" t="n">
        <x:f>0</x:f>
        <x:v>0</x:v>
      </x:c>
      <x:c r="D691" s="32" t="e">
        <x:f>IF(A691&lt;=Dashboard!$F$15,B691*Dashboard!$F$6,0)</x:f>
      </x:c>
      <x:c r="E691" s="32" t="e">
        <x:f>IF(A691&lt;=Dashboard!$F$15,MIN(Dashboard!$F$10,B691+D691),0)</x:f>
      </x:c>
      <x:c r="F691" s="32" t="e">
        <x:f>IF(A691&lt;=Dashboard!$F$15,MAX(0,B691-MAX(0,E691-D691)),0)</x:f>
      </x:c>
      <x:c r="G691" s="32" t="e">
        <x:f>IF(A691=1,D691,G690+D691)</x:f>
      </x:c>
      <x:c r="H691" s="32"/>
      <x:c r="I691" s="32" t="e">
        <x:f>IF(A691=1,Dashboard!$F$14,M690)</x:f>
      </x:c>
      <x:c r="J691" s="32" t="e">
        <x:f>IF(A691&lt;=Dashboard!$F$17,MIN(I691,$B$5),0)</x:f>
      </x:c>
      <x:c r="K691" s="32" t="e">
        <x:f>IF(A691&lt;=Dashboard!$F$17,MAX(0,I691-J691)*Dashboard!$F$6,0)</x:f>
      </x:c>
      <x:c r="L691" s="32" t="e">
        <x:f>IF(A691&lt;=Dashboard!$F$17,MIN(Dashboard!$F$10,MAX(0,I691-J691)+K691),0)</x:f>
      </x:c>
      <x:c r="M691" s="32" t="e">
        <x:f>IF(A691&lt;=Dashboard!$F$17,MAX(0,I691-J691-MAX(0,L691-K691)),0)</x:f>
      </x:c>
      <x:c r="N691" s="32" t="e">
        <x:f>IF(A691=1,K691,N690+K691)</x:f>
      </x:c>
      <x:c r="O691" s="32"/>
      <x:c r="P691" s="32" t="e">
        <x:f>IF(A691=1,Dashboard!$F$14,T690)</x:f>
      </x:c>
      <x:c r="Q691" s="32" t="e">
        <x:f>IF(A691&lt;=Dashboard!$F$17,MIN(P691,$B$6*52/12),0)</x:f>
      </x:c>
      <x:c r="R691" s="32" t="e">
        <x:f>IF(A691&lt;=Dashboard!$F$17,MAX(0,P691-Q691)*Dashboard!$F$6,0)</x:f>
      </x:c>
      <x:c r="S691" s="32" t="e">
        <x:f>IF(A691&lt;=Dashboard!$F$17,MIN(Dashboard!$F$10,MAX(0,P691-Q691)+R691),0)</x:f>
      </x:c>
      <x:c r="T691" s="32" t="e">
        <x:f>IF(A691&lt;=Dashboard!$F$17,MAX(0,P691-Q691-MAX(0,S691-R691)),0)</x:f>
      </x:c>
      <x:c r="U691" s="32" t="e">
        <x:f>IF(A691=1,R691,U690+R691)</x:f>
      </x:c>
      <x:c r="V691" s="32"/>
      <x:c r="W691" s="32" t="e">
        <x:f>IF(A691=1,Dashboard!$F$14,AA690)</x:f>
      </x:c>
      <x:c r="X691" s="32" t="e">
        <x:f>IF(AND(A691&lt;=Dashboard!$F$17,MOD(A691-1,12)=0),MIN(W691,$B$7),0)</x:f>
      </x:c>
      <x:c r="Y691" s="32" t="e">
        <x:f>IF(A691&lt;=Dashboard!$F$17,MAX(0,W691-X691)*Dashboard!$F$6,0)</x:f>
      </x:c>
      <x:c r="Z691" s="32" t="e">
        <x:f>IF(A691&lt;=Dashboard!$F$17,MIN(Dashboard!$F$10,MAX(0,W691-X691)+Y691),0)</x:f>
      </x:c>
      <x:c r="AA691" s="32" t="e">
        <x:f>IF(A691&lt;=Dashboard!$F$17,MAX(0,W691-X691-MAX(0,Z691-Y691)),0)</x:f>
      </x:c>
      <x:c r="AB691" s="32" t="e">
        <x:f>IF(A691=1,Y691,AB690+Y691)</x:f>
      </x:c>
      <x:c r="AC691" s="32"/>
      <x:c r="AD691" s="32" t="e">
        <x:f>IF(A691=1,MAX(0,Dashboard!$F$14-$B$8),AG690)</x:f>
      </x:c>
      <x:c r="AE691" s="32" t="n">
        <x:f>0</x:f>
        <x:v>0</x:v>
      </x:c>
      <x:c r="AF691" s="32" t="e">
        <x:f>IF(A691&lt;=Dashboard!$F$17,AD691*Dashboard!$F$6,0)</x:f>
      </x:c>
      <x:c r="AG691" s="32" t="e">
        <x:f>IF(A691&lt;=Dashboard!$F$17,MIN(Dashboard!$F$10,AD691+AF691),0)</x:f>
      </x:c>
      <x:c r="AH691" s="32" t="e">
        <x:f>IF(A691&lt;=Dashboard!$F$17,MAX(0,AD691-MAX(0,AG691-AF691)),0)</x:f>
      </x:c>
      <x:c r="AI691" s="32" t="e">
        <x:f>IF(A691=1,AF691,AI690+AF691)</x:f>
      </x:c>
      <x:c r="AJ691" s="33"/>
      <x:c r="AK691" s="33"/>
      <x:c r="AL691" s="33"/>
      <x:c r="AM691" s="33"/>
    </x:row>
    <x:row r="692">
      <x:c r="A692" s="33" t="n">
        <x:v>680</x:v>
      </x:c>
      <x:c r="B692" s="32" t="e">
        <x:f>IF(A692=1,Dashboard!$F$14,F691)</x:f>
      </x:c>
      <x:c r="C692" s="32" t="n">
        <x:f>0</x:f>
        <x:v>0</x:v>
      </x:c>
      <x:c r="D692" s="32" t="e">
        <x:f>IF(A692&lt;=Dashboard!$F$15,B692*Dashboard!$F$6,0)</x:f>
      </x:c>
      <x:c r="E692" s="32" t="e">
        <x:f>IF(A692&lt;=Dashboard!$F$15,MIN(Dashboard!$F$10,B692+D692),0)</x:f>
      </x:c>
      <x:c r="F692" s="32" t="e">
        <x:f>IF(A692&lt;=Dashboard!$F$15,MAX(0,B692-MAX(0,E692-D692)),0)</x:f>
      </x:c>
      <x:c r="G692" s="32" t="e">
        <x:f>IF(A692=1,D692,G691+D692)</x:f>
      </x:c>
      <x:c r="H692" s="32"/>
      <x:c r="I692" s="32" t="e">
        <x:f>IF(A692=1,Dashboard!$F$14,M691)</x:f>
      </x:c>
      <x:c r="J692" s="32" t="e">
        <x:f>IF(A692&lt;=Dashboard!$F$17,MIN(I692,$B$5),0)</x:f>
      </x:c>
      <x:c r="K692" s="32" t="e">
        <x:f>IF(A692&lt;=Dashboard!$F$17,MAX(0,I692-J692)*Dashboard!$F$6,0)</x:f>
      </x:c>
      <x:c r="L692" s="32" t="e">
        <x:f>IF(A692&lt;=Dashboard!$F$17,MIN(Dashboard!$F$10,MAX(0,I692-J692)+K692),0)</x:f>
      </x:c>
      <x:c r="M692" s="32" t="e">
        <x:f>IF(A692&lt;=Dashboard!$F$17,MAX(0,I692-J692-MAX(0,L692-K692)),0)</x:f>
      </x:c>
      <x:c r="N692" s="32" t="e">
        <x:f>IF(A692=1,K692,N691+K692)</x:f>
      </x:c>
      <x:c r="O692" s="32"/>
      <x:c r="P692" s="32" t="e">
        <x:f>IF(A692=1,Dashboard!$F$14,T691)</x:f>
      </x:c>
      <x:c r="Q692" s="32" t="e">
        <x:f>IF(A692&lt;=Dashboard!$F$17,MIN(P692,$B$6*52/12),0)</x:f>
      </x:c>
      <x:c r="R692" s="32" t="e">
        <x:f>IF(A692&lt;=Dashboard!$F$17,MAX(0,P692-Q692)*Dashboard!$F$6,0)</x:f>
      </x:c>
      <x:c r="S692" s="32" t="e">
        <x:f>IF(A692&lt;=Dashboard!$F$17,MIN(Dashboard!$F$10,MAX(0,P692-Q692)+R692),0)</x:f>
      </x:c>
      <x:c r="T692" s="32" t="e">
        <x:f>IF(A692&lt;=Dashboard!$F$17,MAX(0,P692-Q692-MAX(0,S692-R692)),0)</x:f>
      </x:c>
      <x:c r="U692" s="32" t="e">
        <x:f>IF(A692=1,R692,U691+R692)</x:f>
      </x:c>
      <x:c r="V692" s="32"/>
      <x:c r="W692" s="32" t="e">
        <x:f>IF(A692=1,Dashboard!$F$14,AA691)</x:f>
      </x:c>
      <x:c r="X692" s="32" t="e">
        <x:f>IF(AND(A692&lt;=Dashboard!$F$17,MOD(A692-1,12)=0),MIN(W692,$B$7),0)</x:f>
      </x:c>
      <x:c r="Y692" s="32" t="e">
        <x:f>IF(A692&lt;=Dashboard!$F$17,MAX(0,W692-X692)*Dashboard!$F$6,0)</x:f>
      </x:c>
      <x:c r="Z692" s="32" t="e">
        <x:f>IF(A692&lt;=Dashboard!$F$17,MIN(Dashboard!$F$10,MAX(0,W692-X692)+Y692),0)</x:f>
      </x:c>
      <x:c r="AA692" s="32" t="e">
        <x:f>IF(A692&lt;=Dashboard!$F$17,MAX(0,W692-X692-MAX(0,Z692-Y692)),0)</x:f>
      </x:c>
      <x:c r="AB692" s="32" t="e">
        <x:f>IF(A692=1,Y692,AB691+Y692)</x:f>
      </x:c>
      <x:c r="AC692" s="32"/>
      <x:c r="AD692" s="32" t="e">
        <x:f>IF(A692=1,MAX(0,Dashboard!$F$14-$B$8),AG691)</x:f>
      </x:c>
      <x:c r="AE692" s="32" t="n">
        <x:f>0</x:f>
        <x:v>0</x:v>
      </x:c>
      <x:c r="AF692" s="32" t="e">
        <x:f>IF(A692&lt;=Dashboard!$F$17,AD692*Dashboard!$F$6,0)</x:f>
      </x:c>
      <x:c r="AG692" s="32" t="e">
        <x:f>IF(A692&lt;=Dashboard!$F$17,MIN(Dashboard!$F$10,AD692+AF692),0)</x:f>
      </x:c>
      <x:c r="AH692" s="32" t="e">
        <x:f>IF(A692&lt;=Dashboard!$F$17,MAX(0,AD692-MAX(0,AG692-AF692)),0)</x:f>
      </x:c>
      <x:c r="AI692" s="32" t="e">
        <x:f>IF(A692=1,AF692,AI691+AF692)</x:f>
      </x:c>
      <x:c r="AJ692" s="33"/>
      <x:c r="AK692" s="33"/>
      <x:c r="AL692" s="33"/>
      <x:c r="AM692" s="33"/>
    </x:row>
    <x:row r="693">
      <x:c r="A693" s="33" t="n">
        <x:v>681</x:v>
      </x:c>
      <x:c r="B693" s="32" t="e">
        <x:f>IF(A693=1,Dashboard!$F$14,F692)</x:f>
      </x:c>
      <x:c r="C693" s="32" t="n">
        <x:f>0</x:f>
        <x:v>0</x:v>
      </x:c>
      <x:c r="D693" s="32" t="e">
        <x:f>IF(A693&lt;=Dashboard!$F$15,B693*Dashboard!$F$6,0)</x:f>
      </x:c>
      <x:c r="E693" s="32" t="e">
        <x:f>IF(A693&lt;=Dashboard!$F$15,MIN(Dashboard!$F$10,B693+D693),0)</x:f>
      </x:c>
      <x:c r="F693" s="32" t="e">
        <x:f>IF(A693&lt;=Dashboard!$F$15,MAX(0,B693-MAX(0,E693-D693)),0)</x:f>
      </x:c>
      <x:c r="G693" s="32" t="e">
        <x:f>IF(A693=1,D693,G692+D693)</x:f>
      </x:c>
      <x:c r="H693" s="32"/>
      <x:c r="I693" s="32" t="e">
        <x:f>IF(A693=1,Dashboard!$F$14,M692)</x:f>
      </x:c>
      <x:c r="J693" s="32" t="e">
        <x:f>IF(A693&lt;=Dashboard!$F$17,MIN(I693,$B$5),0)</x:f>
      </x:c>
      <x:c r="K693" s="32" t="e">
        <x:f>IF(A693&lt;=Dashboard!$F$17,MAX(0,I693-J693)*Dashboard!$F$6,0)</x:f>
      </x:c>
      <x:c r="L693" s="32" t="e">
        <x:f>IF(A693&lt;=Dashboard!$F$17,MIN(Dashboard!$F$10,MAX(0,I693-J693)+K693),0)</x:f>
      </x:c>
      <x:c r="M693" s="32" t="e">
        <x:f>IF(A693&lt;=Dashboard!$F$17,MAX(0,I693-J693-MAX(0,L693-K693)),0)</x:f>
      </x:c>
      <x:c r="N693" s="32" t="e">
        <x:f>IF(A693=1,K693,N692+K693)</x:f>
      </x:c>
      <x:c r="O693" s="32"/>
      <x:c r="P693" s="32" t="e">
        <x:f>IF(A693=1,Dashboard!$F$14,T692)</x:f>
      </x:c>
      <x:c r="Q693" s="32" t="e">
        <x:f>IF(A693&lt;=Dashboard!$F$17,MIN(P693,$B$6*52/12),0)</x:f>
      </x:c>
      <x:c r="R693" s="32" t="e">
        <x:f>IF(A693&lt;=Dashboard!$F$17,MAX(0,P693-Q693)*Dashboard!$F$6,0)</x:f>
      </x:c>
      <x:c r="S693" s="32" t="e">
        <x:f>IF(A693&lt;=Dashboard!$F$17,MIN(Dashboard!$F$10,MAX(0,P693-Q693)+R693),0)</x:f>
      </x:c>
      <x:c r="T693" s="32" t="e">
        <x:f>IF(A693&lt;=Dashboard!$F$17,MAX(0,P693-Q693-MAX(0,S693-R693)),0)</x:f>
      </x:c>
      <x:c r="U693" s="32" t="e">
        <x:f>IF(A693=1,R693,U692+R693)</x:f>
      </x:c>
      <x:c r="V693" s="32"/>
      <x:c r="W693" s="32" t="e">
        <x:f>IF(A693=1,Dashboard!$F$14,AA692)</x:f>
      </x:c>
      <x:c r="X693" s="32" t="e">
        <x:f>IF(AND(A693&lt;=Dashboard!$F$17,MOD(A693-1,12)=0),MIN(W693,$B$7),0)</x:f>
      </x:c>
      <x:c r="Y693" s="32" t="e">
        <x:f>IF(A693&lt;=Dashboard!$F$17,MAX(0,W693-X693)*Dashboard!$F$6,0)</x:f>
      </x:c>
      <x:c r="Z693" s="32" t="e">
        <x:f>IF(A693&lt;=Dashboard!$F$17,MIN(Dashboard!$F$10,MAX(0,W693-X693)+Y693),0)</x:f>
      </x:c>
      <x:c r="AA693" s="32" t="e">
        <x:f>IF(A693&lt;=Dashboard!$F$17,MAX(0,W693-X693-MAX(0,Z693-Y693)),0)</x:f>
      </x:c>
      <x:c r="AB693" s="32" t="e">
        <x:f>IF(A693=1,Y693,AB692+Y693)</x:f>
      </x:c>
      <x:c r="AC693" s="32"/>
      <x:c r="AD693" s="32" t="e">
        <x:f>IF(A693=1,MAX(0,Dashboard!$F$14-$B$8),AG692)</x:f>
      </x:c>
      <x:c r="AE693" s="32" t="n">
        <x:f>0</x:f>
        <x:v>0</x:v>
      </x:c>
      <x:c r="AF693" s="32" t="e">
        <x:f>IF(A693&lt;=Dashboard!$F$17,AD693*Dashboard!$F$6,0)</x:f>
      </x:c>
      <x:c r="AG693" s="32" t="e">
        <x:f>IF(A693&lt;=Dashboard!$F$17,MIN(Dashboard!$F$10,AD693+AF693),0)</x:f>
      </x:c>
      <x:c r="AH693" s="32" t="e">
        <x:f>IF(A693&lt;=Dashboard!$F$17,MAX(0,AD693-MAX(0,AG693-AF693)),0)</x:f>
      </x:c>
      <x:c r="AI693" s="32" t="e">
        <x:f>IF(A693=1,AF693,AI692+AF693)</x:f>
      </x:c>
      <x:c r="AJ693" s="33"/>
      <x:c r="AK693" s="33"/>
      <x:c r="AL693" s="33"/>
      <x:c r="AM693" s="33"/>
    </x:row>
    <x:row r="694">
      <x:c r="A694" s="33" t="n">
        <x:v>682</x:v>
      </x:c>
      <x:c r="B694" s="32" t="e">
        <x:f>IF(A694=1,Dashboard!$F$14,F693)</x:f>
      </x:c>
      <x:c r="C694" s="32" t="n">
        <x:f>0</x:f>
        <x:v>0</x:v>
      </x:c>
      <x:c r="D694" s="32" t="e">
        <x:f>IF(A694&lt;=Dashboard!$F$15,B694*Dashboard!$F$6,0)</x:f>
      </x:c>
      <x:c r="E694" s="32" t="e">
        <x:f>IF(A694&lt;=Dashboard!$F$15,MIN(Dashboard!$F$10,B694+D694),0)</x:f>
      </x:c>
      <x:c r="F694" s="32" t="e">
        <x:f>IF(A694&lt;=Dashboard!$F$15,MAX(0,B694-MAX(0,E694-D694)),0)</x:f>
      </x:c>
      <x:c r="G694" s="32" t="e">
        <x:f>IF(A694=1,D694,G693+D694)</x:f>
      </x:c>
      <x:c r="H694" s="32"/>
      <x:c r="I694" s="32" t="e">
        <x:f>IF(A694=1,Dashboard!$F$14,M693)</x:f>
      </x:c>
      <x:c r="J694" s="32" t="e">
        <x:f>IF(A694&lt;=Dashboard!$F$17,MIN(I694,$B$5),0)</x:f>
      </x:c>
      <x:c r="K694" s="32" t="e">
        <x:f>IF(A694&lt;=Dashboard!$F$17,MAX(0,I694-J694)*Dashboard!$F$6,0)</x:f>
      </x:c>
      <x:c r="L694" s="32" t="e">
        <x:f>IF(A694&lt;=Dashboard!$F$17,MIN(Dashboard!$F$10,MAX(0,I694-J694)+K694),0)</x:f>
      </x:c>
      <x:c r="M694" s="32" t="e">
        <x:f>IF(A694&lt;=Dashboard!$F$17,MAX(0,I694-J694-MAX(0,L694-K694)),0)</x:f>
      </x:c>
      <x:c r="N694" s="32" t="e">
        <x:f>IF(A694=1,K694,N693+K694)</x:f>
      </x:c>
      <x:c r="O694" s="32"/>
      <x:c r="P694" s="32" t="e">
        <x:f>IF(A694=1,Dashboard!$F$14,T693)</x:f>
      </x:c>
      <x:c r="Q694" s="32" t="e">
        <x:f>IF(A694&lt;=Dashboard!$F$17,MIN(P694,$B$6*52/12),0)</x:f>
      </x:c>
      <x:c r="R694" s="32" t="e">
        <x:f>IF(A694&lt;=Dashboard!$F$17,MAX(0,P694-Q694)*Dashboard!$F$6,0)</x:f>
      </x:c>
      <x:c r="S694" s="32" t="e">
        <x:f>IF(A694&lt;=Dashboard!$F$17,MIN(Dashboard!$F$10,MAX(0,P694-Q694)+R694),0)</x:f>
      </x:c>
      <x:c r="T694" s="32" t="e">
        <x:f>IF(A694&lt;=Dashboard!$F$17,MAX(0,P694-Q694-MAX(0,S694-R694)),0)</x:f>
      </x:c>
      <x:c r="U694" s="32" t="e">
        <x:f>IF(A694=1,R694,U693+R694)</x:f>
      </x:c>
      <x:c r="V694" s="32"/>
      <x:c r="W694" s="32" t="e">
        <x:f>IF(A694=1,Dashboard!$F$14,AA693)</x:f>
      </x:c>
      <x:c r="X694" s="32" t="e">
        <x:f>IF(AND(A694&lt;=Dashboard!$F$17,MOD(A694-1,12)=0),MIN(W694,$B$7),0)</x:f>
      </x:c>
      <x:c r="Y694" s="32" t="e">
        <x:f>IF(A694&lt;=Dashboard!$F$17,MAX(0,W694-X694)*Dashboard!$F$6,0)</x:f>
      </x:c>
      <x:c r="Z694" s="32" t="e">
        <x:f>IF(A694&lt;=Dashboard!$F$17,MIN(Dashboard!$F$10,MAX(0,W694-X694)+Y694),0)</x:f>
      </x:c>
      <x:c r="AA694" s="32" t="e">
        <x:f>IF(A694&lt;=Dashboard!$F$17,MAX(0,W694-X694-MAX(0,Z694-Y694)),0)</x:f>
      </x:c>
      <x:c r="AB694" s="32" t="e">
        <x:f>IF(A694=1,Y694,AB693+Y694)</x:f>
      </x:c>
      <x:c r="AC694" s="32"/>
      <x:c r="AD694" s="32" t="e">
        <x:f>IF(A694=1,MAX(0,Dashboard!$F$14-$B$8),AG693)</x:f>
      </x:c>
      <x:c r="AE694" s="32" t="n">
        <x:f>0</x:f>
        <x:v>0</x:v>
      </x:c>
      <x:c r="AF694" s="32" t="e">
        <x:f>IF(A694&lt;=Dashboard!$F$17,AD694*Dashboard!$F$6,0)</x:f>
      </x:c>
      <x:c r="AG694" s="32" t="e">
        <x:f>IF(A694&lt;=Dashboard!$F$17,MIN(Dashboard!$F$10,AD694+AF694),0)</x:f>
      </x:c>
      <x:c r="AH694" s="32" t="e">
        <x:f>IF(A694&lt;=Dashboard!$F$17,MAX(0,AD694-MAX(0,AG694-AF694)),0)</x:f>
      </x:c>
      <x:c r="AI694" s="32" t="e">
        <x:f>IF(A694=1,AF694,AI693+AF694)</x:f>
      </x:c>
      <x:c r="AJ694" s="33"/>
      <x:c r="AK694" s="33"/>
      <x:c r="AL694" s="33"/>
      <x:c r="AM694" s="33"/>
    </x:row>
    <x:row r="695">
      <x:c r="A695" s="33" t="n">
        <x:v>683</x:v>
      </x:c>
      <x:c r="B695" s="32" t="e">
        <x:f>IF(A695=1,Dashboard!$F$14,F694)</x:f>
      </x:c>
      <x:c r="C695" s="32" t="n">
        <x:f>0</x:f>
        <x:v>0</x:v>
      </x:c>
      <x:c r="D695" s="32" t="e">
        <x:f>IF(A695&lt;=Dashboard!$F$15,B695*Dashboard!$F$6,0)</x:f>
      </x:c>
      <x:c r="E695" s="32" t="e">
        <x:f>IF(A695&lt;=Dashboard!$F$15,MIN(Dashboard!$F$10,B695+D695),0)</x:f>
      </x:c>
      <x:c r="F695" s="32" t="e">
        <x:f>IF(A695&lt;=Dashboard!$F$15,MAX(0,B695-MAX(0,E695-D695)),0)</x:f>
      </x:c>
      <x:c r="G695" s="32" t="e">
        <x:f>IF(A695=1,D695,G694+D695)</x:f>
      </x:c>
      <x:c r="H695" s="32"/>
      <x:c r="I695" s="32" t="e">
        <x:f>IF(A695=1,Dashboard!$F$14,M694)</x:f>
      </x:c>
      <x:c r="J695" s="32" t="e">
        <x:f>IF(A695&lt;=Dashboard!$F$17,MIN(I695,$B$5),0)</x:f>
      </x:c>
      <x:c r="K695" s="32" t="e">
        <x:f>IF(A695&lt;=Dashboard!$F$17,MAX(0,I695-J695)*Dashboard!$F$6,0)</x:f>
      </x:c>
      <x:c r="L695" s="32" t="e">
        <x:f>IF(A695&lt;=Dashboard!$F$17,MIN(Dashboard!$F$10,MAX(0,I695-J695)+K695),0)</x:f>
      </x:c>
      <x:c r="M695" s="32" t="e">
        <x:f>IF(A695&lt;=Dashboard!$F$17,MAX(0,I695-J695-MAX(0,L695-K695)),0)</x:f>
      </x:c>
      <x:c r="N695" s="32" t="e">
        <x:f>IF(A695=1,K695,N694+K695)</x:f>
      </x:c>
      <x:c r="O695" s="32"/>
      <x:c r="P695" s="32" t="e">
        <x:f>IF(A695=1,Dashboard!$F$14,T694)</x:f>
      </x:c>
      <x:c r="Q695" s="32" t="e">
        <x:f>IF(A695&lt;=Dashboard!$F$17,MIN(P695,$B$6*52/12),0)</x:f>
      </x:c>
      <x:c r="R695" s="32" t="e">
        <x:f>IF(A695&lt;=Dashboard!$F$17,MAX(0,P695-Q695)*Dashboard!$F$6,0)</x:f>
      </x:c>
      <x:c r="S695" s="32" t="e">
        <x:f>IF(A695&lt;=Dashboard!$F$17,MIN(Dashboard!$F$10,MAX(0,P695-Q695)+R695),0)</x:f>
      </x:c>
      <x:c r="T695" s="32" t="e">
        <x:f>IF(A695&lt;=Dashboard!$F$17,MAX(0,P695-Q695-MAX(0,S695-R695)),0)</x:f>
      </x:c>
      <x:c r="U695" s="32" t="e">
        <x:f>IF(A695=1,R695,U694+R695)</x:f>
      </x:c>
      <x:c r="V695" s="32"/>
      <x:c r="W695" s="32" t="e">
        <x:f>IF(A695=1,Dashboard!$F$14,AA694)</x:f>
      </x:c>
      <x:c r="X695" s="32" t="e">
        <x:f>IF(AND(A695&lt;=Dashboard!$F$17,MOD(A695-1,12)=0),MIN(W695,$B$7),0)</x:f>
      </x:c>
      <x:c r="Y695" s="32" t="e">
        <x:f>IF(A695&lt;=Dashboard!$F$17,MAX(0,W695-X695)*Dashboard!$F$6,0)</x:f>
      </x:c>
      <x:c r="Z695" s="32" t="e">
        <x:f>IF(A695&lt;=Dashboard!$F$17,MIN(Dashboard!$F$10,MAX(0,W695-X695)+Y695),0)</x:f>
      </x:c>
      <x:c r="AA695" s="32" t="e">
        <x:f>IF(A695&lt;=Dashboard!$F$17,MAX(0,W695-X695-MAX(0,Z695-Y695)),0)</x:f>
      </x:c>
      <x:c r="AB695" s="32" t="e">
        <x:f>IF(A695=1,Y695,AB694+Y695)</x:f>
      </x:c>
      <x:c r="AC695" s="32"/>
      <x:c r="AD695" s="32" t="e">
        <x:f>IF(A695=1,MAX(0,Dashboard!$F$14-$B$8),AG694)</x:f>
      </x:c>
      <x:c r="AE695" s="32" t="n">
        <x:f>0</x:f>
        <x:v>0</x:v>
      </x:c>
      <x:c r="AF695" s="32" t="e">
        <x:f>IF(A695&lt;=Dashboard!$F$17,AD695*Dashboard!$F$6,0)</x:f>
      </x:c>
      <x:c r="AG695" s="32" t="e">
        <x:f>IF(A695&lt;=Dashboard!$F$17,MIN(Dashboard!$F$10,AD695+AF695),0)</x:f>
      </x:c>
      <x:c r="AH695" s="32" t="e">
        <x:f>IF(A695&lt;=Dashboard!$F$17,MAX(0,AD695-MAX(0,AG695-AF695)),0)</x:f>
      </x:c>
      <x:c r="AI695" s="32" t="e">
        <x:f>IF(A695=1,AF695,AI694+AF695)</x:f>
      </x:c>
      <x:c r="AJ695" s="33"/>
      <x:c r="AK695" s="33"/>
      <x:c r="AL695" s="33"/>
      <x:c r="AM695" s="33"/>
    </x:row>
    <x:row r="696">
      <x:c r="A696" s="33" t="n">
        <x:v>684</x:v>
      </x:c>
      <x:c r="B696" s="32" t="e">
        <x:f>IF(A696=1,Dashboard!$F$14,F695)</x:f>
      </x:c>
      <x:c r="C696" s="32" t="n">
        <x:f>0</x:f>
        <x:v>0</x:v>
      </x:c>
      <x:c r="D696" s="32" t="e">
        <x:f>IF(A696&lt;=Dashboard!$F$15,B696*Dashboard!$F$6,0)</x:f>
      </x:c>
      <x:c r="E696" s="32" t="e">
        <x:f>IF(A696&lt;=Dashboard!$F$15,MIN(Dashboard!$F$10,B696+D696),0)</x:f>
      </x:c>
      <x:c r="F696" s="32" t="e">
        <x:f>IF(A696&lt;=Dashboard!$F$15,MAX(0,B696-MAX(0,E696-D696)),0)</x:f>
      </x:c>
      <x:c r="G696" s="32" t="e">
        <x:f>IF(A696=1,D696,G695+D696)</x:f>
      </x:c>
      <x:c r="H696" s="32"/>
      <x:c r="I696" s="32" t="e">
        <x:f>IF(A696=1,Dashboard!$F$14,M695)</x:f>
      </x:c>
      <x:c r="J696" s="32" t="e">
        <x:f>IF(A696&lt;=Dashboard!$F$17,MIN(I696,$B$5),0)</x:f>
      </x:c>
      <x:c r="K696" s="32" t="e">
        <x:f>IF(A696&lt;=Dashboard!$F$17,MAX(0,I696-J696)*Dashboard!$F$6,0)</x:f>
      </x:c>
      <x:c r="L696" s="32" t="e">
        <x:f>IF(A696&lt;=Dashboard!$F$17,MIN(Dashboard!$F$10,MAX(0,I696-J696)+K696),0)</x:f>
      </x:c>
      <x:c r="M696" s="32" t="e">
        <x:f>IF(A696&lt;=Dashboard!$F$17,MAX(0,I696-J696-MAX(0,L696-K696)),0)</x:f>
      </x:c>
      <x:c r="N696" s="32" t="e">
        <x:f>IF(A696=1,K696,N695+K696)</x:f>
      </x:c>
      <x:c r="O696" s="32"/>
      <x:c r="P696" s="32" t="e">
        <x:f>IF(A696=1,Dashboard!$F$14,T695)</x:f>
      </x:c>
      <x:c r="Q696" s="32" t="e">
        <x:f>IF(A696&lt;=Dashboard!$F$17,MIN(P696,$B$6*52/12),0)</x:f>
      </x:c>
      <x:c r="R696" s="32" t="e">
        <x:f>IF(A696&lt;=Dashboard!$F$17,MAX(0,P696-Q696)*Dashboard!$F$6,0)</x:f>
      </x:c>
      <x:c r="S696" s="32" t="e">
        <x:f>IF(A696&lt;=Dashboard!$F$17,MIN(Dashboard!$F$10,MAX(0,P696-Q696)+R696),0)</x:f>
      </x:c>
      <x:c r="T696" s="32" t="e">
        <x:f>IF(A696&lt;=Dashboard!$F$17,MAX(0,P696-Q696-MAX(0,S696-R696)),0)</x:f>
      </x:c>
      <x:c r="U696" s="32" t="e">
        <x:f>IF(A696=1,R696,U695+R696)</x:f>
      </x:c>
      <x:c r="V696" s="32"/>
      <x:c r="W696" s="32" t="e">
        <x:f>IF(A696=1,Dashboard!$F$14,AA695)</x:f>
      </x:c>
      <x:c r="X696" s="32" t="e">
        <x:f>IF(AND(A696&lt;=Dashboard!$F$17,MOD(A696-1,12)=0),MIN(W696,$B$7),0)</x:f>
      </x:c>
      <x:c r="Y696" s="32" t="e">
        <x:f>IF(A696&lt;=Dashboard!$F$17,MAX(0,W696-X696)*Dashboard!$F$6,0)</x:f>
      </x:c>
      <x:c r="Z696" s="32" t="e">
        <x:f>IF(A696&lt;=Dashboard!$F$17,MIN(Dashboard!$F$10,MAX(0,W696-X696)+Y696),0)</x:f>
      </x:c>
      <x:c r="AA696" s="32" t="e">
        <x:f>IF(A696&lt;=Dashboard!$F$17,MAX(0,W696-X696-MAX(0,Z696-Y696)),0)</x:f>
      </x:c>
      <x:c r="AB696" s="32" t="e">
        <x:f>IF(A696=1,Y696,AB695+Y696)</x:f>
      </x:c>
      <x:c r="AC696" s="32"/>
      <x:c r="AD696" s="32" t="e">
        <x:f>IF(A696=1,MAX(0,Dashboard!$F$14-$B$8),AG695)</x:f>
      </x:c>
      <x:c r="AE696" s="32" t="n">
        <x:f>0</x:f>
        <x:v>0</x:v>
      </x:c>
      <x:c r="AF696" s="32" t="e">
        <x:f>IF(A696&lt;=Dashboard!$F$17,AD696*Dashboard!$F$6,0)</x:f>
      </x:c>
      <x:c r="AG696" s="32" t="e">
        <x:f>IF(A696&lt;=Dashboard!$F$17,MIN(Dashboard!$F$10,AD696+AF696),0)</x:f>
      </x:c>
      <x:c r="AH696" s="32" t="e">
        <x:f>IF(A696&lt;=Dashboard!$F$17,MAX(0,AD696-MAX(0,AG696-AF696)),0)</x:f>
      </x:c>
      <x:c r="AI696" s="32" t="e">
        <x:f>IF(A696=1,AF696,AI695+AF696)</x:f>
      </x:c>
      <x:c r="AJ696" s="33"/>
      <x:c r="AK696" s="33"/>
      <x:c r="AL696" s="33"/>
      <x:c r="AM696" s="33"/>
    </x:row>
    <x:row r="697">
      <x:c r="A697" s="33" t="n">
        <x:v>685</x:v>
      </x:c>
      <x:c r="B697" s="32" t="e">
        <x:f>IF(A697=1,Dashboard!$F$14,F696)</x:f>
      </x:c>
      <x:c r="C697" s="32" t="n">
        <x:f>0</x:f>
        <x:v>0</x:v>
      </x:c>
      <x:c r="D697" s="32" t="e">
        <x:f>IF(A697&lt;=Dashboard!$F$15,B697*Dashboard!$F$6,0)</x:f>
      </x:c>
      <x:c r="E697" s="32" t="e">
        <x:f>IF(A697&lt;=Dashboard!$F$15,MIN(Dashboard!$F$10,B697+D697),0)</x:f>
      </x:c>
      <x:c r="F697" s="32" t="e">
        <x:f>IF(A697&lt;=Dashboard!$F$15,MAX(0,B697-MAX(0,E697-D697)),0)</x:f>
      </x:c>
      <x:c r="G697" s="32" t="e">
        <x:f>IF(A697=1,D697,G696+D697)</x:f>
      </x:c>
      <x:c r="H697" s="32"/>
      <x:c r="I697" s="32" t="e">
        <x:f>IF(A697=1,Dashboard!$F$14,M696)</x:f>
      </x:c>
      <x:c r="J697" s="32" t="e">
        <x:f>IF(A697&lt;=Dashboard!$F$17,MIN(I697,$B$5),0)</x:f>
      </x:c>
      <x:c r="K697" s="32" t="e">
        <x:f>IF(A697&lt;=Dashboard!$F$17,MAX(0,I697-J697)*Dashboard!$F$6,0)</x:f>
      </x:c>
      <x:c r="L697" s="32" t="e">
        <x:f>IF(A697&lt;=Dashboard!$F$17,MIN(Dashboard!$F$10,MAX(0,I697-J697)+K697),0)</x:f>
      </x:c>
      <x:c r="M697" s="32" t="e">
        <x:f>IF(A697&lt;=Dashboard!$F$17,MAX(0,I697-J697-MAX(0,L697-K697)),0)</x:f>
      </x:c>
      <x:c r="N697" s="32" t="e">
        <x:f>IF(A697=1,K697,N696+K697)</x:f>
      </x:c>
      <x:c r="O697" s="32"/>
      <x:c r="P697" s="32" t="e">
        <x:f>IF(A697=1,Dashboard!$F$14,T696)</x:f>
      </x:c>
      <x:c r="Q697" s="32" t="e">
        <x:f>IF(A697&lt;=Dashboard!$F$17,MIN(P697,$B$6*52/12),0)</x:f>
      </x:c>
      <x:c r="R697" s="32" t="e">
        <x:f>IF(A697&lt;=Dashboard!$F$17,MAX(0,P697-Q697)*Dashboard!$F$6,0)</x:f>
      </x:c>
      <x:c r="S697" s="32" t="e">
        <x:f>IF(A697&lt;=Dashboard!$F$17,MIN(Dashboard!$F$10,MAX(0,P697-Q697)+R697),0)</x:f>
      </x:c>
      <x:c r="T697" s="32" t="e">
        <x:f>IF(A697&lt;=Dashboard!$F$17,MAX(0,P697-Q697-MAX(0,S697-R697)),0)</x:f>
      </x:c>
      <x:c r="U697" s="32" t="e">
        <x:f>IF(A697=1,R697,U696+R697)</x:f>
      </x:c>
      <x:c r="V697" s="32"/>
      <x:c r="W697" s="32" t="e">
        <x:f>IF(A697=1,Dashboard!$F$14,AA696)</x:f>
      </x:c>
      <x:c r="X697" s="32" t="e">
        <x:f>IF(AND(A697&lt;=Dashboard!$F$17,MOD(A697-1,12)=0),MIN(W697,$B$7),0)</x:f>
      </x:c>
      <x:c r="Y697" s="32" t="e">
        <x:f>IF(A697&lt;=Dashboard!$F$17,MAX(0,W697-X697)*Dashboard!$F$6,0)</x:f>
      </x:c>
      <x:c r="Z697" s="32" t="e">
        <x:f>IF(A697&lt;=Dashboard!$F$17,MIN(Dashboard!$F$10,MAX(0,W697-X697)+Y697),0)</x:f>
      </x:c>
      <x:c r="AA697" s="32" t="e">
        <x:f>IF(A697&lt;=Dashboard!$F$17,MAX(0,W697-X697-MAX(0,Z697-Y697)),0)</x:f>
      </x:c>
      <x:c r="AB697" s="32" t="e">
        <x:f>IF(A697=1,Y697,AB696+Y697)</x:f>
      </x:c>
      <x:c r="AC697" s="32"/>
      <x:c r="AD697" s="32" t="e">
        <x:f>IF(A697=1,MAX(0,Dashboard!$F$14-$B$8),AG696)</x:f>
      </x:c>
      <x:c r="AE697" s="32" t="n">
        <x:f>0</x:f>
        <x:v>0</x:v>
      </x:c>
      <x:c r="AF697" s="32" t="e">
        <x:f>IF(A697&lt;=Dashboard!$F$17,AD697*Dashboard!$F$6,0)</x:f>
      </x:c>
      <x:c r="AG697" s="32" t="e">
        <x:f>IF(A697&lt;=Dashboard!$F$17,MIN(Dashboard!$F$10,AD697+AF697),0)</x:f>
      </x:c>
      <x:c r="AH697" s="32" t="e">
        <x:f>IF(A697&lt;=Dashboard!$F$17,MAX(0,AD697-MAX(0,AG697-AF697)),0)</x:f>
      </x:c>
      <x:c r="AI697" s="32" t="e">
        <x:f>IF(A697=1,AF697,AI696+AF697)</x:f>
      </x:c>
      <x:c r="AJ697" s="33"/>
      <x:c r="AK697" s="33"/>
      <x:c r="AL697" s="33"/>
      <x:c r="AM697" s="33"/>
    </x:row>
    <x:row r="698">
      <x:c r="A698" s="33" t="n">
        <x:v>686</x:v>
      </x:c>
      <x:c r="B698" s="32" t="e">
        <x:f>IF(A698=1,Dashboard!$F$14,F697)</x:f>
      </x:c>
      <x:c r="C698" s="32" t="n">
        <x:f>0</x:f>
        <x:v>0</x:v>
      </x:c>
      <x:c r="D698" s="32" t="e">
        <x:f>IF(A698&lt;=Dashboard!$F$15,B698*Dashboard!$F$6,0)</x:f>
      </x:c>
      <x:c r="E698" s="32" t="e">
        <x:f>IF(A698&lt;=Dashboard!$F$15,MIN(Dashboard!$F$10,B698+D698),0)</x:f>
      </x:c>
      <x:c r="F698" s="32" t="e">
        <x:f>IF(A698&lt;=Dashboard!$F$15,MAX(0,B698-MAX(0,E698-D698)),0)</x:f>
      </x:c>
      <x:c r="G698" s="32" t="e">
        <x:f>IF(A698=1,D698,G697+D698)</x:f>
      </x:c>
      <x:c r="H698" s="32"/>
      <x:c r="I698" s="32" t="e">
        <x:f>IF(A698=1,Dashboard!$F$14,M697)</x:f>
      </x:c>
      <x:c r="J698" s="32" t="e">
        <x:f>IF(A698&lt;=Dashboard!$F$17,MIN(I698,$B$5),0)</x:f>
      </x:c>
      <x:c r="K698" s="32" t="e">
        <x:f>IF(A698&lt;=Dashboard!$F$17,MAX(0,I698-J698)*Dashboard!$F$6,0)</x:f>
      </x:c>
      <x:c r="L698" s="32" t="e">
        <x:f>IF(A698&lt;=Dashboard!$F$17,MIN(Dashboard!$F$10,MAX(0,I698-J698)+K698),0)</x:f>
      </x:c>
      <x:c r="M698" s="32" t="e">
        <x:f>IF(A698&lt;=Dashboard!$F$17,MAX(0,I698-J698-MAX(0,L698-K698)),0)</x:f>
      </x:c>
      <x:c r="N698" s="32" t="e">
        <x:f>IF(A698=1,K698,N697+K698)</x:f>
      </x:c>
      <x:c r="O698" s="32"/>
      <x:c r="P698" s="32" t="e">
        <x:f>IF(A698=1,Dashboard!$F$14,T697)</x:f>
      </x:c>
      <x:c r="Q698" s="32" t="e">
        <x:f>IF(A698&lt;=Dashboard!$F$17,MIN(P698,$B$6*52/12),0)</x:f>
      </x:c>
      <x:c r="R698" s="32" t="e">
        <x:f>IF(A698&lt;=Dashboard!$F$17,MAX(0,P698-Q698)*Dashboard!$F$6,0)</x:f>
      </x:c>
      <x:c r="S698" s="32" t="e">
        <x:f>IF(A698&lt;=Dashboard!$F$17,MIN(Dashboard!$F$10,MAX(0,P698-Q698)+R698),0)</x:f>
      </x:c>
      <x:c r="T698" s="32" t="e">
        <x:f>IF(A698&lt;=Dashboard!$F$17,MAX(0,P698-Q698-MAX(0,S698-R698)),0)</x:f>
      </x:c>
      <x:c r="U698" s="32" t="e">
        <x:f>IF(A698=1,R698,U697+R698)</x:f>
      </x:c>
      <x:c r="V698" s="32"/>
      <x:c r="W698" s="32" t="e">
        <x:f>IF(A698=1,Dashboard!$F$14,AA697)</x:f>
      </x:c>
      <x:c r="X698" s="32" t="e">
        <x:f>IF(AND(A698&lt;=Dashboard!$F$17,MOD(A698-1,12)=0),MIN(W698,$B$7),0)</x:f>
      </x:c>
      <x:c r="Y698" s="32" t="e">
        <x:f>IF(A698&lt;=Dashboard!$F$17,MAX(0,W698-X698)*Dashboard!$F$6,0)</x:f>
      </x:c>
      <x:c r="Z698" s="32" t="e">
        <x:f>IF(A698&lt;=Dashboard!$F$17,MIN(Dashboard!$F$10,MAX(0,W698-X698)+Y698),0)</x:f>
      </x:c>
      <x:c r="AA698" s="32" t="e">
        <x:f>IF(A698&lt;=Dashboard!$F$17,MAX(0,W698-X698-MAX(0,Z698-Y698)),0)</x:f>
      </x:c>
      <x:c r="AB698" s="32" t="e">
        <x:f>IF(A698=1,Y698,AB697+Y698)</x:f>
      </x:c>
      <x:c r="AC698" s="32"/>
      <x:c r="AD698" s="32" t="e">
        <x:f>IF(A698=1,MAX(0,Dashboard!$F$14-$B$8),AG697)</x:f>
      </x:c>
      <x:c r="AE698" s="32" t="n">
        <x:f>0</x:f>
        <x:v>0</x:v>
      </x:c>
      <x:c r="AF698" s="32" t="e">
        <x:f>IF(A698&lt;=Dashboard!$F$17,AD698*Dashboard!$F$6,0)</x:f>
      </x:c>
      <x:c r="AG698" s="32" t="e">
        <x:f>IF(A698&lt;=Dashboard!$F$17,MIN(Dashboard!$F$10,AD698+AF698),0)</x:f>
      </x:c>
      <x:c r="AH698" s="32" t="e">
        <x:f>IF(A698&lt;=Dashboard!$F$17,MAX(0,AD698-MAX(0,AG698-AF698)),0)</x:f>
      </x:c>
      <x:c r="AI698" s="32" t="e">
        <x:f>IF(A698=1,AF698,AI697+AF698)</x:f>
      </x:c>
      <x:c r="AJ698" s="33"/>
      <x:c r="AK698" s="33"/>
      <x:c r="AL698" s="33"/>
      <x:c r="AM698" s="33"/>
    </x:row>
    <x:row r="699">
      <x:c r="A699" s="33" t="n">
        <x:v>687</x:v>
      </x:c>
      <x:c r="B699" s="32" t="e">
        <x:f>IF(A699=1,Dashboard!$F$14,F698)</x:f>
      </x:c>
      <x:c r="C699" s="32" t="n">
        <x:f>0</x:f>
        <x:v>0</x:v>
      </x:c>
      <x:c r="D699" s="32" t="e">
        <x:f>IF(A699&lt;=Dashboard!$F$15,B699*Dashboard!$F$6,0)</x:f>
      </x:c>
      <x:c r="E699" s="32" t="e">
        <x:f>IF(A699&lt;=Dashboard!$F$15,MIN(Dashboard!$F$10,B699+D699),0)</x:f>
      </x:c>
      <x:c r="F699" s="32" t="e">
        <x:f>IF(A699&lt;=Dashboard!$F$15,MAX(0,B699-MAX(0,E699-D699)),0)</x:f>
      </x:c>
      <x:c r="G699" s="32" t="e">
        <x:f>IF(A699=1,D699,G698+D699)</x:f>
      </x:c>
      <x:c r="H699" s="32"/>
      <x:c r="I699" s="32" t="e">
        <x:f>IF(A699=1,Dashboard!$F$14,M698)</x:f>
      </x:c>
      <x:c r="J699" s="32" t="e">
        <x:f>IF(A699&lt;=Dashboard!$F$17,MIN(I699,$B$5),0)</x:f>
      </x:c>
      <x:c r="K699" s="32" t="e">
        <x:f>IF(A699&lt;=Dashboard!$F$17,MAX(0,I699-J699)*Dashboard!$F$6,0)</x:f>
      </x:c>
      <x:c r="L699" s="32" t="e">
        <x:f>IF(A699&lt;=Dashboard!$F$17,MIN(Dashboard!$F$10,MAX(0,I699-J699)+K699),0)</x:f>
      </x:c>
      <x:c r="M699" s="32" t="e">
        <x:f>IF(A699&lt;=Dashboard!$F$17,MAX(0,I699-J699-MAX(0,L699-K699)),0)</x:f>
      </x:c>
      <x:c r="N699" s="32" t="e">
        <x:f>IF(A699=1,K699,N698+K699)</x:f>
      </x:c>
      <x:c r="O699" s="32"/>
      <x:c r="P699" s="32" t="e">
        <x:f>IF(A699=1,Dashboard!$F$14,T698)</x:f>
      </x:c>
      <x:c r="Q699" s="32" t="e">
        <x:f>IF(A699&lt;=Dashboard!$F$17,MIN(P699,$B$6*52/12),0)</x:f>
      </x:c>
      <x:c r="R699" s="32" t="e">
        <x:f>IF(A699&lt;=Dashboard!$F$17,MAX(0,P699-Q699)*Dashboard!$F$6,0)</x:f>
      </x:c>
      <x:c r="S699" s="32" t="e">
        <x:f>IF(A699&lt;=Dashboard!$F$17,MIN(Dashboard!$F$10,MAX(0,P699-Q699)+R699),0)</x:f>
      </x:c>
      <x:c r="T699" s="32" t="e">
        <x:f>IF(A699&lt;=Dashboard!$F$17,MAX(0,P699-Q699-MAX(0,S699-R699)),0)</x:f>
      </x:c>
      <x:c r="U699" s="32" t="e">
        <x:f>IF(A699=1,R699,U698+R699)</x:f>
      </x:c>
      <x:c r="V699" s="32"/>
      <x:c r="W699" s="32" t="e">
        <x:f>IF(A699=1,Dashboard!$F$14,AA698)</x:f>
      </x:c>
      <x:c r="X699" s="32" t="e">
        <x:f>IF(AND(A699&lt;=Dashboard!$F$17,MOD(A699-1,12)=0),MIN(W699,$B$7),0)</x:f>
      </x:c>
      <x:c r="Y699" s="32" t="e">
        <x:f>IF(A699&lt;=Dashboard!$F$17,MAX(0,W699-X699)*Dashboard!$F$6,0)</x:f>
      </x:c>
      <x:c r="Z699" s="32" t="e">
        <x:f>IF(A699&lt;=Dashboard!$F$17,MIN(Dashboard!$F$10,MAX(0,W699-X699)+Y699),0)</x:f>
      </x:c>
      <x:c r="AA699" s="32" t="e">
        <x:f>IF(A699&lt;=Dashboard!$F$17,MAX(0,W699-X699-MAX(0,Z699-Y699)),0)</x:f>
      </x:c>
      <x:c r="AB699" s="32" t="e">
        <x:f>IF(A699=1,Y699,AB698+Y699)</x:f>
      </x:c>
      <x:c r="AC699" s="32"/>
      <x:c r="AD699" s="32" t="e">
        <x:f>IF(A699=1,MAX(0,Dashboard!$F$14-$B$8),AG698)</x:f>
      </x:c>
      <x:c r="AE699" s="32" t="n">
        <x:f>0</x:f>
        <x:v>0</x:v>
      </x:c>
      <x:c r="AF699" s="32" t="e">
        <x:f>IF(A699&lt;=Dashboard!$F$17,AD699*Dashboard!$F$6,0)</x:f>
      </x:c>
      <x:c r="AG699" s="32" t="e">
        <x:f>IF(A699&lt;=Dashboard!$F$17,MIN(Dashboard!$F$10,AD699+AF699),0)</x:f>
      </x:c>
      <x:c r="AH699" s="32" t="e">
        <x:f>IF(A699&lt;=Dashboard!$F$17,MAX(0,AD699-MAX(0,AG699-AF699)),0)</x:f>
      </x:c>
      <x:c r="AI699" s="32" t="e">
        <x:f>IF(A699=1,AF699,AI698+AF699)</x:f>
      </x:c>
      <x:c r="AJ699" s="33"/>
      <x:c r="AK699" s="33"/>
      <x:c r="AL699" s="33"/>
      <x:c r="AM699" s="33"/>
    </x:row>
    <x:row r="700">
      <x:c r="A700" s="33" t="n">
        <x:v>688</x:v>
      </x:c>
      <x:c r="B700" s="32" t="e">
        <x:f>IF(A700=1,Dashboard!$F$14,F699)</x:f>
      </x:c>
      <x:c r="C700" s="32" t="n">
        <x:f>0</x:f>
        <x:v>0</x:v>
      </x:c>
      <x:c r="D700" s="32" t="e">
        <x:f>IF(A700&lt;=Dashboard!$F$15,B700*Dashboard!$F$6,0)</x:f>
      </x:c>
      <x:c r="E700" s="32" t="e">
        <x:f>IF(A700&lt;=Dashboard!$F$15,MIN(Dashboard!$F$10,B700+D700),0)</x:f>
      </x:c>
      <x:c r="F700" s="32" t="e">
        <x:f>IF(A700&lt;=Dashboard!$F$15,MAX(0,B700-MAX(0,E700-D700)),0)</x:f>
      </x:c>
      <x:c r="G700" s="32" t="e">
        <x:f>IF(A700=1,D700,G699+D700)</x:f>
      </x:c>
      <x:c r="H700" s="32"/>
      <x:c r="I700" s="32" t="e">
        <x:f>IF(A700=1,Dashboard!$F$14,M699)</x:f>
      </x:c>
      <x:c r="J700" s="32" t="e">
        <x:f>IF(A700&lt;=Dashboard!$F$17,MIN(I700,$B$5),0)</x:f>
      </x:c>
      <x:c r="K700" s="32" t="e">
        <x:f>IF(A700&lt;=Dashboard!$F$17,MAX(0,I700-J700)*Dashboard!$F$6,0)</x:f>
      </x:c>
      <x:c r="L700" s="32" t="e">
        <x:f>IF(A700&lt;=Dashboard!$F$17,MIN(Dashboard!$F$10,MAX(0,I700-J700)+K700),0)</x:f>
      </x:c>
      <x:c r="M700" s="32" t="e">
        <x:f>IF(A700&lt;=Dashboard!$F$17,MAX(0,I700-J700-MAX(0,L700-K700)),0)</x:f>
      </x:c>
      <x:c r="N700" s="32" t="e">
        <x:f>IF(A700=1,K700,N699+K700)</x:f>
      </x:c>
      <x:c r="O700" s="32"/>
      <x:c r="P700" s="32" t="e">
        <x:f>IF(A700=1,Dashboard!$F$14,T699)</x:f>
      </x:c>
      <x:c r="Q700" s="32" t="e">
        <x:f>IF(A700&lt;=Dashboard!$F$17,MIN(P700,$B$6*52/12),0)</x:f>
      </x:c>
      <x:c r="R700" s="32" t="e">
        <x:f>IF(A700&lt;=Dashboard!$F$17,MAX(0,P700-Q700)*Dashboard!$F$6,0)</x:f>
      </x:c>
      <x:c r="S700" s="32" t="e">
        <x:f>IF(A700&lt;=Dashboard!$F$17,MIN(Dashboard!$F$10,MAX(0,P700-Q700)+R700),0)</x:f>
      </x:c>
      <x:c r="T700" s="32" t="e">
        <x:f>IF(A700&lt;=Dashboard!$F$17,MAX(0,P700-Q700-MAX(0,S700-R700)),0)</x:f>
      </x:c>
      <x:c r="U700" s="32" t="e">
        <x:f>IF(A700=1,R700,U699+R700)</x:f>
      </x:c>
      <x:c r="V700" s="32"/>
      <x:c r="W700" s="32" t="e">
        <x:f>IF(A700=1,Dashboard!$F$14,AA699)</x:f>
      </x:c>
      <x:c r="X700" s="32" t="e">
        <x:f>IF(AND(A700&lt;=Dashboard!$F$17,MOD(A700-1,12)=0),MIN(W700,$B$7),0)</x:f>
      </x:c>
      <x:c r="Y700" s="32" t="e">
        <x:f>IF(A700&lt;=Dashboard!$F$17,MAX(0,W700-X700)*Dashboard!$F$6,0)</x:f>
      </x:c>
      <x:c r="Z700" s="32" t="e">
        <x:f>IF(A700&lt;=Dashboard!$F$17,MIN(Dashboard!$F$10,MAX(0,W700-X700)+Y700),0)</x:f>
      </x:c>
      <x:c r="AA700" s="32" t="e">
        <x:f>IF(A700&lt;=Dashboard!$F$17,MAX(0,W700-X700-MAX(0,Z700-Y700)),0)</x:f>
      </x:c>
      <x:c r="AB700" s="32" t="e">
        <x:f>IF(A700=1,Y700,AB699+Y700)</x:f>
      </x:c>
      <x:c r="AC700" s="32"/>
      <x:c r="AD700" s="32" t="e">
        <x:f>IF(A700=1,MAX(0,Dashboard!$F$14-$B$8),AG699)</x:f>
      </x:c>
      <x:c r="AE700" s="32" t="n">
        <x:f>0</x:f>
        <x:v>0</x:v>
      </x:c>
      <x:c r="AF700" s="32" t="e">
        <x:f>IF(A700&lt;=Dashboard!$F$17,AD700*Dashboard!$F$6,0)</x:f>
      </x:c>
      <x:c r="AG700" s="32" t="e">
        <x:f>IF(A700&lt;=Dashboard!$F$17,MIN(Dashboard!$F$10,AD700+AF700),0)</x:f>
      </x:c>
      <x:c r="AH700" s="32" t="e">
        <x:f>IF(A700&lt;=Dashboard!$F$17,MAX(0,AD700-MAX(0,AG700-AF700)),0)</x:f>
      </x:c>
      <x:c r="AI700" s="32" t="e">
        <x:f>IF(A700=1,AF700,AI699+AF700)</x:f>
      </x:c>
      <x:c r="AJ700" s="33"/>
      <x:c r="AK700" s="33"/>
      <x:c r="AL700" s="33"/>
      <x:c r="AM700" s="33"/>
    </x:row>
    <x:row r="701">
      <x:c r="A701" s="33" t="n">
        <x:v>689</x:v>
      </x:c>
      <x:c r="B701" s="32" t="e">
        <x:f>IF(A701=1,Dashboard!$F$14,F700)</x:f>
      </x:c>
      <x:c r="C701" s="32" t="n">
        <x:f>0</x:f>
        <x:v>0</x:v>
      </x:c>
      <x:c r="D701" s="32" t="e">
        <x:f>IF(A701&lt;=Dashboard!$F$15,B701*Dashboard!$F$6,0)</x:f>
      </x:c>
      <x:c r="E701" s="32" t="e">
        <x:f>IF(A701&lt;=Dashboard!$F$15,MIN(Dashboard!$F$10,B701+D701),0)</x:f>
      </x:c>
      <x:c r="F701" s="32" t="e">
        <x:f>IF(A701&lt;=Dashboard!$F$15,MAX(0,B701-MAX(0,E701-D701)),0)</x:f>
      </x:c>
      <x:c r="G701" s="32" t="e">
        <x:f>IF(A701=1,D701,G700+D701)</x:f>
      </x:c>
      <x:c r="H701" s="32"/>
      <x:c r="I701" s="32" t="e">
        <x:f>IF(A701=1,Dashboard!$F$14,M700)</x:f>
      </x:c>
      <x:c r="J701" s="32" t="e">
        <x:f>IF(A701&lt;=Dashboard!$F$17,MIN(I701,$B$5),0)</x:f>
      </x:c>
      <x:c r="K701" s="32" t="e">
        <x:f>IF(A701&lt;=Dashboard!$F$17,MAX(0,I701-J701)*Dashboard!$F$6,0)</x:f>
      </x:c>
      <x:c r="L701" s="32" t="e">
        <x:f>IF(A701&lt;=Dashboard!$F$17,MIN(Dashboard!$F$10,MAX(0,I701-J701)+K701),0)</x:f>
      </x:c>
      <x:c r="M701" s="32" t="e">
        <x:f>IF(A701&lt;=Dashboard!$F$17,MAX(0,I701-J701-MAX(0,L701-K701)),0)</x:f>
      </x:c>
      <x:c r="N701" s="32" t="e">
        <x:f>IF(A701=1,K701,N700+K701)</x:f>
      </x:c>
      <x:c r="O701" s="32"/>
      <x:c r="P701" s="32" t="e">
        <x:f>IF(A701=1,Dashboard!$F$14,T700)</x:f>
      </x:c>
      <x:c r="Q701" s="32" t="e">
        <x:f>IF(A701&lt;=Dashboard!$F$17,MIN(P701,$B$6*52/12),0)</x:f>
      </x:c>
      <x:c r="R701" s="32" t="e">
        <x:f>IF(A701&lt;=Dashboard!$F$17,MAX(0,P701-Q701)*Dashboard!$F$6,0)</x:f>
      </x:c>
      <x:c r="S701" s="32" t="e">
        <x:f>IF(A701&lt;=Dashboard!$F$17,MIN(Dashboard!$F$10,MAX(0,P701-Q701)+R701),0)</x:f>
      </x:c>
      <x:c r="T701" s="32" t="e">
        <x:f>IF(A701&lt;=Dashboard!$F$17,MAX(0,P701-Q701-MAX(0,S701-R701)),0)</x:f>
      </x:c>
      <x:c r="U701" s="32" t="e">
        <x:f>IF(A701=1,R701,U700+R701)</x:f>
      </x:c>
      <x:c r="V701" s="32"/>
      <x:c r="W701" s="32" t="e">
        <x:f>IF(A701=1,Dashboard!$F$14,AA700)</x:f>
      </x:c>
      <x:c r="X701" s="32" t="e">
        <x:f>IF(AND(A701&lt;=Dashboard!$F$17,MOD(A701-1,12)=0),MIN(W701,$B$7),0)</x:f>
      </x:c>
      <x:c r="Y701" s="32" t="e">
        <x:f>IF(A701&lt;=Dashboard!$F$17,MAX(0,W701-X701)*Dashboard!$F$6,0)</x:f>
      </x:c>
      <x:c r="Z701" s="32" t="e">
        <x:f>IF(A701&lt;=Dashboard!$F$17,MIN(Dashboard!$F$10,MAX(0,W701-X701)+Y701),0)</x:f>
      </x:c>
      <x:c r="AA701" s="32" t="e">
        <x:f>IF(A701&lt;=Dashboard!$F$17,MAX(0,W701-X701-MAX(0,Z701-Y701)),0)</x:f>
      </x:c>
      <x:c r="AB701" s="32" t="e">
        <x:f>IF(A701=1,Y701,AB700+Y701)</x:f>
      </x:c>
      <x:c r="AC701" s="32"/>
      <x:c r="AD701" s="32" t="e">
        <x:f>IF(A701=1,MAX(0,Dashboard!$F$14-$B$8),AG700)</x:f>
      </x:c>
      <x:c r="AE701" s="32" t="n">
        <x:f>0</x:f>
        <x:v>0</x:v>
      </x:c>
      <x:c r="AF701" s="32" t="e">
        <x:f>IF(A701&lt;=Dashboard!$F$17,AD701*Dashboard!$F$6,0)</x:f>
      </x:c>
      <x:c r="AG701" s="32" t="e">
        <x:f>IF(A701&lt;=Dashboard!$F$17,MIN(Dashboard!$F$10,AD701+AF701),0)</x:f>
      </x:c>
      <x:c r="AH701" s="32" t="e">
        <x:f>IF(A701&lt;=Dashboard!$F$17,MAX(0,AD701-MAX(0,AG701-AF701)),0)</x:f>
      </x:c>
      <x:c r="AI701" s="32" t="e">
        <x:f>IF(A701=1,AF701,AI700+AF701)</x:f>
      </x:c>
      <x:c r="AJ701" s="33"/>
      <x:c r="AK701" s="33"/>
      <x:c r="AL701" s="33"/>
      <x:c r="AM701" s="33"/>
    </x:row>
    <x:row r="702">
      <x:c r="A702" s="33" t="n">
        <x:v>690</x:v>
      </x:c>
      <x:c r="B702" s="32" t="e">
        <x:f>IF(A702=1,Dashboard!$F$14,F701)</x:f>
      </x:c>
      <x:c r="C702" s="32" t="n">
        <x:f>0</x:f>
        <x:v>0</x:v>
      </x:c>
      <x:c r="D702" s="32" t="e">
        <x:f>IF(A702&lt;=Dashboard!$F$15,B702*Dashboard!$F$6,0)</x:f>
      </x:c>
      <x:c r="E702" s="32" t="e">
        <x:f>IF(A702&lt;=Dashboard!$F$15,MIN(Dashboard!$F$10,B702+D702),0)</x:f>
      </x:c>
      <x:c r="F702" s="32" t="e">
        <x:f>IF(A702&lt;=Dashboard!$F$15,MAX(0,B702-MAX(0,E702-D702)),0)</x:f>
      </x:c>
      <x:c r="G702" s="32" t="e">
        <x:f>IF(A702=1,D702,G701+D702)</x:f>
      </x:c>
      <x:c r="H702" s="32"/>
      <x:c r="I702" s="32" t="e">
        <x:f>IF(A702=1,Dashboard!$F$14,M701)</x:f>
      </x:c>
      <x:c r="J702" s="32" t="e">
        <x:f>IF(A702&lt;=Dashboard!$F$17,MIN(I702,$B$5),0)</x:f>
      </x:c>
      <x:c r="K702" s="32" t="e">
        <x:f>IF(A702&lt;=Dashboard!$F$17,MAX(0,I702-J702)*Dashboard!$F$6,0)</x:f>
      </x:c>
      <x:c r="L702" s="32" t="e">
        <x:f>IF(A702&lt;=Dashboard!$F$17,MIN(Dashboard!$F$10,MAX(0,I702-J702)+K702),0)</x:f>
      </x:c>
      <x:c r="M702" s="32" t="e">
        <x:f>IF(A702&lt;=Dashboard!$F$17,MAX(0,I702-J702-MAX(0,L702-K702)),0)</x:f>
      </x:c>
      <x:c r="N702" s="32" t="e">
        <x:f>IF(A702=1,K702,N701+K702)</x:f>
      </x:c>
      <x:c r="O702" s="32"/>
      <x:c r="P702" s="32" t="e">
        <x:f>IF(A702=1,Dashboard!$F$14,T701)</x:f>
      </x:c>
      <x:c r="Q702" s="32" t="e">
        <x:f>IF(A702&lt;=Dashboard!$F$17,MIN(P702,$B$6*52/12),0)</x:f>
      </x:c>
      <x:c r="R702" s="32" t="e">
        <x:f>IF(A702&lt;=Dashboard!$F$17,MAX(0,P702-Q702)*Dashboard!$F$6,0)</x:f>
      </x:c>
      <x:c r="S702" s="32" t="e">
        <x:f>IF(A702&lt;=Dashboard!$F$17,MIN(Dashboard!$F$10,MAX(0,P702-Q702)+R702),0)</x:f>
      </x:c>
      <x:c r="T702" s="32" t="e">
        <x:f>IF(A702&lt;=Dashboard!$F$17,MAX(0,P702-Q702-MAX(0,S702-R702)),0)</x:f>
      </x:c>
      <x:c r="U702" s="32" t="e">
        <x:f>IF(A702=1,R702,U701+R702)</x:f>
      </x:c>
      <x:c r="V702" s="32"/>
      <x:c r="W702" s="32" t="e">
        <x:f>IF(A702=1,Dashboard!$F$14,AA701)</x:f>
      </x:c>
      <x:c r="X702" s="32" t="e">
        <x:f>IF(AND(A702&lt;=Dashboard!$F$17,MOD(A702-1,12)=0),MIN(W702,$B$7),0)</x:f>
      </x:c>
      <x:c r="Y702" s="32" t="e">
        <x:f>IF(A702&lt;=Dashboard!$F$17,MAX(0,W702-X702)*Dashboard!$F$6,0)</x:f>
      </x:c>
      <x:c r="Z702" s="32" t="e">
        <x:f>IF(A702&lt;=Dashboard!$F$17,MIN(Dashboard!$F$10,MAX(0,W702-X702)+Y702),0)</x:f>
      </x:c>
      <x:c r="AA702" s="32" t="e">
        <x:f>IF(A702&lt;=Dashboard!$F$17,MAX(0,W702-X702-MAX(0,Z702-Y702)),0)</x:f>
      </x:c>
      <x:c r="AB702" s="32" t="e">
        <x:f>IF(A702=1,Y702,AB701+Y702)</x:f>
      </x:c>
      <x:c r="AC702" s="32"/>
      <x:c r="AD702" s="32" t="e">
        <x:f>IF(A702=1,MAX(0,Dashboard!$F$14-$B$8),AG701)</x:f>
      </x:c>
      <x:c r="AE702" s="32" t="n">
        <x:f>0</x:f>
        <x:v>0</x:v>
      </x:c>
      <x:c r="AF702" s="32" t="e">
        <x:f>IF(A702&lt;=Dashboard!$F$17,AD702*Dashboard!$F$6,0)</x:f>
      </x:c>
      <x:c r="AG702" s="32" t="e">
        <x:f>IF(A702&lt;=Dashboard!$F$17,MIN(Dashboard!$F$10,AD702+AF702),0)</x:f>
      </x:c>
      <x:c r="AH702" s="32" t="e">
        <x:f>IF(A702&lt;=Dashboard!$F$17,MAX(0,AD702-MAX(0,AG702-AF702)),0)</x:f>
      </x:c>
      <x:c r="AI702" s="32" t="e">
        <x:f>IF(A702=1,AF702,AI701+AF702)</x:f>
      </x:c>
      <x:c r="AJ702" s="33"/>
      <x:c r="AK702" s="33"/>
      <x:c r="AL702" s="33"/>
      <x:c r="AM702" s="33"/>
    </x:row>
    <x:row r="703">
      <x:c r="A703" s="33" t="n">
        <x:v>691</x:v>
      </x:c>
      <x:c r="B703" s="32" t="e">
        <x:f>IF(A703=1,Dashboard!$F$14,F702)</x:f>
      </x:c>
      <x:c r="C703" s="32" t="n">
        <x:f>0</x:f>
        <x:v>0</x:v>
      </x:c>
      <x:c r="D703" s="32" t="e">
        <x:f>IF(A703&lt;=Dashboard!$F$15,B703*Dashboard!$F$6,0)</x:f>
      </x:c>
      <x:c r="E703" s="32" t="e">
        <x:f>IF(A703&lt;=Dashboard!$F$15,MIN(Dashboard!$F$10,B703+D703),0)</x:f>
      </x:c>
      <x:c r="F703" s="32" t="e">
        <x:f>IF(A703&lt;=Dashboard!$F$15,MAX(0,B703-MAX(0,E703-D703)),0)</x:f>
      </x:c>
      <x:c r="G703" s="32" t="e">
        <x:f>IF(A703=1,D703,G702+D703)</x:f>
      </x:c>
      <x:c r="H703" s="32"/>
      <x:c r="I703" s="32" t="e">
        <x:f>IF(A703=1,Dashboard!$F$14,M702)</x:f>
      </x:c>
      <x:c r="J703" s="32" t="e">
        <x:f>IF(A703&lt;=Dashboard!$F$17,MIN(I703,$B$5),0)</x:f>
      </x:c>
      <x:c r="K703" s="32" t="e">
        <x:f>IF(A703&lt;=Dashboard!$F$17,MAX(0,I703-J703)*Dashboard!$F$6,0)</x:f>
      </x:c>
      <x:c r="L703" s="32" t="e">
        <x:f>IF(A703&lt;=Dashboard!$F$17,MIN(Dashboard!$F$10,MAX(0,I703-J703)+K703),0)</x:f>
      </x:c>
      <x:c r="M703" s="32" t="e">
        <x:f>IF(A703&lt;=Dashboard!$F$17,MAX(0,I703-J703-MAX(0,L703-K703)),0)</x:f>
      </x:c>
      <x:c r="N703" s="32" t="e">
        <x:f>IF(A703=1,K703,N702+K703)</x:f>
      </x:c>
      <x:c r="O703" s="32"/>
      <x:c r="P703" s="32" t="e">
        <x:f>IF(A703=1,Dashboard!$F$14,T702)</x:f>
      </x:c>
      <x:c r="Q703" s="32" t="e">
        <x:f>IF(A703&lt;=Dashboard!$F$17,MIN(P703,$B$6*52/12),0)</x:f>
      </x:c>
      <x:c r="R703" s="32" t="e">
        <x:f>IF(A703&lt;=Dashboard!$F$17,MAX(0,P703-Q703)*Dashboard!$F$6,0)</x:f>
      </x:c>
      <x:c r="S703" s="32" t="e">
        <x:f>IF(A703&lt;=Dashboard!$F$17,MIN(Dashboard!$F$10,MAX(0,P703-Q703)+R703),0)</x:f>
      </x:c>
      <x:c r="T703" s="32" t="e">
        <x:f>IF(A703&lt;=Dashboard!$F$17,MAX(0,P703-Q703-MAX(0,S703-R703)),0)</x:f>
      </x:c>
      <x:c r="U703" s="32" t="e">
        <x:f>IF(A703=1,R703,U702+R703)</x:f>
      </x:c>
      <x:c r="V703" s="32"/>
      <x:c r="W703" s="32" t="e">
        <x:f>IF(A703=1,Dashboard!$F$14,AA702)</x:f>
      </x:c>
      <x:c r="X703" s="32" t="e">
        <x:f>IF(AND(A703&lt;=Dashboard!$F$17,MOD(A703-1,12)=0),MIN(W703,$B$7),0)</x:f>
      </x:c>
      <x:c r="Y703" s="32" t="e">
        <x:f>IF(A703&lt;=Dashboard!$F$17,MAX(0,W703-X703)*Dashboard!$F$6,0)</x:f>
      </x:c>
      <x:c r="Z703" s="32" t="e">
        <x:f>IF(A703&lt;=Dashboard!$F$17,MIN(Dashboard!$F$10,MAX(0,W703-X703)+Y703),0)</x:f>
      </x:c>
      <x:c r="AA703" s="32" t="e">
        <x:f>IF(A703&lt;=Dashboard!$F$17,MAX(0,W703-X703-MAX(0,Z703-Y703)),0)</x:f>
      </x:c>
      <x:c r="AB703" s="32" t="e">
        <x:f>IF(A703=1,Y703,AB702+Y703)</x:f>
      </x:c>
      <x:c r="AC703" s="32"/>
      <x:c r="AD703" s="32" t="e">
        <x:f>IF(A703=1,MAX(0,Dashboard!$F$14-$B$8),AG702)</x:f>
      </x:c>
      <x:c r="AE703" s="32" t="n">
        <x:f>0</x:f>
        <x:v>0</x:v>
      </x:c>
      <x:c r="AF703" s="32" t="e">
        <x:f>IF(A703&lt;=Dashboard!$F$17,AD703*Dashboard!$F$6,0)</x:f>
      </x:c>
      <x:c r="AG703" s="32" t="e">
        <x:f>IF(A703&lt;=Dashboard!$F$17,MIN(Dashboard!$F$10,AD703+AF703),0)</x:f>
      </x:c>
      <x:c r="AH703" s="32" t="e">
        <x:f>IF(A703&lt;=Dashboard!$F$17,MAX(0,AD703-MAX(0,AG703-AF703)),0)</x:f>
      </x:c>
      <x:c r="AI703" s="32" t="e">
        <x:f>IF(A703=1,AF703,AI702+AF703)</x:f>
      </x:c>
      <x:c r="AJ703" s="33"/>
      <x:c r="AK703" s="33"/>
      <x:c r="AL703" s="33"/>
      <x:c r="AM703" s="33"/>
    </x:row>
    <x:row r="704">
      <x:c r="A704" s="33" t="n">
        <x:v>692</x:v>
      </x:c>
      <x:c r="B704" s="32" t="e">
        <x:f>IF(A704=1,Dashboard!$F$14,F703)</x:f>
      </x:c>
      <x:c r="C704" s="32" t="n">
        <x:f>0</x:f>
        <x:v>0</x:v>
      </x:c>
      <x:c r="D704" s="32" t="e">
        <x:f>IF(A704&lt;=Dashboard!$F$15,B704*Dashboard!$F$6,0)</x:f>
      </x:c>
      <x:c r="E704" s="32" t="e">
        <x:f>IF(A704&lt;=Dashboard!$F$15,MIN(Dashboard!$F$10,B704+D704),0)</x:f>
      </x:c>
      <x:c r="F704" s="32" t="e">
        <x:f>IF(A704&lt;=Dashboard!$F$15,MAX(0,B704-MAX(0,E704-D704)),0)</x:f>
      </x:c>
      <x:c r="G704" s="32" t="e">
        <x:f>IF(A704=1,D704,G703+D704)</x:f>
      </x:c>
      <x:c r="H704" s="32"/>
      <x:c r="I704" s="32" t="e">
        <x:f>IF(A704=1,Dashboard!$F$14,M703)</x:f>
      </x:c>
      <x:c r="J704" s="32" t="e">
        <x:f>IF(A704&lt;=Dashboard!$F$17,MIN(I704,$B$5),0)</x:f>
      </x:c>
      <x:c r="K704" s="32" t="e">
        <x:f>IF(A704&lt;=Dashboard!$F$17,MAX(0,I704-J704)*Dashboard!$F$6,0)</x:f>
      </x:c>
      <x:c r="L704" s="32" t="e">
        <x:f>IF(A704&lt;=Dashboard!$F$17,MIN(Dashboard!$F$10,MAX(0,I704-J704)+K704),0)</x:f>
      </x:c>
      <x:c r="M704" s="32" t="e">
        <x:f>IF(A704&lt;=Dashboard!$F$17,MAX(0,I704-J704-MAX(0,L704-K704)),0)</x:f>
      </x:c>
      <x:c r="N704" s="32" t="e">
        <x:f>IF(A704=1,K704,N703+K704)</x:f>
      </x:c>
      <x:c r="O704" s="32"/>
      <x:c r="P704" s="32" t="e">
        <x:f>IF(A704=1,Dashboard!$F$14,T703)</x:f>
      </x:c>
      <x:c r="Q704" s="32" t="e">
        <x:f>IF(A704&lt;=Dashboard!$F$17,MIN(P704,$B$6*52/12),0)</x:f>
      </x:c>
      <x:c r="R704" s="32" t="e">
        <x:f>IF(A704&lt;=Dashboard!$F$17,MAX(0,P704-Q704)*Dashboard!$F$6,0)</x:f>
      </x:c>
      <x:c r="S704" s="32" t="e">
        <x:f>IF(A704&lt;=Dashboard!$F$17,MIN(Dashboard!$F$10,MAX(0,P704-Q704)+R704),0)</x:f>
      </x:c>
      <x:c r="T704" s="32" t="e">
        <x:f>IF(A704&lt;=Dashboard!$F$17,MAX(0,P704-Q704-MAX(0,S704-R704)),0)</x:f>
      </x:c>
      <x:c r="U704" s="32" t="e">
        <x:f>IF(A704=1,R704,U703+R704)</x:f>
      </x:c>
      <x:c r="V704" s="32"/>
      <x:c r="W704" s="32" t="e">
        <x:f>IF(A704=1,Dashboard!$F$14,AA703)</x:f>
      </x:c>
      <x:c r="X704" s="32" t="e">
        <x:f>IF(AND(A704&lt;=Dashboard!$F$17,MOD(A704-1,12)=0),MIN(W704,$B$7),0)</x:f>
      </x:c>
      <x:c r="Y704" s="32" t="e">
        <x:f>IF(A704&lt;=Dashboard!$F$17,MAX(0,W704-X704)*Dashboard!$F$6,0)</x:f>
      </x:c>
      <x:c r="Z704" s="32" t="e">
        <x:f>IF(A704&lt;=Dashboard!$F$17,MIN(Dashboard!$F$10,MAX(0,W704-X704)+Y704),0)</x:f>
      </x:c>
      <x:c r="AA704" s="32" t="e">
        <x:f>IF(A704&lt;=Dashboard!$F$17,MAX(0,W704-X704-MAX(0,Z704-Y704)),0)</x:f>
      </x:c>
      <x:c r="AB704" s="32" t="e">
        <x:f>IF(A704=1,Y704,AB703+Y704)</x:f>
      </x:c>
      <x:c r="AC704" s="32"/>
      <x:c r="AD704" s="32" t="e">
        <x:f>IF(A704=1,MAX(0,Dashboard!$F$14-$B$8),AG703)</x:f>
      </x:c>
      <x:c r="AE704" s="32" t="n">
        <x:f>0</x:f>
        <x:v>0</x:v>
      </x:c>
      <x:c r="AF704" s="32" t="e">
        <x:f>IF(A704&lt;=Dashboard!$F$17,AD704*Dashboard!$F$6,0)</x:f>
      </x:c>
      <x:c r="AG704" s="32" t="e">
        <x:f>IF(A704&lt;=Dashboard!$F$17,MIN(Dashboard!$F$10,AD704+AF704),0)</x:f>
      </x:c>
      <x:c r="AH704" s="32" t="e">
        <x:f>IF(A704&lt;=Dashboard!$F$17,MAX(0,AD704-MAX(0,AG704-AF704)),0)</x:f>
      </x:c>
      <x:c r="AI704" s="32" t="e">
        <x:f>IF(A704=1,AF704,AI703+AF704)</x:f>
      </x:c>
      <x:c r="AJ704" s="33"/>
      <x:c r="AK704" s="33"/>
      <x:c r="AL704" s="33"/>
      <x:c r="AM704" s="33"/>
    </x:row>
    <x:row r="705">
      <x:c r="A705" s="33" t="n">
        <x:v>693</x:v>
      </x:c>
      <x:c r="B705" s="32" t="e">
        <x:f>IF(A705=1,Dashboard!$F$14,F704)</x:f>
      </x:c>
      <x:c r="C705" s="32" t="n">
        <x:f>0</x:f>
        <x:v>0</x:v>
      </x:c>
      <x:c r="D705" s="32" t="e">
        <x:f>IF(A705&lt;=Dashboard!$F$15,B705*Dashboard!$F$6,0)</x:f>
      </x:c>
      <x:c r="E705" s="32" t="e">
        <x:f>IF(A705&lt;=Dashboard!$F$15,MIN(Dashboard!$F$10,B705+D705),0)</x:f>
      </x:c>
      <x:c r="F705" s="32" t="e">
        <x:f>IF(A705&lt;=Dashboard!$F$15,MAX(0,B705-MAX(0,E705-D705)),0)</x:f>
      </x:c>
      <x:c r="G705" s="32" t="e">
        <x:f>IF(A705=1,D705,G704+D705)</x:f>
      </x:c>
      <x:c r="H705" s="32"/>
      <x:c r="I705" s="32" t="e">
        <x:f>IF(A705=1,Dashboard!$F$14,M704)</x:f>
      </x:c>
      <x:c r="J705" s="32" t="e">
        <x:f>IF(A705&lt;=Dashboard!$F$17,MIN(I705,$B$5),0)</x:f>
      </x:c>
      <x:c r="K705" s="32" t="e">
        <x:f>IF(A705&lt;=Dashboard!$F$17,MAX(0,I705-J705)*Dashboard!$F$6,0)</x:f>
      </x:c>
      <x:c r="L705" s="32" t="e">
        <x:f>IF(A705&lt;=Dashboard!$F$17,MIN(Dashboard!$F$10,MAX(0,I705-J705)+K705),0)</x:f>
      </x:c>
      <x:c r="M705" s="32" t="e">
        <x:f>IF(A705&lt;=Dashboard!$F$17,MAX(0,I705-J705-MAX(0,L705-K705)),0)</x:f>
      </x:c>
      <x:c r="N705" s="32" t="e">
        <x:f>IF(A705=1,K705,N704+K705)</x:f>
      </x:c>
      <x:c r="O705" s="32"/>
      <x:c r="P705" s="32" t="e">
        <x:f>IF(A705=1,Dashboard!$F$14,T704)</x:f>
      </x:c>
      <x:c r="Q705" s="32" t="e">
        <x:f>IF(A705&lt;=Dashboard!$F$17,MIN(P705,$B$6*52/12),0)</x:f>
      </x:c>
      <x:c r="R705" s="32" t="e">
        <x:f>IF(A705&lt;=Dashboard!$F$17,MAX(0,P705-Q705)*Dashboard!$F$6,0)</x:f>
      </x:c>
      <x:c r="S705" s="32" t="e">
        <x:f>IF(A705&lt;=Dashboard!$F$17,MIN(Dashboard!$F$10,MAX(0,P705-Q705)+R705),0)</x:f>
      </x:c>
      <x:c r="T705" s="32" t="e">
        <x:f>IF(A705&lt;=Dashboard!$F$17,MAX(0,P705-Q705-MAX(0,S705-R705)),0)</x:f>
      </x:c>
      <x:c r="U705" s="32" t="e">
        <x:f>IF(A705=1,R705,U704+R705)</x:f>
      </x:c>
      <x:c r="V705" s="32"/>
      <x:c r="W705" s="32" t="e">
        <x:f>IF(A705=1,Dashboard!$F$14,AA704)</x:f>
      </x:c>
      <x:c r="X705" s="32" t="e">
        <x:f>IF(AND(A705&lt;=Dashboard!$F$17,MOD(A705-1,12)=0),MIN(W705,$B$7),0)</x:f>
      </x:c>
      <x:c r="Y705" s="32" t="e">
        <x:f>IF(A705&lt;=Dashboard!$F$17,MAX(0,W705-X705)*Dashboard!$F$6,0)</x:f>
      </x:c>
      <x:c r="Z705" s="32" t="e">
        <x:f>IF(A705&lt;=Dashboard!$F$17,MIN(Dashboard!$F$10,MAX(0,W705-X705)+Y705),0)</x:f>
      </x:c>
      <x:c r="AA705" s="32" t="e">
        <x:f>IF(A705&lt;=Dashboard!$F$17,MAX(0,W705-X705-MAX(0,Z705-Y705)),0)</x:f>
      </x:c>
      <x:c r="AB705" s="32" t="e">
        <x:f>IF(A705=1,Y705,AB704+Y705)</x:f>
      </x:c>
      <x:c r="AC705" s="32"/>
      <x:c r="AD705" s="32" t="e">
        <x:f>IF(A705=1,MAX(0,Dashboard!$F$14-$B$8),AG704)</x:f>
      </x:c>
      <x:c r="AE705" s="32" t="n">
        <x:f>0</x:f>
        <x:v>0</x:v>
      </x:c>
      <x:c r="AF705" s="32" t="e">
        <x:f>IF(A705&lt;=Dashboard!$F$17,AD705*Dashboard!$F$6,0)</x:f>
      </x:c>
      <x:c r="AG705" s="32" t="e">
        <x:f>IF(A705&lt;=Dashboard!$F$17,MIN(Dashboard!$F$10,AD705+AF705),0)</x:f>
      </x:c>
      <x:c r="AH705" s="32" t="e">
        <x:f>IF(A705&lt;=Dashboard!$F$17,MAX(0,AD705-MAX(0,AG705-AF705)),0)</x:f>
      </x:c>
      <x:c r="AI705" s="32" t="e">
        <x:f>IF(A705=1,AF705,AI704+AF705)</x:f>
      </x:c>
      <x:c r="AJ705" s="33"/>
      <x:c r="AK705" s="33"/>
      <x:c r="AL705" s="33"/>
      <x:c r="AM705" s="33"/>
    </x:row>
    <x:row r="706">
      <x:c r="A706" s="33" t="n">
        <x:v>694</x:v>
      </x:c>
      <x:c r="B706" s="32" t="e">
        <x:f>IF(A706=1,Dashboard!$F$14,F705)</x:f>
      </x:c>
      <x:c r="C706" s="32" t="n">
        <x:f>0</x:f>
        <x:v>0</x:v>
      </x:c>
      <x:c r="D706" s="32" t="e">
        <x:f>IF(A706&lt;=Dashboard!$F$15,B706*Dashboard!$F$6,0)</x:f>
      </x:c>
      <x:c r="E706" s="32" t="e">
        <x:f>IF(A706&lt;=Dashboard!$F$15,MIN(Dashboard!$F$10,B706+D706),0)</x:f>
      </x:c>
      <x:c r="F706" s="32" t="e">
        <x:f>IF(A706&lt;=Dashboard!$F$15,MAX(0,B706-MAX(0,E706-D706)),0)</x:f>
      </x:c>
      <x:c r="G706" s="32" t="e">
        <x:f>IF(A706=1,D706,G705+D706)</x:f>
      </x:c>
      <x:c r="H706" s="32"/>
      <x:c r="I706" s="32" t="e">
        <x:f>IF(A706=1,Dashboard!$F$14,M705)</x:f>
      </x:c>
      <x:c r="J706" s="32" t="e">
        <x:f>IF(A706&lt;=Dashboard!$F$17,MIN(I706,$B$5),0)</x:f>
      </x:c>
      <x:c r="K706" s="32" t="e">
        <x:f>IF(A706&lt;=Dashboard!$F$17,MAX(0,I706-J706)*Dashboard!$F$6,0)</x:f>
      </x:c>
      <x:c r="L706" s="32" t="e">
        <x:f>IF(A706&lt;=Dashboard!$F$17,MIN(Dashboard!$F$10,MAX(0,I706-J706)+K706),0)</x:f>
      </x:c>
      <x:c r="M706" s="32" t="e">
        <x:f>IF(A706&lt;=Dashboard!$F$17,MAX(0,I706-J706-MAX(0,L706-K706)),0)</x:f>
      </x:c>
      <x:c r="N706" s="32" t="e">
        <x:f>IF(A706=1,K706,N705+K706)</x:f>
      </x:c>
      <x:c r="O706" s="32"/>
      <x:c r="P706" s="32" t="e">
        <x:f>IF(A706=1,Dashboard!$F$14,T705)</x:f>
      </x:c>
      <x:c r="Q706" s="32" t="e">
        <x:f>IF(A706&lt;=Dashboard!$F$17,MIN(P706,$B$6*52/12),0)</x:f>
      </x:c>
      <x:c r="R706" s="32" t="e">
        <x:f>IF(A706&lt;=Dashboard!$F$17,MAX(0,P706-Q706)*Dashboard!$F$6,0)</x:f>
      </x:c>
      <x:c r="S706" s="32" t="e">
        <x:f>IF(A706&lt;=Dashboard!$F$17,MIN(Dashboard!$F$10,MAX(0,P706-Q706)+R706),0)</x:f>
      </x:c>
      <x:c r="T706" s="32" t="e">
        <x:f>IF(A706&lt;=Dashboard!$F$17,MAX(0,P706-Q706-MAX(0,S706-R706)),0)</x:f>
      </x:c>
      <x:c r="U706" s="32" t="e">
        <x:f>IF(A706=1,R706,U705+R706)</x:f>
      </x:c>
      <x:c r="V706" s="32"/>
      <x:c r="W706" s="32" t="e">
        <x:f>IF(A706=1,Dashboard!$F$14,AA705)</x:f>
      </x:c>
      <x:c r="X706" s="32" t="e">
        <x:f>IF(AND(A706&lt;=Dashboard!$F$17,MOD(A706-1,12)=0),MIN(W706,$B$7),0)</x:f>
      </x:c>
      <x:c r="Y706" s="32" t="e">
        <x:f>IF(A706&lt;=Dashboard!$F$17,MAX(0,W706-X706)*Dashboard!$F$6,0)</x:f>
      </x:c>
      <x:c r="Z706" s="32" t="e">
        <x:f>IF(A706&lt;=Dashboard!$F$17,MIN(Dashboard!$F$10,MAX(0,W706-X706)+Y706),0)</x:f>
      </x:c>
      <x:c r="AA706" s="32" t="e">
        <x:f>IF(A706&lt;=Dashboard!$F$17,MAX(0,W706-X706-MAX(0,Z706-Y706)),0)</x:f>
      </x:c>
      <x:c r="AB706" s="32" t="e">
        <x:f>IF(A706=1,Y706,AB705+Y706)</x:f>
      </x:c>
      <x:c r="AC706" s="32"/>
      <x:c r="AD706" s="32" t="e">
        <x:f>IF(A706=1,MAX(0,Dashboard!$F$14-$B$8),AG705)</x:f>
      </x:c>
      <x:c r="AE706" s="32" t="n">
        <x:f>0</x:f>
        <x:v>0</x:v>
      </x:c>
      <x:c r="AF706" s="32" t="e">
        <x:f>IF(A706&lt;=Dashboard!$F$17,AD706*Dashboard!$F$6,0)</x:f>
      </x:c>
      <x:c r="AG706" s="32" t="e">
        <x:f>IF(A706&lt;=Dashboard!$F$17,MIN(Dashboard!$F$10,AD706+AF706),0)</x:f>
      </x:c>
      <x:c r="AH706" s="32" t="e">
        <x:f>IF(A706&lt;=Dashboard!$F$17,MAX(0,AD706-MAX(0,AG706-AF706)),0)</x:f>
      </x:c>
      <x:c r="AI706" s="32" t="e">
        <x:f>IF(A706=1,AF706,AI705+AF706)</x:f>
      </x:c>
      <x:c r="AJ706" s="33"/>
      <x:c r="AK706" s="33"/>
      <x:c r="AL706" s="33"/>
      <x:c r="AM706" s="33"/>
    </x:row>
    <x:row r="707">
      <x:c r="A707" s="33" t="n">
        <x:v>695</x:v>
      </x:c>
      <x:c r="B707" s="32" t="e">
        <x:f>IF(A707=1,Dashboard!$F$14,F706)</x:f>
      </x:c>
      <x:c r="C707" s="32" t="n">
        <x:f>0</x:f>
        <x:v>0</x:v>
      </x:c>
      <x:c r="D707" s="32" t="e">
        <x:f>IF(A707&lt;=Dashboard!$F$15,B707*Dashboard!$F$6,0)</x:f>
      </x:c>
      <x:c r="E707" s="32" t="e">
        <x:f>IF(A707&lt;=Dashboard!$F$15,MIN(Dashboard!$F$10,B707+D707),0)</x:f>
      </x:c>
      <x:c r="F707" s="32" t="e">
        <x:f>IF(A707&lt;=Dashboard!$F$15,MAX(0,B707-MAX(0,E707-D707)),0)</x:f>
      </x:c>
      <x:c r="G707" s="32" t="e">
        <x:f>IF(A707=1,D707,G706+D707)</x:f>
      </x:c>
      <x:c r="H707" s="32"/>
      <x:c r="I707" s="32" t="e">
        <x:f>IF(A707=1,Dashboard!$F$14,M706)</x:f>
      </x:c>
      <x:c r="J707" s="32" t="e">
        <x:f>IF(A707&lt;=Dashboard!$F$17,MIN(I707,$B$5),0)</x:f>
      </x:c>
      <x:c r="K707" s="32" t="e">
        <x:f>IF(A707&lt;=Dashboard!$F$17,MAX(0,I707-J707)*Dashboard!$F$6,0)</x:f>
      </x:c>
      <x:c r="L707" s="32" t="e">
        <x:f>IF(A707&lt;=Dashboard!$F$17,MIN(Dashboard!$F$10,MAX(0,I707-J707)+K707),0)</x:f>
      </x:c>
      <x:c r="M707" s="32" t="e">
        <x:f>IF(A707&lt;=Dashboard!$F$17,MAX(0,I707-J707-MAX(0,L707-K707)),0)</x:f>
      </x:c>
      <x:c r="N707" s="32" t="e">
        <x:f>IF(A707=1,K707,N706+K707)</x:f>
      </x:c>
      <x:c r="O707" s="32"/>
      <x:c r="P707" s="32" t="e">
        <x:f>IF(A707=1,Dashboard!$F$14,T706)</x:f>
      </x:c>
      <x:c r="Q707" s="32" t="e">
        <x:f>IF(A707&lt;=Dashboard!$F$17,MIN(P707,$B$6*52/12),0)</x:f>
      </x:c>
      <x:c r="R707" s="32" t="e">
        <x:f>IF(A707&lt;=Dashboard!$F$17,MAX(0,P707-Q707)*Dashboard!$F$6,0)</x:f>
      </x:c>
      <x:c r="S707" s="32" t="e">
        <x:f>IF(A707&lt;=Dashboard!$F$17,MIN(Dashboard!$F$10,MAX(0,P707-Q707)+R707),0)</x:f>
      </x:c>
      <x:c r="T707" s="32" t="e">
        <x:f>IF(A707&lt;=Dashboard!$F$17,MAX(0,P707-Q707-MAX(0,S707-R707)),0)</x:f>
      </x:c>
      <x:c r="U707" s="32" t="e">
        <x:f>IF(A707=1,R707,U706+R707)</x:f>
      </x:c>
      <x:c r="V707" s="32"/>
      <x:c r="W707" s="32" t="e">
        <x:f>IF(A707=1,Dashboard!$F$14,AA706)</x:f>
      </x:c>
      <x:c r="X707" s="32" t="e">
        <x:f>IF(AND(A707&lt;=Dashboard!$F$17,MOD(A707-1,12)=0),MIN(W707,$B$7),0)</x:f>
      </x:c>
      <x:c r="Y707" s="32" t="e">
        <x:f>IF(A707&lt;=Dashboard!$F$17,MAX(0,W707-X707)*Dashboard!$F$6,0)</x:f>
      </x:c>
      <x:c r="Z707" s="32" t="e">
        <x:f>IF(A707&lt;=Dashboard!$F$17,MIN(Dashboard!$F$10,MAX(0,W707-X707)+Y707),0)</x:f>
      </x:c>
      <x:c r="AA707" s="32" t="e">
        <x:f>IF(A707&lt;=Dashboard!$F$17,MAX(0,W707-X707-MAX(0,Z707-Y707)),0)</x:f>
      </x:c>
      <x:c r="AB707" s="32" t="e">
        <x:f>IF(A707=1,Y707,AB706+Y707)</x:f>
      </x:c>
      <x:c r="AC707" s="32"/>
      <x:c r="AD707" s="32" t="e">
        <x:f>IF(A707=1,MAX(0,Dashboard!$F$14-$B$8),AG706)</x:f>
      </x:c>
      <x:c r="AE707" s="32" t="n">
        <x:f>0</x:f>
        <x:v>0</x:v>
      </x:c>
      <x:c r="AF707" s="32" t="e">
        <x:f>IF(A707&lt;=Dashboard!$F$17,AD707*Dashboard!$F$6,0)</x:f>
      </x:c>
      <x:c r="AG707" s="32" t="e">
        <x:f>IF(A707&lt;=Dashboard!$F$17,MIN(Dashboard!$F$10,AD707+AF707),0)</x:f>
      </x:c>
      <x:c r="AH707" s="32" t="e">
        <x:f>IF(A707&lt;=Dashboard!$F$17,MAX(0,AD707-MAX(0,AG707-AF707)),0)</x:f>
      </x:c>
      <x:c r="AI707" s="32" t="e">
        <x:f>IF(A707=1,AF707,AI706+AF707)</x:f>
      </x:c>
      <x:c r="AJ707" s="33"/>
      <x:c r="AK707" s="33"/>
      <x:c r="AL707" s="33"/>
      <x:c r="AM707" s="33"/>
    </x:row>
    <x:row r="708">
      <x:c r="A708" s="33" t="n">
        <x:v>696</x:v>
      </x:c>
      <x:c r="B708" s="32" t="e">
        <x:f>IF(A708=1,Dashboard!$F$14,F707)</x:f>
      </x:c>
      <x:c r="C708" s="32" t="n">
        <x:f>0</x:f>
        <x:v>0</x:v>
      </x:c>
      <x:c r="D708" s="32" t="e">
        <x:f>IF(A708&lt;=Dashboard!$F$15,B708*Dashboard!$F$6,0)</x:f>
      </x:c>
      <x:c r="E708" s="32" t="e">
        <x:f>IF(A708&lt;=Dashboard!$F$15,MIN(Dashboard!$F$10,B708+D708),0)</x:f>
      </x:c>
      <x:c r="F708" s="32" t="e">
        <x:f>IF(A708&lt;=Dashboard!$F$15,MAX(0,B708-MAX(0,E708-D708)),0)</x:f>
      </x:c>
      <x:c r="G708" s="32" t="e">
        <x:f>IF(A708=1,D708,G707+D708)</x:f>
      </x:c>
      <x:c r="H708" s="32"/>
      <x:c r="I708" s="32" t="e">
        <x:f>IF(A708=1,Dashboard!$F$14,M707)</x:f>
      </x:c>
      <x:c r="J708" s="32" t="e">
        <x:f>IF(A708&lt;=Dashboard!$F$17,MIN(I708,$B$5),0)</x:f>
      </x:c>
      <x:c r="K708" s="32" t="e">
        <x:f>IF(A708&lt;=Dashboard!$F$17,MAX(0,I708-J708)*Dashboard!$F$6,0)</x:f>
      </x:c>
      <x:c r="L708" s="32" t="e">
        <x:f>IF(A708&lt;=Dashboard!$F$17,MIN(Dashboard!$F$10,MAX(0,I708-J708)+K708),0)</x:f>
      </x:c>
      <x:c r="M708" s="32" t="e">
        <x:f>IF(A708&lt;=Dashboard!$F$17,MAX(0,I708-J708-MAX(0,L708-K708)),0)</x:f>
      </x:c>
      <x:c r="N708" s="32" t="e">
        <x:f>IF(A708=1,K708,N707+K708)</x:f>
      </x:c>
      <x:c r="O708" s="32"/>
      <x:c r="P708" s="32" t="e">
        <x:f>IF(A708=1,Dashboard!$F$14,T707)</x:f>
      </x:c>
      <x:c r="Q708" s="32" t="e">
        <x:f>IF(A708&lt;=Dashboard!$F$17,MIN(P708,$B$6*52/12),0)</x:f>
      </x:c>
      <x:c r="R708" s="32" t="e">
        <x:f>IF(A708&lt;=Dashboard!$F$17,MAX(0,P708-Q708)*Dashboard!$F$6,0)</x:f>
      </x:c>
      <x:c r="S708" s="32" t="e">
        <x:f>IF(A708&lt;=Dashboard!$F$17,MIN(Dashboard!$F$10,MAX(0,P708-Q708)+R708),0)</x:f>
      </x:c>
      <x:c r="T708" s="32" t="e">
        <x:f>IF(A708&lt;=Dashboard!$F$17,MAX(0,P708-Q708-MAX(0,S708-R708)),0)</x:f>
      </x:c>
      <x:c r="U708" s="32" t="e">
        <x:f>IF(A708=1,R708,U707+R708)</x:f>
      </x:c>
      <x:c r="V708" s="32"/>
      <x:c r="W708" s="32" t="e">
        <x:f>IF(A708=1,Dashboard!$F$14,AA707)</x:f>
      </x:c>
      <x:c r="X708" s="32" t="e">
        <x:f>IF(AND(A708&lt;=Dashboard!$F$17,MOD(A708-1,12)=0),MIN(W708,$B$7),0)</x:f>
      </x:c>
      <x:c r="Y708" s="32" t="e">
        <x:f>IF(A708&lt;=Dashboard!$F$17,MAX(0,W708-X708)*Dashboard!$F$6,0)</x:f>
      </x:c>
      <x:c r="Z708" s="32" t="e">
        <x:f>IF(A708&lt;=Dashboard!$F$17,MIN(Dashboard!$F$10,MAX(0,W708-X708)+Y708),0)</x:f>
      </x:c>
      <x:c r="AA708" s="32" t="e">
        <x:f>IF(A708&lt;=Dashboard!$F$17,MAX(0,W708-X708-MAX(0,Z708-Y708)),0)</x:f>
      </x:c>
      <x:c r="AB708" s="32" t="e">
        <x:f>IF(A708=1,Y708,AB707+Y708)</x:f>
      </x:c>
      <x:c r="AC708" s="32"/>
      <x:c r="AD708" s="32" t="e">
        <x:f>IF(A708=1,MAX(0,Dashboard!$F$14-$B$8),AG707)</x:f>
      </x:c>
      <x:c r="AE708" s="32" t="n">
        <x:f>0</x:f>
        <x:v>0</x:v>
      </x:c>
      <x:c r="AF708" s="32" t="e">
        <x:f>IF(A708&lt;=Dashboard!$F$17,AD708*Dashboard!$F$6,0)</x:f>
      </x:c>
      <x:c r="AG708" s="32" t="e">
        <x:f>IF(A708&lt;=Dashboard!$F$17,MIN(Dashboard!$F$10,AD708+AF708),0)</x:f>
      </x:c>
      <x:c r="AH708" s="32" t="e">
        <x:f>IF(A708&lt;=Dashboard!$F$17,MAX(0,AD708-MAX(0,AG708-AF708)),0)</x:f>
      </x:c>
      <x:c r="AI708" s="32" t="e">
        <x:f>IF(A708=1,AF708,AI707+AF708)</x:f>
      </x:c>
      <x:c r="AJ708" s="33"/>
      <x:c r="AK708" s="33"/>
      <x:c r="AL708" s="33"/>
      <x:c r="AM708" s="33"/>
    </x:row>
    <x:row r="709">
      <x:c r="A709" s="33" t="n">
        <x:v>697</x:v>
      </x:c>
      <x:c r="B709" s="32" t="e">
        <x:f>IF(A709=1,Dashboard!$F$14,F708)</x:f>
      </x:c>
      <x:c r="C709" s="32" t="n">
        <x:f>0</x:f>
        <x:v>0</x:v>
      </x:c>
      <x:c r="D709" s="32" t="e">
        <x:f>IF(A709&lt;=Dashboard!$F$15,B709*Dashboard!$F$6,0)</x:f>
      </x:c>
      <x:c r="E709" s="32" t="e">
        <x:f>IF(A709&lt;=Dashboard!$F$15,MIN(Dashboard!$F$10,B709+D709),0)</x:f>
      </x:c>
      <x:c r="F709" s="32" t="e">
        <x:f>IF(A709&lt;=Dashboard!$F$15,MAX(0,B709-MAX(0,E709-D709)),0)</x:f>
      </x:c>
      <x:c r="G709" s="32" t="e">
        <x:f>IF(A709=1,D709,G708+D709)</x:f>
      </x:c>
      <x:c r="H709" s="32"/>
      <x:c r="I709" s="32" t="e">
        <x:f>IF(A709=1,Dashboard!$F$14,M708)</x:f>
      </x:c>
      <x:c r="J709" s="32" t="e">
        <x:f>IF(A709&lt;=Dashboard!$F$17,MIN(I709,$B$5),0)</x:f>
      </x:c>
      <x:c r="K709" s="32" t="e">
        <x:f>IF(A709&lt;=Dashboard!$F$17,MAX(0,I709-J709)*Dashboard!$F$6,0)</x:f>
      </x:c>
      <x:c r="L709" s="32" t="e">
        <x:f>IF(A709&lt;=Dashboard!$F$17,MIN(Dashboard!$F$10,MAX(0,I709-J709)+K709),0)</x:f>
      </x:c>
      <x:c r="M709" s="32" t="e">
        <x:f>IF(A709&lt;=Dashboard!$F$17,MAX(0,I709-J709-MAX(0,L709-K709)),0)</x:f>
      </x:c>
      <x:c r="N709" s="32" t="e">
        <x:f>IF(A709=1,K709,N708+K709)</x:f>
      </x:c>
      <x:c r="O709" s="32"/>
      <x:c r="P709" s="32" t="e">
        <x:f>IF(A709=1,Dashboard!$F$14,T708)</x:f>
      </x:c>
      <x:c r="Q709" s="32" t="e">
        <x:f>IF(A709&lt;=Dashboard!$F$17,MIN(P709,$B$6*52/12),0)</x:f>
      </x:c>
      <x:c r="R709" s="32" t="e">
        <x:f>IF(A709&lt;=Dashboard!$F$17,MAX(0,P709-Q709)*Dashboard!$F$6,0)</x:f>
      </x:c>
      <x:c r="S709" s="32" t="e">
        <x:f>IF(A709&lt;=Dashboard!$F$17,MIN(Dashboard!$F$10,MAX(0,P709-Q709)+R709),0)</x:f>
      </x:c>
      <x:c r="T709" s="32" t="e">
        <x:f>IF(A709&lt;=Dashboard!$F$17,MAX(0,P709-Q709-MAX(0,S709-R709)),0)</x:f>
      </x:c>
      <x:c r="U709" s="32" t="e">
        <x:f>IF(A709=1,R709,U708+R709)</x:f>
      </x:c>
      <x:c r="V709" s="32"/>
      <x:c r="W709" s="32" t="e">
        <x:f>IF(A709=1,Dashboard!$F$14,AA708)</x:f>
      </x:c>
      <x:c r="X709" s="32" t="e">
        <x:f>IF(AND(A709&lt;=Dashboard!$F$17,MOD(A709-1,12)=0),MIN(W709,$B$7),0)</x:f>
      </x:c>
      <x:c r="Y709" s="32" t="e">
        <x:f>IF(A709&lt;=Dashboard!$F$17,MAX(0,W709-X709)*Dashboard!$F$6,0)</x:f>
      </x:c>
      <x:c r="Z709" s="32" t="e">
        <x:f>IF(A709&lt;=Dashboard!$F$17,MIN(Dashboard!$F$10,MAX(0,W709-X709)+Y709),0)</x:f>
      </x:c>
      <x:c r="AA709" s="32" t="e">
        <x:f>IF(A709&lt;=Dashboard!$F$17,MAX(0,W709-X709-MAX(0,Z709-Y709)),0)</x:f>
      </x:c>
      <x:c r="AB709" s="32" t="e">
        <x:f>IF(A709=1,Y709,AB708+Y709)</x:f>
      </x:c>
      <x:c r="AC709" s="32"/>
      <x:c r="AD709" s="32" t="e">
        <x:f>IF(A709=1,MAX(0,Dashboard!$F$14-$B$8),AG708)</x:f>
      </x:c>
      <x:c r="AE709" s="32" t="n">
        <x:f>0</x:f>
        <x:v>0</x:v>
      </x:c>
      <x:c r="AF709" s="32" t="e">
        <x:f>IF(A709&lt;=Dashboard!$F$17,AD709*Dashboard!$F$6,0)</x:f>
      </x:c>
      <x:c r="AG709" s="32" t="e">
        <x:f>IF(A709&lt;=Dashboard!$F$17,MIN(Dashboard!$F$10,AD709+AF709),0)</x:f>
      </x:c>
      <x:c r="AH709" s="32" t="e">
        <x:f>IF(A709&lt;=Dashboard!$F$17,MAX(0,AD709-MAX(0,AG709-AF709)),0)</x:f>
      </x:c>
      <x:c r="AI709" s="32" t="e">
        <x:f>IF(A709=1,AF709,AI708+AF709)</x:f>
      </x:c>
      <x:c r="AJ709" s="33"/>
      <x:c r="AK709" s="33"/>
      <x:c r="AL709" s="33"/>
      <x:c r="AM709" s="33"/>
    </x:row>
    <x:row r="710">
      <x:c r="A710" s="33" t="n">
        <x:v>698</x:v>
      </x:c>
      <x:c r="B710" s="32" t="e">
        <x:f>IF(A710=1,Dashboard!$F$14,F709)</x:f>
      </x:c>
      <x:c r="C710" s="32" t="n">
        <x:f>0</x:f>
        <x:v>0</x:v>
      </x:c>
      <x:c r="D710" s="32" t="e">
        <x:f>IF(A710&lt;=Dashboard!$F$15,B710*Dashboard!$F$6,0)</x:f>
      </x:c>
      <x:c r="E710" s="32" t="e">
        <x:f>IF(A710&lt;=Dashboard!$F$15,MIN(Dashboard!$F$10,B710+D710),0)</x:f>
      </x:c>
      <x:c r="F710" s="32" t="e">
        <x:f>IF(A710&lt;=Dashboard!$F$15,MAX(0,B710-MAX(0,E710-D710)),0)</x:f>
      </x:c>
      <x:c r="G710" s="32" t="e">
        <x:f>IF(A710=1,D710,G709+D710)</x:f>
      </x:c>
      <x:c r="H710" s="32"/>
      <x:c r="I710" s="32" t="e">
        <x:f>IF(A710=1,Dashboard!$F$14,M709)</x:f>
      </x:c>
      <x:c r="J710" s="32" t="e">
        <x:f>IF(A710&lt;=Dashboard!$F$17,MIN(I710,$B$5),0)</x:f>
      </x:c>
      <x:c r="K710" s="32" t="e">
        <x:f>IF(A710&lt;=Dashboard!$F$17,MAX(0,I710-J710)*Dashboard!$F$6,0)</x:f>
      </x:c>
      <x:c r="L710" s="32" t="e">
        <x:f>IF(A710&lt;=Dashboard!$F$17,MIN(Dashboard!$F$10,MAX(0,I710-J710)+K710),0)</x:f>
      </x:c>
      <x:c r="M710" s="32" t="e">
        <x:f>IF(A710&lt;=Dashboard!$F$17,MAX(0,I710-J710-MAX(0,L710-K710)),0)</x:f>
      </x:c>
      <x:c r="N710" s="32" t="e">
        <x:f>IF(A710=1,K710,N709+K710)</x:f>
      </x:c>
      <x:c r="O710" s="32"/>
      <x:c r="P710" s="32" t="e">
        <x:f>IF(A710=1,Dashboard!$F$14,T709)</x:f>
      </x:c>
      <x:c r="Q710" s="32" t="e">
        <x:f>IF(A710&lt;=Dashboard!$F$17,MIN(P710,$B$6*52/12),0)</x:f>
      </x:c>
      <x:c r="R710" s="32" t="e">
        <x:f>IF(A710&lt;=Dashboard!$F$17,MAX(0,P710-Q710)*Dashboard!$F$6,0)</x:f>
      </x:c>
      <x:c r="S710" s="32" t="e">
        <x:f>IF(A710&lt;=Dashboard!$F$17,MIN(Dashboard!$F$10,MAX(0,P710-Q710)+R710),0)</x:f>
      </x:c>
      <x:c r="T710" s="32" t="e">
        <x:f>IF(A710&lt;=Dashboard!$F$17,MAX(0,P710-Q710-MAX(0,S710-R710)),0)</x:f>
      </x:c>
      <x:c r="U710" s="32" t="e">
        <x:f>IF(A710=1,R710,U709+R710)</x:f>
      </x:c>
      <x:c r="V710" s="32"/>
      <x:c r="W710" s="32" t="e">
        <x:f>IF(A710=1,Dashboard!$F$14,AA709)</x:f>
      </x:c>
      <x:c r="X710" s="32" t="e">
        <x:f>IF(AND(A710&lt;=Dashboard!$F$17,MOD(A710-1,12)=0),MIN(W710,$B$7),0)</x:f>
      </x:c>
      <x:c r="Y710" s="32" t="e">
        <x:f>IF(A710&lt;=Dashboard!$F$17,MAX(0,W710-X710)*Dashboard!$F$6,0)</x:f>
      </x:c>
      <x:c r="Z710" s="32" t="e">
        <x:f>IF(A710&lt;=Dashboard!$F$17,MIN(Dashboard!$F$10,MAX(0,W710-X710)+Y710),0)</x:f>
      </x:c>
      <x:c r="AA710" s="32" t="e">
        <x:f>IF(A710&lt;=Dashboard!$F$17,MAX(0,W710-X710-MAX(0,Z710-Y710)),0)</x:f>
      </x:c>
      <x:c r="AB710" s="32" t="e">
        <x:f>IF(A710=1,Y710,AB709+Y710)</x:f>
      </x:c>
      <x:c r="AC710" s="32"/>
      <x:c r="AD710" s="32" t="e">
        <x:f>IF(A710=1,MAX(0,Dashboard!$F$14-$B$8),AG709)</x:f>
      </x:c>
      <x:c r="AE710" s="32" t="n">
        <x:f>0</x:f>
        <x:v>0</x:v>
      </x:c>
      <x:c r="AF710" s="32" t="e">
        <x:f>IF(A710&lt;=Dashboard!$F$17,AD710*Dashboard!$F$6,0)</x:f>
      </x:c>
      <x:c r="AG710" s="32" t="e">
        <x:f>IF(A710&lt;=Dashboard!$F$17,MIN(Dashboard!$F$10,AD710+AF710),0)</x:f>
      </x:c>
      <x:c r="AH710" s="32" t="e">
        <x:f>IF(A710&lt;=Dashboard!$F$17,MAX(0,AD710-MAX(0,AG710-AF710)),0)</x:f>
      </x:c>
      <x:c r="AI710" s="32" t="e">
        <x:f>IF(A710=1,AF710,AI709+AF710)</x:f>
      </x:c>
      <x:c r="AJ710" s="33"/>
      <x:c r="AK710" s="33"/>
      <x:c r="AL710" s="33"/>
      <x:c r="AM710" s="33"/>
    </x:row>
    <x:row r="711">
      <x:c r="A711" s="33" t="n">
        <x:v>699</x:v>
      </x:c>
      <x:c r="B711" s="32" t="e">
        <x:f>IF(A711=1,Dashboard!$F$14,F710)</x:f>
      </x:c>
      <x:c r="C711" s="32" t="n">
        <x:f>0</x:f>
        <x:v>0</x:v>
      </x:c>
      <x:c r="D711" s="32" t="e">
        <x:f>IF(A711&lt;=Dashboard!$F$15,B711*Dashboard!$F$6,0)</x:f>
      </x:c>
      <x:c r="E711" s="32" t="e">
        <x:f>IF(A711&lt;=Dashboard!$F$15,MIN(Dashboard!$F$10,B711+D711),0)</x:f>
      </x:c>
      <x:c r="F711" s="32" t="e">
        <x:f>IF(A711&lt;=Dashboard!$F$15,MAX(0,B711-MAX(0,E711-D711)),0)</x:f>
      </x:c>
      <x:c r="G711" s="32" t="e">
        <x:f>IF(A711=1,D711,G710+D711)</x:f>
      </x:c>
      <x:c r="H711" s="32"/>
      <x:c r="I711" s="32" t="e">
        <x:f>IF(A711=1,Dashboard!$F$14,M710)</x:f>
      </x:c>
      <x:c r="J711" s="32" t="e">
        <x:f>IF(A711&lt;=Dashboard!$F$17,MIN(I711,$B$5),0)</x:f>
      </x:c>
      <x:c r="K711" s="32" t="e">
        <x:f>IF(A711&lt;=Dashboard!$F$17,MAX(0,I711-J711)*Dashboard!$F$6,0)</x:f>
      </x:c>
      <x:c r="L711" s="32" t="e">
        <x:f>IF(A711&lt;=Dashboard!$F$17,MIN(Dashboard!$F$10,MAX(0,I711-J711)+K711),0)</x:f>
      </x:c>
      <x:c r="M711" s="32" t="e">
        <x:f>IF(A711&lt;=Dashboard!$F$17,MAX(0,I711-J711-MAX(0,L711-K711)),0)</x:f>
      </x:c>
      <x:c r="N711" s="32" t="e">
        <x:f>IF(A711=1,K711,N710+K711)</x:f>
      </x:c>
      <x:c r="O711" s="32"/>
      <x:c r="P711" s="32" t="e">
        <x:f>IF(A711=1,Dashboard!$F$14,T710)</x:f>
      </x:c>
      <x:c r="Q711" s="32" t="e">
        <x:f>IF(A711&lt;=Dashboard!$F$17,MIN(P711,$B$6*52/12),0)</x:f>
      </x:c>
      <x:c r="R711" s="32" t="e">
        <x:f>IF(A711&lt;=Dashboard!$F$17,MAX(0,P711-Q711)*Dashboard!$F$6,0)</x:f>
      </x:c>
      <x:c r="S711" s="32" t="e">
        <x:f>IF(A711&lt;=Dashboard!$F$17,MIN(Dashboard!$F$10,MAX(0,P711-Q711)+R711),0)</x:f>
      </x:c>
      <x:c r="T711" s="32" t="e">
        <x:f>IF(A711&lt;=Dashboard!$F$17,MAX(0,P711-Q711-MAX(0,S711-R711)),0)</x:f>
      </x:c>
      <x:c r="U711" s="32" t="e">
        <x:f>IF(A711=1,R711,U710+R711)</x:f>
      </x:c>
      <x:c r="V711" s="32"/>
      <x:c r="W711" s="32" t="e">
        <x:f>IF(A711=1,Dashboard!$F$14,AA710)</x:f>
      </x:c>
      <x:c r="X711" s="32" t="e">
        <x:f>IF(AND(A711&lt;=Dashboard!$F$17,MOD(A711-1,12)=0),MIN(W711,$B$7),0)</x:f>
      </x:c>
      <x:c r="Y711" s="32" t="e">
        <x:f>IF(A711&lt;=Dashboard!$F$17,MAX(0,W711-X711)*Dashboard!$F$6,0)</x:f>
      </x:c>
      <x:c r="Z711" s="32" t="e">
        <x:f>IF(A711&lt;=Dashboard!$F$17,MIN(Dashboard!$F$10,MAX(0,W711-X711)+Y711),0)</x:f>
      </x:c>
      <x:c r="AA711" s="32" t="e">
        <x:f>IF(A711&lt;=Dashboard!$F$17,MAX(0,W711-X711-MAX(0,Z711-Y711)),0)</x:f>
      </x:c>
      <x:c r="AB711" s="32" t="e">
        <x:f>IF(A711=1,Y711,AB710+Y711)</x:f>
      </x:c>
      <x:c r="AC711" s="32"/>
      <x:c r="AD711" s="32" t="e">
        <x:f>IF(A711=1,MAX(0,Dashboard!$F$14-$B$8),AG710)</x:f>
      </x:c>
      <x:c r="AE711" s="32" t="n">
        <x:f>0</x:f>
        <x:v>0</x:v>
      </x:c>
      <x:c r="AF711" s="32" t="e">
        <x:f>IF(A711&lt;=Dashboard!$F$17,AD711*Dashboard!$F$6,0)</x:f>
      </x:c>
      <x:c r="AG711" s="32" t="e">
        <x:f>IF(A711&lt;=Dashboard!$F$17,MIN(Dashboard!$F$10,AD711+AF711),0)</x:f>
      </x:c>
      <x:c r="AH711" s="32" t="e">
        <x:f>IF(A711&lt;=Dashboard!$F$17,MAX(0,AD711-MAX(0,AG711-AF711)),0)</x:f>
      </x:c>
      <x:c r="AI711" s="32" t="e">
        <x:f>IF(A711=1,AF711,AI710+AF711)</x:f>
      </x:c>
      <x:c r="AJ711" s="33"/>
      <x:c r="AK711" s="33"/>
      <x:c r="AL711" s="33"/>
      <x:c r="AM711" s="33"/>
    </x:row>
    <x:row r="712">
      <x:c r="A712" s="33" t="n">
        <x:v>700</x:v>
      </x:c>
      <x:c r="B712" s="32" t="e">
        <x:f>IF(A712=1,Dashboard!$F$14,F711)</x:f>
      </x:c>
      <x:c r="C712" s="32" t="n">
        <x:f>0</x:f>
        <x:v>0</x:v>
      </x:c>
      <x:c r="D712" s="32" t="e">
        <x:f>IF(A712&lt;=Dashboard!$F$15,B712*Dashboard!$F$6,0)</x:f>
      </x:c>
      <x:c r="E712" s="32" t="e">
        <x:f>IF(A712&lt;=Dashboard!$F$15,MIN(Dashboard!$F$10,B712+D712),0)</x:f>
      </x:c>
      <x:c r="F712" s="32" t="e">
        <x:f>IF(A712&lt;=Dashboard!$F$15,MAX(0,B712-MAX(0,E712-D712)),0)</x:f>
      </x:c>
      <x:c r="G712" s="32" t="e">
        <x:f>IF(A712=1,D712,G711+D712)</x:f>
      </x:c>
      <x:c r="H712" s="32"/>
      <x:c r="I712" s="32" t="e">
        <x:f>IF(A712=1,Dashboard!$F$14,M711)</x:f>
      </x:c>
      <x:c r="J712" s="32" t="e">
        <x:f>IF(A712&lt;=Dashboard!$F$17,MIN(I712,$B$5),0)</x:f>
      </x:c>
      <x:c r="K712" s="32" t="e">
        <x:f>IF(A712&lt;=Dashboard!$F$17,MAX(0,I712-J712)*Dashboard!$F$6,0)</x:f>
      </x:c>
      <x:c r="L712" s="32" t="e">
        <x:f>IF(A712&lt;=Dashboard!$F$17,MIN(Dashboard!$F$10,MAX(0,I712-J712)+K712),0)</x:f>
      </x:c>
      <x:c r="M712" s="32" t="e">
        <x:f>IF(A712&lt;=Dashboard!$F$17,MAX(0,I712-J712-MAX(0,L712-K712)),0)</x:f>
      </x:c>
      <x:c r="N712" s="32" t="e">
        <x:f>IF(A712=1,K712,N711+K712)</x:f>
      </x:c>
      <x:c r="O712" s="32"/>
      <x:c r="P712" s="32" t="e">
        <x:f>IF(A712=1,Dashboard!$F$14,T711)</x:f>
      </x:c>
      <x:c r="Q712" s="32" t="e">
        <x:f>IF(A712&lt;=Dashboard!$F$17,MIN(P712,$B$6*52/12),0)</x:f>
      </x:c>
      <x:c r="R712" s="32" t="e">
        <x:f>IF(A712&lt;=Dashboard!$F$17,MAX(0,P712-Q712)*Dashboard!$F$6,0)</x:f>
      </x:c>
      <x:c r="S712" s="32" t="e">
        <x:f>IF(A712&lt;=Dashboard!$F$17,MIN(Dashboard!$F$10,MAX(0,P712-Q712)+R712),0)</x:f>
      </x:c>
      <x:c r="T712" s="32" t="e">
        <x:f>IF(A712&lt;=Dashboard!$F$17,MAX(0,P712-Q712-MAX(0,S712-R712)),0)</x:f>
      </x:c>
      <x:c r="U712" s="32" t="e">
        <x:f>IF(A712=1,R712,U711+R712)</x:f>
      </x:c>
      <x:c r="V712" s="32"/>
      <x:c r="W712" s="32" t="e">
        <x:f>IF(A712=1,Dashboard!$F$14,AA711)</x:f>
      </x:c>
      <x:c r="X712" s="32" t="e">
        <x:f>IF(AND(A712&lt;=Dashboard!$F$17,MOD(A712-1,12)=0),MIN(W712,$B$7),0)</x:f>
      </x:c>
      <x:c r="Y712" s="32" t="e">
        <x:f>IF(A712&lt;=Dashboard!$F$17,MAX(0,W712-X712)*Dashboard!$F$6,0)</x:f>
      </x:c>
      <x:c r="Z712" s="32" t="e">
        <x:f>IF(A712&lt;=Dashboard!$F$17,MIN(Dashboard!$F$10,MAX(0,W712-X712)+Y712),0)</x:f>
      </x:c>
      <x:c r="AA712" s="32" t="e">
        <x:f>IF(A712&lt;=Dashboard!$F$17,MAX(0,W712-X712-MAX(0,Z712-Y712)),0)</x:f>
      </x:c>
      <x:c r="AB712" s="32" t="e">
        <x:f>IF(A712=1,Y712,AB711+Y712)</x:f>
      </x:c>
      <x:c r="AC712" s="32"/>
      <x:c r="AD712" s="32" t="e">
        <x:f>IF(A712=1,MAX(0,Dashboard!$F$14-$B$8),AG711)</x:f>
      </x:c>
      <x:c r="AE712" s="32" t="n">
        <x:f>0</x:f>
        <x:v>0</x:v>
      </x:c>
      <x:c r="AF712" s="32" t="e">
        <x:f>IF(A712&lt;=Dashboard!$F$17,AD712*Dashboard!$F$6,0)</x:f>
      </x:c>
      <x:c r="AG712" s="32" t="e">
        <x:f>IF(A712&lt;=Dashboard!$F$17,MIN(Dashboard!$F$10,AD712+AF712),0)</x:f>
      </x:c>
      <x:c r="AH712" s="32" t="e">
        <x:f>IF(A712&lt;=Dashboard!$F$17,MAX(0,AD712-MAX(0,AG712-AF712)),0)</x:f>
      </x:c>
      <x:c r="AI712" s="32" t="e">
        <x:f>IF(A712=1,AF712,AI711+AF712)</x:f>
      </x:c>
      <x:c r="AJ712" s="33"/>
      <x:c r="AK712" s="33"/>
      <x:c r="AL712" s="33"/>
      <x:c r="AM712" s="33"/>
    </x:row>
    <x:row r="713">
      <x:c r="A713" s="33" t="n">
        <x:v>701</x:v>
      </x:c>
      <x:c r="B713" s="32" t="e">
        <x:f>IF(A713=1,Dashboard!$F$14,F712)</x:f>
      </x:c>
      <x:c r="C713" s="32" t="n">
        <x:f>0</x:f>
        <x:v>0</x:v>
      </x:c>
      <x:c r="D713" s="32" t="e">
        <x:f>IF(A713&lt;=Dashboard!$F$15,B713*Dashboard!$F$6,0)</x:f>
      </x:c>
      <x:c r="E713" s="32" t="e">
        <x:f>IF(A713&lt;=Dashboard!$F$15,MIN(Dashboard!$F$10,B713+D713),0)</x:f>
      </x:c>
      <x:c r="F713" s="32" t="e">
        <x:f>IF(A713&lt;=Dashboard!$F$15,MAX(0,B713-MAX(0,E713-D713)),0)</x:f>
      </x:c>
      <x:c r="G713" s="32" t="e">
        <x:f>IF(A713=1,D713,G712+D713)</x:f>
      </x:c>
      <x:c r="H713" s="32"/>
      <x:c r="I713" s="32" t="e">
        <x:f>IF(A713=1,Dashboard!$F$14,M712)</x:f>
      </x:c>
      <x:c r="J713" s="32" t="e">
        <x:f>IF(A713&lt;=Dashboard!$F$17,MIN(I713,$B$5),0)</x:f>
      </x:c>
      <x:c r="K713" s="32" t="e">
        <x:f>IF(A713&lt;=Dashboard!$F$17,MAX(0,I713-J713)*Dashboard!$F$6,0)</x:f>
      </x:c>
      <x:c r="L713" s="32" t="e">
        <x:f>IF(A713&lt;=Dashboard!$F$17,MIN(Dashboard!$F$10,MAX(0,I713-J713)+K713),0)</x:f>
      </x:c>
      <x:c r="M713" s="32" t="e">
        <x:f>IF(A713&lt;=Dashboard!$F$17,MAX(0,I713-J713-MAX(0,L713-K713)),0)</x:f>
      </x:c>
      <x:c r="N713" s="32" t="e">
        <x:f>IF(A713=1,K713,N712+K713)</x:f>
      </x:c>
      <x:c r="O713" s="32"/>
      <x:c r="P713" s="32" t="e">
        <x:f>IF(A713=1,Dashboard!$F$14,T712)</x:f>
      </x:c>
      <x:c r="Q713" s="32" t="e">
        <x:f>IF(A713&lt;=Dashboard!$F$17,MIN(P713,$B$6*52/12),0)</x:f>
      </x:c>
      <x:c r="R713" s="32" t="e">
        <x:f>IF(A713&lt;=Dashboard!$F$17,MAX(0,P713-Q713)*Dashboard!$F$6,0)</x:f>
      </x:c>
      <x:c r="S713" s="32" t="e">
        <x:f>IF(A713&lt;=Dashboard!$F$17,MIN(Dashboard!$F$10,MAX(0,P713-Q713)+R713),0)</x:f>
      </x:c>
      <x:c r="T713" s="32" t="e">
        <x:f>IF(A713&lt;=Dashboard!$F$17,MAX(0,P713-Q713-MAX(0,S713-R713)),0)</x:f>
      </x:c>
      <x:c r="U713" s="32" t="e">
        <x:f>IF(A713=1,R713,U712+R713)</x:f>
      </x:c>
      <x:c r="V713" s="32"/>
      <x:c r="W713" s="32" t="e">
        <x:f>IF(A713=1,Dashboard!$F$14,AA712)</x:f>
      </x:c>
      <x:c r="X713" s="32" t="e">
        <x:f>IF(AND(A713&lt;=Dashboard!$F$17,MOD(A713-1,12)=0),MIN(W713,$B$7),0)</x:f>
      </x:c>
      <x:c r="Y713" s="32" t="e">
        <x:f>IF(A713&lt;=Dashboard!$F$17,MAX(0,W713-X713)*Dashboard!$F$6,0)</x:f>
      </x:c>
      <x:c r="Z713" s="32" t="e">
        <x:f>IF(A713&lt;=Dashboard!$F$17,MIN(Dashboard!$F$10,MAX(0,W713-X713)+Y713),0)</x:f>
      </x:c>
      <x:c r="AA713" s="32" t="e">
        <x:f>IF(A713&lt;=Dashboard!$F$17,MAX(0,W713-X713-MAX(0,Z713-Y713)),0)</x:f>
      </x:c>
      <x:c r="AB713" s="32" t="e">
        <x:f>IF(A713=1,Y713,AB712+Y713)</x:f>
      </x:c>
      <x:c r="AC713" s="32"/>
      <x:c r="AD713" s="32" t="e">
        <x:f>IF(A713=1,MAX(0,Dashboard!$F$14-$B$8),AG712)</x:f>
      </x:c>
      <x:c r="AE713" s="32" t="n">
        <x:f>0</x:f>
        <x:v>0</x:v>
      </x:c>
      <x:c r="AF713" s="32" t="e">
        <x:f>IF(A713&lt;=Dashboard!$F$17,AD713*Dashboard!$F$6,0)</x:f>
      </x:c>
      <x:c r="AG713" s="32" t="e">
        <x:f>IF(A713&lt;=Dashboard!$F$17,MIN(Dashboard!$F$10,AD713+AF713),0)</x:f>
      </x:c>
      <x:c r="AH713" s="32" t="e">
        <x:f>IF(A713&lt;=Dashboard!$F$17,MAX(0,AD713-MAX(0,AG713-AF713)),0)</x:f>
      </x:c>
      <x:c r="AI713" s="32" t="e">
        <x:f>IF(A713=1,AF713,AI712+AF713)</x:f>
      </x:c>
      <x:c r="AJ713" s="33"/>
      <x:c r="AK713" s="33"/>
      <x:c r="AL713" s="33"/>
      <x:c r="AM713" s="33"/>
    </x:row>
    <x:row r="714">
      <x:c r="A714" s="33" t="n">
        <x:v>702</x:v>
      </x:c>
      <x:c r="B714" s="32" t="e">
        <x:f>IF(A714=1,Dashboard!$F$14,F713)</x:f>
      </x:c>
      <x:c r="C714" s="32" t="n">
        <x:f>0</x:f>
        <x:v>0</x:v>
      </x:c>
      <x:c r="D714" s="32" t="e">
        <x:f>IF(A714&lt;=Dashboard!$F$15,B714*Dashboard!$F$6,0)</x:f>
      </x:c>
      <x:c r="E714" s="32" t="e">
        <x:f>IF(A714&lt;=Dashboard!$F$15,MIN(Dashboard!$F$10,B714+D714),0)</x:f>
      </x:c>
      <x:c r="F714" s="32" t="e">
        <x:f>IF(A714&lt;=Dashboard!$F$15,MAX(0,B714-MAX(0,E714-D714)),0)</x:f>
      </x:c>
      <x:c r="G714" s="32" t="e">
        <x:f>IF(A714=1,D714,G713+D714)</x:f>
      </x:c>
      <x:c r="H714" s="32"/>
      <x:c r="I714" s="32" t="e">
        <x:f>IF(A714=1,Dashboard!$F$14,M713)</x:f>
      </x:c>
      <x:c r="J714" s="32" t="e">
        <x:f>IF(A714&lt;=Dashboard!$F$17,MIN(I714,$B$5),0)</x:f>
      </x:c>
      <x:c r="K714" s="32" t="e">
        <x:f>IF(A714&lt;=Dashboard!$F$17,MAX(0,I714-J714)*Dashboard!$F$6,0)</x:f>
      </x:c>
      <x:c r="L714" s="32" t="e">
        <x:f>IF(A714&lt;=Dashboard!$F$17,MIN(Dashboard!$F$10,MAX(0,I714-J714)+K714),0)</x:f>
      </x:c>
      <x:c r="M714" s="32" t="e">
        <x:f>IF(A714&lt;=Dashboard!$F$17,MAX(0,I714-J714-MAX(0,L714-K714)),0)</x:f>
      </x:c>
      <x:c r="N714" s="32" t="e">
        <x:f>IF(A714=1,K714,N713+K714)</x:f>
      </x:c>
      <x:c r="O714" s="32"/>
      <x:c r="P714" s="32" t="e">
        <x:f>IF(A714=1,Dashboard!$F$14,T713)</x:f>
      </x:c>
      <x:c r="Q714" s="32" t="e">
        <x:f>IF(A714&lt;=Dashboard!$F$17,MIN(P714,$B$6*52/12),0)</x:f>
      </x:c>
      <x:c r="R714" s="32" t="e">
        <x:f>IF(A714&lt;=Dashboard!$F$17,MAX(0,P714-Q714)*Dashboard!$F$6,0)</x:f>
      </x:c>
      <x:c r="S714" s="32" t="e">
        <x:f>IF(A714&lt;=Dashboard!$F$17,MIN(Dashboard!$F$10,MAX(0,P714-Q714)+R714),0)</x:f>
      </x:c>
      <x:c r="T714" s="32" t="e">
        <x:f>IF(A714&lt;=Dashboard!$F$17,MAX(0,P714-Q714-MAX(0,S714-R714)),0)</x:f>
      </x:c>
      <x:c r="U714" s="32" t="e">
        <x:f>IF(A714=1,R714,U713+R714)</x:f>
      </x:c>
      <x:c r="V714" s="32"/>
      <x:c r="W714" s="32" t="e">
        <x:f>IF(A714=1,Dashboard!$F$14,AA713)</x:f>
      </x:c>
      <x:c r="X714" s="32" t="e">
        <x:f>IF(AND(A714&lt;=Dashboard!$F$17,MOD(A714-1,12)=0),MIN(W714,$B$7),0)</x:f>
      </x:c>
      <x:c r="Y714" s="32" t="e">
        <x:f>IF(A714&lt;=Dashboard!$F$17,MAX(0,W714-X714)*Dashboard!$F$6,0)</x:f>
      </x:c>
      <x:c r="Z714" s="32" t="e">
        <x:f>IF(A714&lt;=Dashboard!$F$17,MIN(Dashboard!$F$10,MAX(0,W714-X714)+Y714),0)</x:f>
      </x:c>
      <x:c r="AA714" s="32" t="e">
        <x:f>IF(A714&lt;=Dashboard!$F$17,MAX(0,W714-X714-MAX(0,Z714-Y714)),0)</x:f>
      </x:c>
      <x:c r="AB714" s="32" t="e">
        <x:f>IF(A714=1,Y714,AB713+Y714)</x:f>
      </x:c>
      <x:c r="AC714" s="32"/>
      <x:c r="AD714" s="32" t="e">
        <x:f>IF(A714=1,MAX(0,Dashboard!$F$14-$B$8),AG713)</x:f>
      </x:c>
      <x:c r="AE714" s="32" t="n">
        <x:f>0</x:f>
        <x:v>0</x:v>
      </x:c>
      <x:c r="AF714" s="32" t="e">
        <x:f>IF(A714&lt;=Dashboard!$F$17,AD714*Dashboard!$F$6,0)</x:f>
      </x:c>
      <x:c r="AG714" s="32" t="e">
        <x:f>IF(A714&lt;=Dashboard!$F$17,MIN(Dashboard!$F$10,AD714+AF714),0)</x:f>
      </x:c>
      <x:c r="AH714" s="32" t="e">
        <x:f>IF(A714&lt;=Dashboard!$F$17,MAX(0,AD714-MAX(0,AG714-AF714)),0)</x:f>
      </x:c>
      <x:c r="AI714" s="32" t="e">
        <x:f>IF(A714=1,AF714,AI713+AF714)</x:f>
      </x:c>
      <x:c r="AJ714" s="33"/>
      <x:c r="AK714" s="33"/>
      <x:c r="AL714" s="33"/>
      <x:c r="AM714" s="33"/>
    </x:row>
    <x:row r="715">
      <x:c r="A715" s="33" t="n">
        <x:v>703</x:v>
      </x:c>
      <x:c r="B715" s="32" t="e">
        <x:f>IF(A715=1,Dashboard!$F$14,F714)</x:f>
      </x:c>
      <x:c r="C715" s="32" t="n">
        <x:f>0</x:f>
        <x:v>0</x:v>
      </x:c>
      <x:c r="D715" s="32" t="e">
        <x:f>IF(A715&lt;=Dashboard!$F$15,B715*Dashboard!$F$6,0)</x:f>
      </x:c>
      <x:c r="E715" s="32" t="e">
        <x:f>IF(A715&lt;=Dashboard!$F$15,MIN(Dashboard!$F$10,B715+D715),0)</x:f>
      </x:c>
      <x:c r="F715" s="32" t="e">
        <x:f>IF(A715&lt;=Dashboard!$F$15,MAX(0,B715-MAX(0,E715-D715)),0)</x:f>
      </x:c>
      <x:c r="G715" s="32" t="e">
        <x:f>IF(A715=1,D715,G714+D715)</x:f>
      </x:c>
      <x:c r="H715" s="32"/>
      <x:c r="I715" s="32" t="e">
        <x:f>IF(A715=1,Dashboard!$F$14,M714)</x:f>
      </x:c>
      <x:c r="J715" s="32" t="e">
        <x:f>IF(A715&lt;=Dashboard!$F$17,MIN(I715,$B$5),0)</x:f>
      </x:c>
      <x:c r="K715" s="32" t="e">
        <x:f>IF(A715&lt;=Dashboard!$F$17,MAX(0,I715-J715)*Dashboard!$F$6,0)</x:f>
      </x:c>
      <x:c r="L715" s="32" t="e">
        <x:f>IF(A715&lt;=Dashboard!$F$17,MIN(Dashboard!$F$10,MAX(0,I715-J715)+K715),0)</x:f>
      </x:c>
      <x:c r="M715" s="32" t="e">
        <x:f>IF(A715&lt;=Dashboard!$F$17,MAX(0,I715-J715-MAX(0,L715-K715)),0)</x:f>
      </x:c>
      <x:c r="N715" s="32" t="e">
        <x:f>IF(A715=1,K715,N714+K715)</x:f>
      </x:c>
      <x:c r="O715" s="32"/>
      <x:c r="P715" s="32" t="e">
        <x:f>IF(A715=1,Dashboard!$F$14,T714)</x:f>
      </x:c>
      <x:c r="Q715" s="32" t="e">
        <x:f>IF(A715&lt;=Dashboard!$F$17,MIN(P715,$B$6*52/12),0)</x:f>
      </x:c>
      <x:c r="R715" s="32" t="e">
        <x:f>IF(A715&lt;=Dashboard!$F$17,MAX(0,P715-Q715)*Dashboard!$F$6,0)</x:f>
      </x:c>
      <x:c r="S715" s="32" t="e">
        <x:f>IF(A715&lt;=Dashboard!$F$17,MIN(Dashboard!$F$10,MAX(0,P715-Q715)+R715),0)</x:f>
      </x:c>
      <x:c r="T715" s="32" t="e">
        <x:f>IF(A715&lt;=Dashboard!$F$17,MAX(0,P715-Q715-MAX(0,S715-R715)),0)</x:f>
      </x:c>
      <x:c r="U715" s="32" t="e">
        <x:f>IF(A715=1,R715,U714+R715)</x:f>
      </x:c>
      <x:c r="V715" s="32"/>
      <x:c r="W715" s="32" t="e">
        <x:f>IF(A715=1,Dashboard!$F$14,AA714)</x:f>
      </x:c>
      <x:c r="X715" s="32" t="e">
        <x:f>IF(AND(A715&lt;=Dashboard!$F$17,MOD(A715-1,12)=0),MIN(W715,$B$7),0)</x:f>
      </x:c>
      <x:c r="Y715" s="32" t="e">
        <x:f>IF(A715&lt;=Dashboard!$F$17,MAX(0,W715-X715)*Dashboard!$F$6,0)</x:f>
      </x:c>
      <x:c r="Z715" s="32" t="e">
        <x:f>IF(A715&lt;=Dashboard!$F$17,MIN(Dashboard!$F$10,MAX(0,W715-X715)+Y715),0)</x:f>
      </x:c>
      <x:c r="AA715" s="32" t="e">
        <x:f>IF(A715&lt;=Dashboard!$F$17,MAX(0,W715-X715-MAX(0,Z715-Y715)),0)</x:f>
      </x:c>
      <x:c r="AB715" s="32" t="e">
        <x:f>IF(A715=1,Y715,AB714+Y715)</x:f>
      </x:c>
      <x:c r="AC715" s="32"/>
      <x:c r="AD715" s="32" t="e">
        <x:f>IF(A715=1,MAX(0,Dashboard!$F$14-$B$8),AG714)</x:f>
      </x:c>
      <x:c r="AE715" s="32" t="n">
        <x:f>0</x:f>
        <x:v>0</x:v>
      </x:c>
      <x:c r="AF715" s="32" t="e">
        <x:f>IF(A715&lt;=Dashboard!$F$17,AD715*Dashboard!$F$6,0)</x:f>
      </x:c>
      <x:c r="AG715" s="32" t="e">
        <x:f>IF(A715&lt;=Dashboard!$F$17,MIN(Dashboard!$F$10,AD715+AF715),0)</x:f>
      </x:c>
      <x:c r="AH715" s="32" t="e">
        <x:f>IF(A715&lt;=Dashboard!$F$17,MAX(0,AD715-MAX(0,AG715-AF715)),0)</x:f>
      </x:c>
      <x:c r="AI715" s="32" t="e">
        <x:f>IF(A715=1,AF715,AI714+AF715)</x:f>
      </x:c>
      <x:c r="AJ715" s="33"/>
      <x:c r="AK715" s="33"/>
      <x:c r="AL715" s="33"/>
      <x:c r="AM715" s="33"/>
    </x:row>
    <x:row r="716">
      <x:c r="A716" s="33" t="n">
        <x:v>704</x:v>
      </x:c>
      <x:c r="B716" s="32" t="e">
        <x:f>IF(A716=1,Dashboard!$F$14,F715)</x:f>
      </x:c>
      <x:c r="C716" s="32" t="n">
        <x:f>0</x:f>
        <x:v>0</x:v>
      </x:c>
      <x:c r="D716" s="32" t="e">
        <x:f>IF(A716&lt;=Dashboard!$F$15,B716*Dashboard!$F$6,0)</x:f>
      </x:c>
      <x:c r="E716" s="32" t="e">
        <x:f>IF(A716&lt;=Dashboard!$F$15,MIN(Dashboard!$F$10,B716+D716),0)</x:f>
      </x:c>
      <x:c r="F716" s="32" t="e">
        <x:f>IF(A716&lt;=Dashboard!$F$15,MAX(0,B716-MAX(0,E716-D716)),0)</x:f>
      </x:c>
      <x:c r="G716" s="32" t="e">
        <x:f>IF(A716=1,D716,G715+D716)</x:f>
      </x:c>
      <x:c r="H716" s="32"/>
      <x:c r="I716" s="32" t="e">
        <x:f>IF(A716=1,Dashboard!$F$14,M715)</x:f>
      </x:c>
      <x:c r="J716" s="32" t="e">
        <x:f>IF(A716&lt;=Dashboard!$F$17,MIN(I716,$B$5),0)</x:f>
      </x:c>
      <x:c r="K716" s="32" t="e">
        <x:f>IF(A716&lt;=Dashboard!$F$17,MAX(0,I716-J716)*Dashboard!$F$6,0)</x:f>
      </x:c>
      <x:c r="L716" s="32" t="e">
        <x:f>IF(A716&lt;=Dashboard!$F$17,MIN(Dashboard!$F$10,MAX(0,I716-J716)+K716),0)</x:f>
      </x:c>
      <x:c r="M716" s="32" t="e">
        <x:f>IF(A716&lt;=Dashboard!$F$17,MAX(0,I716-J716-MAX(0,L716-K716)),0)</x:f>
      </x:c>
      <x:c r="N716" s="32" t="e">
        <x:f>IF(A716=1,K716,N715+K716)</x:f>
      </x:c>
      <x:c r="O716" s="32"/>
      <x:c r="P716" s="32" t="e">
        <x:f>IF(A716=1,Dashboard!$F$14,T715)</x:f>
      </x:c>
      <x:c r="Q716" s="32" t="e">
        <x:f>IF(A716&lt;=Dashboard!$F$17,MIN(P716,$B$6*52/12),0)</x:f>
      </x:c>
      <x:c r="R716" s="32" t="e">
        <x:f>IF(A716&lt;=Dashboard!$F$17,MAX(0,P716-Q716)*Dashboard!$F$6,0)</x:f>
      </x:c>
      <x:c r="S716" s="32" t="e">
        <x:f>IF(A716&lt;=Dashboard!$F$17,MIN(Dashboard!$F$10,MAX(0,P716-Q716)+R716),0)</x:f>
      </x:c>
      <x:c r="T716" s="32" t="e">
        <x:f>IF(A716&lt;=Dashboard!$F$17,MAX(0,P716-Q716-MAX(0,S716-R716)),0)</x:f>
      </x:c>
      <x:c r="U716" s="32" t="e">
        <x:f>IF(A716=1,R716,U715+R716)</x:f>
      </x:c>
      <x:c r="V716" s="32"/>
      <x:c r="W716" s="32" t="e">
        <x:f>IF(A716=1,Dashboard!$F$14,AA715)</x:f>
      </x:c>
      <x:c r="X716" s="32" t="e">
        <x:f>IF(AND(A716&lt;=Dashboard!$F$17,MOD(A716-1,12)=0),MIN(W716,$B$7),0)</x:f>
      </x:c>
      <x:c r="Y716" s="32" t="e">
        <x:f>IF(A716&lt;=Dashboard!$F$17,MAX(0,W716-X716)*Dashboard!$F$6,0)</x:f>
      </x:c>
      <x:c r="Z716" s="32" t="e">
        <x:f>IF(A716&lt;=Dashboard!$F$17,MIN(Dashboard!$F$10,MAX(0,W716-X716)+Y716),0)</x:f>
      </x:c>
      <x:c r="AA716" s="32" t="e">
        <x:f>IF(A716&lt;=Dashboard!$F$17,MAX(0,W716-X716-MAX(0,Z716-Y716)),0)</x:f>
      </x:c>
      <x:c r="AB716" s="32" t="e">
        <x:f>IF(A716=1,Y716,AB715+Y716)</x:f>
      </x:c>
      <x:c r="AC716" s="32"/>
      <x:c r="AD716" s="32" t="e">
        <x:f>IF(A716=1,MAX(0,Dashboard!$F$14-$B$8),AG715)</x:f>
      </x:c>
      <x:c r="AE716" s="32" t="n">
        <x:f>0</x:f>
        <x:v>0</x:v>
      </x:c>
      <x:c r="AF716" s="32" t="e">
        <x:f>IF(A716&lt;=Dashboard!$F$17,AD716*Dashboard!$F$6,0)</x:f>
      </x:c>
      <x:c r="AG716" s="32" t="e">
        <x:f>IF(A716&lt;=Dashboard!$F$17,MIN(Dashboard!$F$10,AD716+AF716),0)</x:f>
      </x:c>
      <x:c r="AH716" s="32" t="e">
        <x:f>IF(A716&lt;=Dashboard!$F$17,MAX(0,AD716-MAX(0,AG716-AF716)),0)</x:f>
      </x:c>
      <x:c r="AI716" s="32" t="e">
        <x:f>IF(A716=1,AF716,AI715+AF716)</x:f>
      </x:c>
      <x:c r="AJ716" s="33"/>
      <x:c r="AK716" s="33"/>
      <x:c r="AL716" s="33"/>
      <x:c r="AM716" s="33"/>
    </x:row>
    <x:row r="717">
      <x:c r="A717" s="33" t="n">
        <x:v>705</x:v>
      </x:c>
      <x:c r="B717" s="32" t="e">
        <x:f>IF(A717=1,Dashboard!$F$14,F716)</x:f>
      </x:c>
      <x:c r="C717" s="32" t="n">
        <x:f>0</x:f>
        <x:v>0</x:v>
      </x:c>
      <x:c r="D717" s="32" t="e">
        <x:f>IF(A717&lt;=Dashboard!$F$15,B717*Dashboard!$F$6,0)</x:f>
      </x:c>
      <x:c r="E717" s="32" t="e">
        <x:f>IF(A717&lt;=Dashboard!$F$15,MIN(Dashboard!$F$10,B717+D717),0)</x:f>
      </x:c>
      <x:c r="F717" s="32" t="e">
        <x:f>IF(A717&lt;=Dashboard!$F$15,MAX(0,B717-MAX(0,E717-D717)),0)</x:f>
      </x:c>
      <x:c r="G717" s="32" t="e">
        <x:f>IF(A717=1,D717,G716+D717)</x:f>
      </x:c>
      <x:c r="H717" s="32"/>
      <x:c r="I717" s="32" t="e">
        <x:f>IF(A717=1,Dashboard!$F$14,M716)</x:f>
      </x:c>
      <x:c r="J717" s="32" t="e">
        <x:f>IF(A717&lt;=Dashboard!$F$17,MIN(I717,$B$5),0)</x:f>
      </x:c>
      <x:c r="K717" s="32" t="e">
        <x:f>IF(A717&lt;=Dashboard!$F$17,MAX(0,I717-J717)*Dashboard!$F$6,0)</x:f>
      </x:c>
      <x:c r="L717" s="32" t="e">
        <x:f>IF(A717&lt;=Dashboard!$F$17,MIN(Dashboard!$F$10,MAX(0,I717-J717)+K717),0)</x:f>
      </x:c>
      <x:c r="M717" s="32" t="e">
        <x:f>IF(A717&lt;=Dashboard!$F$17,MAX(0,I717-J717-MAX(0,L717-K717)),0)</x:f>
      </x:c>
      <x:c r="N717" s="32" t="e">
        <x:f>IF(A717=1,K717,N716+K717)</x:f>
      </x:c>
      <x:c r="O717" s="32"/>
      <x:c r="P717" s="32" t="e">
        <x:f>IF(A717=1,Dashboard!$F$14,T716)</x:f>
      </x:c>
      <x:c r="Q717" s="32" t="e">
        <x:f>IF(A717&lt;=Dashboard!$F$17,MIN(P717,$B$6*52/12),0)</x:f>
      </x:c>
      <x:c r="R717" s="32" t="e">
        <x:f>IF(A717&lt;=Dashboard!$F$17,MAX(0,P717-Q717)*Dashboard!$F$6,0)</x:f>
      </x:c>
      <x:c r="S717" s="32" t="e">
        <x:f>IF(A717&lt;=Dashboard!$F$17,MIN(Dashboard!$F$10,MAX(0,P717-Q717)+R717),0)</x:f>
      </x:c>
      <x:c r="T717" s="32" t="e">
        <x:f>IF(A717&lt;=Dashboard!$F$17,MAX(0,P717-Q717-MAX(0,S717-R717)),0)</x:f>
      </x:c>
      <x:c r="U717" s="32" t="e">
        <x:f>IF(A717=1,R717,U716+R717)</x:f>
      </x:c>
      <x:c r="V717" s="32"/>
      <x:c r="W717" s="32" t="e">
        <x:f>IF(A717=1,Dashboard!$F$14,AA716)</x:f>
      </x:c>
      <x:c r="X717" s="32" t="e">
        <x:f>IF(AND(A717&lt;=Dashboard!$F$17,MOD(A717-1,12)=0),MIN(W717,$B$7),0)</x:f>
      </x:c>
      <x:c r="Y717" s="32" t="e">
        <x:f>IF(A717&lt;=Dashboard!$F$17,MAX(0,W717-X717)*Dashboard!$F$6,0)</x:f>
      </x:c>
      <x:c r="Z717" s="32" t="e">
        <x:f>IF(A717&lt;=Dashboard!$F$17,MIN(Dashboard!$F$10,MAX(0,W717-X717)+Y717),0)</x:f>
      </x:c>
      <x:c r="AA717" s="32" t="e">
        <x:f>IF(A717&lt;=Dashboard!$F$17,MAX(0,W717-X717-MAX(0,Z717-Y717)),0)</x:f>
      </x:c>
      <x:c r="AB717" s="32" t="e">
        <x:f>IF(A717=1,Y717,AB716+Y717)</x:f>
      </x:c>
      <x:c r="AC717" s="32"/>
      <x:c r="AD717" s="32" t="e">
        <x:f>IF(A717=1,MAX(0,Dashboard!$F$14-$B$8),AG716)</x:f>
      </x:c>
      <x:c r="AE717" s="32" t="n">
        <x:f>0</x:f>
        <x:v>0</x:v>
      </x:c>
      <x:c r="AF717" s="32" t="e">
        <x:f>IF(A717&lt;=Dashboard!$F$17,AD717*Dashboard!$F$6,0)</x:f>
      </x:c>
      <x:c r="AG717" s="32" t="e">
        <x:f>IF(A717&lt;=Dashboard!$F$17,MIN(Dashboard!$F$10,AD717+AF717),0)</x:f>
      </x:c>
      <x:c r="AH717" s="32" t="e">
        <x:f>IF(A717&lt;=Dashboard!$F$17,MAX(0,AD717-MAX(0,AG717-AF717)),0)</x:f>
      </x:c>
      <x:c r="AI717" s="32" t="e">
        <x:f>IF(A717=1,AF717,AI716+AF717)</x:f>
      </x:c>
      <x:c r="AJ717" s="33"/>
      <x:c r="AK717" s="33"/>
      <x:c r="AL717" s="33"/>
      <x:c r="AM717" s="33"/>
    </x:row>
    <x:row r="718">
      <x:c r="A718" s="33" t="n">
        <x:v>706</x:v>
      </x:c>
      <x:c r="B718" s="32" t="e">
        <x:f>IF(A718=1,Dashboard!$F$14,F717)</x:f>
      </x:c>
      <x:c r="C718" s="32" t="n">
        <x:f>0</x:f>
        <x:v>0</x:v>
      </x:c>
      <x:c r="D718" s="32" t="e">
        <x:f>IF(A718&lt;=Dashboard!$F$15,B718*Dashboard!$F$6,0)</x:f>
      </x:c>
      <x:c r="E718" s="32" t="e">
        <x:f>IF(A718&lt;=Dashboard!$F$15,MIN(Dashboard!$F$10,B718+D718),0)</x:f>
      </x:c>
      <x:c r="F718" s="32" t="e">
        <x:f>IF(A718&lt;=Dashboard!$F$15,MAX(0,B718-MAX(0,E718-D718)),0)</x:f>
      </x:c>
      <x:c r="G718" s="32" t="e">
        <x:f>IF(A718=1,D718,G717+D718)</x:f>
      </x:c>
      <x:c r="H718" s="32"/>
      <x:c r="I718" s="32" t="e">
        <x:f>IF(A718=1,Dashboard!$F$14,M717)</x:f>
      </x:c>
      <x:c r="J718" s="32" t="e">
        <x:f>IF(A718&lt;=Dashboard!$F$17,MIN(I718,$B$5),0)</x:f>
      </x:c>
      <x:c r="K718" s="32" t="e">
        <x:f>IF(A718&lt;=Dashboard!$F$17,MAX(0,I718-J718)*Dashboard!$F$6,0)</x:f>
      </x:c>
      <x:c r="L718" s="32" t="e">
        <x:f>IF(A718&lt;=Dashboard!$F$17,MIN(Dashboard!$F$10,MAX(0,I718-J718)+K718),0)</x:f>
      </x:c>
      <x:c r="M718" s="32" t="e">
        <x:f>IF(A718&lt;=Dashboard!$F$17,MAX(0,I718-J718-MAX(0,L718-K718)),0)</x:f>
      </x:c>
      <x:c r="N718" s="32" t="e">
        <x:f>IF(A718=1,K718,N717+K718)</x:f>
      </x:c>
      <x:c r="O718" s="32"/>
      <x:c r="P718" s="32" t="e">
        <x:f>IF(A718=1,Dashboard!$F$14,T717)</x:f>
      </x:c>
      <x:c r="Q718" s="32" t="e">
        <x:f>IF(A718&lt;=Dashboard!$F$17,MIN(P718,$B$6*52/12),0)</x:f>
      </x:c>
      <x:c r="R718" s="32" t="e">
        <x:f>IF(A718&lt;=Dashboard!$F$17,MAX(0,P718-Q718)*Dashboard!$F$6,0)</x:f>
      </x:c>
      <x:c r="S718" s="32" t="e">
        <x:f>IF(A718&lt;=Dashboard!$F$17,MIN(Dashboard!$F$10,MAX(0,P718-Q718)+R718),0)</x:f>
      </x:c>
      <x:c r="T718" s="32" t="e">
        <x:f>IF(A718&lt;=Dashboard!$F$17,MAX(0,P718-Q718-MAX(0,S718-R718)),0)</x:f>
      </x:c>
      <x:c r="U718" s="32" t="e">
        <x:f>IF(A718=1,R718,U717+R718)</x:f>
      </x:c>
      <x:c r="V718" s="32"/>
      <x:c r="W718" s="32" t="e">
        <x:f>IF(A718=1,Dashboard!$F$14,AA717)</x:f>
      </x:c>
      <x:c r="X718" s="32" t="e">
        <x:f>IF(AND(A718&lt;=Dashboard!$F$17,MOD(A718-1,12)=0),MIN(W718,$B$7),0)</x:f>
      </x:c>
      <x:c r="Y718" s="32" t="e">
        <x:f>IF(A718&lt;=Dashboard!$F$17,MAX(0,W718-X718)*Dashboard!$F$6,0)</x:f>
      </x:c>
      <x:c r="Z718" s="32" t="e">
        <x:f>IF(A718&lt;=Dashboard!$F$17,MIN(Dashboard!$F$10,MAX(0,W718-X718)+Y718),0)</x:f>
      </x:c>
      <x:c r="AA718" s="32" t="e">
        <x:f>IF(A718&lt;=Dashboard!$F$17,MAX(0,W718-X718-MAX(0,Z718-Y718)),0)</x:f>
      </x:c>
      <x:c r="AB718" s="32" t="e">
        <x:f>IF(A718=1,Y718,AB717+Y718)</x:f>
      </x:c>
      <x:c r="AC718" s="32"/>
      <x:c r="AD718" s="32" t="e">
        <x:f>IF(A718=1,MAX(0,Dashboard!$F$14-$B$8),AG717)</x:f>
      </x:c>
      <x:c r="AE718" s="32" t="n">
        <x:f>0</x:f>
        <x:v>0</x:v>
      </x:c>
      <x:c r="AF718" s="32" t="e">
        <x:f>IF(A718&lt;=Dashboard!$F$17,AD718*Dashboard!$F$6,0)</x:f>
      </x:c>
      <x:c r="AG718" s="32" t="e">
        <x:f>IF(A718&lt;=Dashboard!$F$17,MIN(Dashboard!$F$10,AD718+AF718),0)</x:f>
      </x:c>
      <x:c r="AH718" s="32" t="e">
        <x:f>IF(A718&lt;=Dashboard!$F$17,MAX(0,AD718-MAX(0,AG718-AF718)),0)</x:f>
      </x:c>
      <x:c r="AI718" s="32" t="e">
        <x:f>IF(A718=1,AF718,AI717+AF718)</x:f>
      </x:c>
      <x:c r="AJ718" s="33"/>
      <x:c r="AK718" s="33"/>
      <x:c r="AL718" s="33"/>
      <x:c r="AM718" s="33"/>
    </x:row>
    <x:row r="719">
      <x:c r="A719" s="33" t="n">
        <x:v>707</x:v>
      </x:c>
      <x:c r="B719" s="32" t="e">
        <x:f>IF(A719=1,Dashboard!$F$14,F718)</x:f>
      </x:c>
      <x:c r="C719" s="32" t="n">
        <x:f>0</x:f>
        <x:v>0</x:v>
      </x:c>
      <x:c r="D719" s="32" t="e">
        <x:f>IF(A719&lt;=Dashboard!$F$15,B719*Dashboard!$F$6,0)</x:f>
      </x:c>
      <x:c r="E719" s="32" t="e">
        <x:f>IF(A719&lt;=Dashboard!$F$15,MIN(Dashboard!$F$10,B719+D719),0)</x:f>
      </x:c>
      <x:c r="F719" s="32" t="e">
        <x:f>IF(A719&lt;=Dashboard!$F$15,MAX(0,B719-MAX(0,E719-D719)),0)</x:f>
      </x:c>
      <x:c r="G719" s="32" t="e">
        <x:f>IF(A719=1,D719,G718+D719)</x:f>
      </x:c>
      <x:c r="H719" s="32"/>
      <x:c r="I719" s="32" t="e">
        <x:f>IF(A719=1,Dashboard!$F$14,M718)</x:f>
      </x:c>
      <x:c r="J719" s="32" t="e">
        <x:f>IF(A719&lt;=Dashboard!$F$17,MIN(I719,$B$5),0)</x:f>
      </x:c>
      <x:c r="K719" s="32" t="e">
        <x:f>IF(A719&lt;=Dashboard!$F$17,MAX(0,I719-J719)*Dashboard!$F$6,0)</x:f>
      </x:c>
      <x:c r="L719" s="32" t="e">
        <x:f>IF(A719&lt;=Dashboard!$F$17,MIN(Dashboard!$F$10,MAX(0,I719-J719)+K719),0)</x:f>
      </x:c>
      <x:c r="M719" s="32" t="e">
        <x:f>IF(A719&lt;=Dashboard!$F$17,MAX(0,I719-J719-MAX(0,L719-K719)),0)</x:f>
      </x:c>
      <x:c r="N719" s="32" t="e">
        <x:f>IF(A719=1,K719,N718+K719)</x:f>
      </x:c>
      <x:c r="O719" s="32"/>
      <x:c r="P719" s="32" t="e">
        <x:f>IF(A719=1,Dashboard!$F$14,T718)</x:f>
      </x:c>
      <x:c r="Q719" s="32" t="e">
        <x:f>IF(A719&lt;=Dashboard!$F$17,MIN(P719,$B$6*52/12),0)</x:f>
      </x:c>
      <x:c r="R719" s="32" t="e">
        <x:f>IF(A719&lt;=Dashboard!$F$17,MAX(0,P719-Q719)*Dashboard!$F$6,0)</x:f>
      </x:c>
      <x:c r="S719" s="32" t="e">
        <x:f>IF(A719&lt;=Dashboard!$F$17,MIN(Dashboard!$F$10,MAX(0,P719-Q719)+R719),0)</x:f>
      </x:c>
      <x:c r="T719" s="32" t="e">
        <x:f>IF(A719&lt;=Dashboard!$F$17,MAX(0,P719-Q719-MAX(0,S719-R719)),0)</x:f>
      </x:c>
      <x:c r="U719" s="32" t="e">
        <x:f>IF(A719=1,R719,U718+R719)</x:f>
      </x:c>
      <x:c r="V719" s="32"/>
      <x:c r="W719" s="32" t="e">
        <x:f>IF(A719=1,Dashboard!$F$14,AA718)</x:f>
      </x:c>
      <x:c r="X719" s="32" t="e">
        <x:f>IF(AND(A719&lt;=Dashboard!$F$17,MOD(A719-1,12)=0),MIN(W719,$B$7),0)</x:f>
      </x:c>
      <x:c r="Y719" s="32" t="e">
        <x:f>IF(A719&lt;=Dashboard!$F$17,MAX(0,W719-X719)*Dashboard!$F$6,0)</x:f>
      </x:c>
      <x:c r="Z719" s="32" t="e">
        <x:f>IF(A719&lt;=Dashboard!$F$17,MIN(Dashboard!$F$10,MAX(0,W719-X719)+Y719),0)</x:f>
      </x:c>
      <x:c r="AA719" s="32" t="e">
        <x:f>IF(A719&lt;=Dashboard!$F$17,MAX(0,W719-X719-MAX(0,Z719-Y719)),0)</x:f>
      </x:c>
      <x:c r="AB719" s="32" t="e">
        <x:f>IF(A719=1,Y719,AB718+Y719)</x:f>
      </x:c>
      <x:c r="AC719" s="32"/>
      <x:c r="AD719" s="32" t="e">
        <x:f>IF(A719=1,MAX(0,Dashboard!$F$14-$B$8),AG718)</x:f>
      </x:c>
      <x:c r="AE719" s="32" t="n">
        <x:f>0</x:f>
        <x:v>0</x:v>
      </x:c>
      <x:c r="AF719" s="32" t="e">
        <x:f>IF(A719&lt;=Dashboard!$F$17,AD719*Dashboard!$F$6,0)</x:f>
      </x:c>
      <x:c r="AG719" s="32" t="e">
        <x:f>IF(A719&lt;=Dashboard!$F$17,MIN(Dashboard!$F$10,AD719+AF719),0)</x:f>
      </x:c>
      <x:c r="AH719" s="32" t="e">
        <x:f>IF(A719&lt;=Dashboard!$F$17,MAX(0,AD719-MAX(0,AG719-AF719)),0)</x:f>
      </x:c>
      <x:c r="AI719" s="32" t="e">
        <x:f>IF(A719=1,AF719,AI718+AF719)</x:f>
      </x:c>
      <x:c r="AJ719" s="33"/>
      <x:c r="AK719" s="33"/>
      <x:c r="AL719" s="33"/>
      <x:c r="AM719" s="33"/>
    </x:row>
    <x:row r="720">
      <x:c r="A720" s="33" t="n">
        <x:v>708</x:v>
      </x:c>
      <x:c r="B720" s="32" t="e">
        <x:f>IF(A720=1,Dashboard!$F$14,F719)</x:f>
      </x:c>
      <x:c r="C720" s="32" t="n">
        <x:f>0</x:f>
        <x:v>0</x:v>
      </x:c>
      <x:c r="D720" s="32" t="e">
        <x:f>IF(A720&lt;=Dashboard!$F$15,B720*Dashboard!$F$6,0)</x:f>
      </x:c>
      <x:c r="E720" s="32" t="e">
        <x:f>IF(A720&lt;=Dashboard!$F$15,MIN(Dashboard!$F$10,B720+D720),0)</x:f>
      </x:c>
      <x:c r="F720" s="32" t="e">
        <x:f>IF(A720&lt;=Dashboard!$F$15,MAX(0,B720-MAX(0,E720-D720)),0)</x:f>
      </x:c>
      <x:c r="G720" s="32" t="e">
        <x:f>IF(A720=1,D720,G719+D720)</x:f>
      </x:c>
      <x:c r="H720" s="32"/>
      <x:c r="I720" s="32" t="e">
        <x:f>IF(A720=1,Dashboard!$F$14,M719)</x:f>
      </x:c>
      <x:c r="J720" s="32" t="e">
        <x:f>IF(A720&lt;=Dashboard!$F$17,MIN(I720,$B$5),0)</x:f>
      </x:c>
      <x:c r="K720" s="32" t="e">
        <x:f>IF(A720&lt;=Dashboard!$F$17,MAX(0,I720-J720)*Dashboard!$F$6,0)</x:f>
      </x:c>
      <x:c r="L720" s="32" t="e">
        <x:f>IF(A720&lt;=Dashboard!$F$17,MIN(Dashboard!$F$10,MAX(0,I720-J720)+K720),0)</x:f>
      </x:c>
      <x:c r="M720" s="32" t="e">
        <x:f>IF(A720&lt;=Dashboard!$F$17,MAX(0,I720-J720-MAX(0,L720-K720)),0)</x:f>
      </x:c>
      <x:c r="N720" s="32" t="e">
        <x:f>IF(A720=1,K720,N719+K720)</x:f>
      </x:c>
      <x:c r="O720" s="32"/>
      <x:c r="P720" s="32" t="e">
        <x:f>IF(A720=1,Dashboard!$F$14,T719)</x:f>
      </x:c>
      <x:c r="Q720" s="32" t="e">
        <x:f>IF(A720&lt;=Dashboard!$F$17,MIN(P720,$B$6*52/12),0)</x:f>
      </x:c>
      <x:c r="R720" s="32" t="e">
        <x:f>IF(A720&lt;=Dashboard!$F$17,MAX(0,P720-Q720)*Dashboard!$F$6,0)</x:f>
      </x:c>
      <x:c r="S720" s="32" t="e">
        <x:f>IF(A720&lt;=Dashboard!$F$17,MIN(Dashboard!$F$10,MAX(0,P720-Q720)+R720),0)</x:f>
      </x:c>
      <x:c r="T720" s="32" t="e">
        <x:f>IF(A720&lt;=Dashboard!$F$17,MAX(0,P720-Q720-MAX(0,S720-R720)),0)</x:f>
      </x:c>
      <x:c r="U720" s="32" t="e">
        <x:f>IF(A720=1,R720,U719+R720)</x:f>
      </x:c>
      <x:c r="V720" s="32"/>
      <x:c r="W720" s="32" t="e">
        <x:f>IF(A720=1,Dashboard!$F$14,AA719)</x:f>
      </x:c>
      <x:c r="X720" s="32" t="e">
        <x:f>IF(AND(A720&lt;=Dashboard!$F$17,MOD(A720-1,12)=0),MIN(W720,$B$7),0)</x:f>
      </x:c>
      <x:c r="Y720" s="32" t="e">
        <x:f>IF(A720&lt;=Dashboard!$F$17,MAX(0,W720-X720)*Dashboard!$F$6,0)</x:f>
      </x:c>
      <x:c r="Z720" s="32" t="e">
        <x:f>IF(A720&lt;=Dashboard!$F$17,MIN(Dashboard!$F$10,MAX(0,W720-X720)+Y720),0)</x:f>
      </x:c>
      <x:c r="AA720" s="32" t="e">
        <x:f>IF(A720&lt;=Dashboard!$F$17,MAX(0,W720-X720-MAX(0,Z720-Y720)),0)</x:f>
      </x:c>
      <x:c r="AB720" s="32" t="e">
        <x:f>IF(A720=1,Y720,AB719+Y720)</x:f>
      </x:c>
      <x:c r="AC720" s="32"/>
      <x:c r="AD720" s="32" t="e">
        <x:f>IF(A720=1,MAX(0,Dashboard!$F$14-$B$8),AG719)</x:f>
      </x:c>
      <x:c r="AE720" s="32" t="n">
        <x:f>0</x:f>
        <x:v>0</x:v>
      </x:c>
      <x:c r="AF720" s="32" t="e">
        <x:f>IF(A720&lt;=Dashboard!$F$17,AD720*Dashboard!$F$6,0)</x:f>
      </x:c>
      <x:c r="AG720" s="32" t="e">
        <x:f>IF(A720&lt;=Dashboard!$F$17,MIN(Dashboard!$F$10,AD720+AF720),0)</x:f>
      </x:c>
      <x:c r="AH720" s="32" t="e">
        <x:f>IF(A720&lt;=Dashboard!$F$17,MAX(0,AD720-MAX(0,AG720-AF720)),0)</x:f>
      </x:c>
      <x:c r="AI720" s="32" t="e">
        <x:f>IF(A720=1,AF720,AI719+AF720)</x:f>
      </x:c>
      <x:c r="AJ720" s="33"/>
      <x:c r="AK720" s="33"/>
      <x:c r="AL720" s="33"/>
      <x:c r="AM720" s="33"/>
    </x:row>
    <x:row r="721">
      <x:c r="A721" s="33" t="n">
        <x:v>709</x:v>
      </x:c>
      <x:c r="B721" s="32" t="e">
        <x:f>IF(A721=1,Dashboard!$F$14,F720)</x:f>
      </x:c>
      <x:c r="C721" s="32" t="n">
        <x:f>0</x:f>
        <x:v>0</x:v>
      </x:c>
      <x:c r="D721" s="32" t="e">
        <x:f>IF(A721&lt;=Dashboard!$F$15,B721*Dashboard!$F$6,0)</x:f>
      </x:c>
      <x:c r="E721" s="32" t="e">
        <x:f>IF(A721&lt;=Dashboard!$F$15,MIN(Dashboard!$F$10,B721+D721),0)</x:f>
      </x:c>
      <x:c r="F721" s="32" t="e">
        <x:f>IF(A721&lt;=Dashboard!$F$15,MAX(0,B721-MAX(0,E721-D721)),0)</x:f>
      </x:c>
      <x:c r="G721" s="32" t="e">
        <x:f>IF(A721=1,D721,G720+D721)</x:f>
      </x:c>
      <x:c r="H721" s="32"/>
      <x:c r="I721" s="32" t="e">
        <x:f>IF(A721=1,Dashboard!$F$14,M720)</x:f>
      </x:c>
      <x:c r="J721" s="32" t="e">
        <x:f>IF(A721&lt;=Dashboard!$F$17,MIN(I721,$B$5),0)</x:f>
      </x:c>
      <x:c r="K721" s="32" t="e">
        <x:f>IF(A721&lt;=Dashboard!$F$17,MAX(0,I721-J721)*Dashboard!$F$6,0)</x:f>
      </x:c>
      <x:c r="L721" s="32" t="e">
        <x:f>IF(A721&lt;=Dashboard!$F$17,MIN(Dashboard!$F$10,MAX(0,I721-J721)+K721),0)</x:f>
      </x:c>
      <x:c r="M721" s="32" t="e">
        <x:f>IF(A721&lt;=Dashboard!$F$17,MAX(0,I721-J721-MAX(0,L721-K721)),0)</x:f>
      </x:c>
      <x:c r="N721" s="32" t="e">
        <x:f>IF(A721=1,K721,N720+K721)</x:f>
      </x:c>
      <x:c r="O721" s="32"/>
      <x:c r="P721" s="32" t="e">
        <x:f>IF(A721=1,Dashboard!$F$14,T720)</x:f>
      </x:c>
      <x:c r="Q721" s="32" t="e">
        <x:f>IF(A721&lt;=Dashboard!$F$17,MIN(P721,$B$6*52/12),0)</x:f>
      </x:c>
      <x:c r="R721" s="32" t="e">
        <x:f>IF(A721&lt;=Dashboard!$F$17,MAX(0,P721-Q721)*Dashboard!$F$6,0)</x:f>
      </x:c>
      <x:c r="S721" s="32" t="e">
        <x:f>IF(A721&lt;=Dashboard!$F$17,MIN(Dashboard!$F$10,MAX(0,P721-Q721)+R721),0)</x:f>
      </x:c>
      <x:c r="T721" s="32" t="e">
        <x:f>IF(A721&lt;=Dashboard!$F$17,MAX(0,P721-Q721-MAX(0,S721-R721)),0)</x:f>
      </x:c>
      <x:c r="U721" s="32" t="e">
        <x:f>IF(A721=1,R721,U720+R721)</x:f>
      </x:c>
      <x:c r="V721" s="32"/>
      <x:c r="W721" s="32" t="e">
        <x:f>IF(A721=1,Dashboard!$F$14,AA720)</x:f>
      </x:c>
      <x:c r="X721" s="32" t="e">
        <x:f>IF(AND(A721&lt;=Dashboard!$F$17,MOD(A721-1,12)=0),MIN(W721,$B$7),0)</x:f>
      </x:c>
      <x:c r="Y721" s="32" t="e">
        <x:f>IF(A721&lt;=Dashboard!$F$17,MAX(0,W721-X721)*Dashboard!$F$6,0)</x:f>
      </x:c>
      <x:c r="Z721" s="32" t="e">
        <x:f>IF(A721&lt;=Dashboard!$F$17,MIN(Dashboard!$F$10,MAX(0,W721-X721)+Y721),0)</x:f>
      </x:c>
      <x:c r="AA721" s="32" t="e">
        <x:f>IF(A721&lt;=Dashboard!$F$17,MAX(0,W721-X721-MAX(0,Z721-Y721)),0)</x:f>
      </x:c>
      <x:c r="AB721" s="32" t="e">
        <x:f>IF(A721=1,Y721,AB720+Y721)</x:f>
      </x:c>
      <x:c r="AC721" s="32"/>
      <x:c r="AD721" s="32" t="e">
        <x:f>IF(A721=1,MAX(0,Dashboard!$F$14-$B$8),AG720)</x:f>
      </x:c>
      <x:c r="AE721" s="32" t="n">
        <x:f>0</x:f>
        <x:v>0</x:v>
      </x:c>
      <x:c r="AF721" s="32" t="e">
        <x:f>IF(A721&lt;=Dashboard!$F$17,AD721*Dashboard!$F$6,0)</x:f>
      </x:c>
      <x:c r="AG721" s="32" t="e">
        <x:f>IF(A721&lt;=Dashboard!$F$17,MIN(Dashboard!$F$10,AD721+AF721),0)</x:f>
      </x:c>
      <x:c r="AH721" s="32" t="e">
        <x:f>IF(A721&lt;=Dashboard!$F$17,MAX(0,AD721-MAX(0,AG721-AF721)),0)</x:f>
      </x:c>
      <x:c r="AI721" s="32" t="e">
        <x:f>IF(A721=1,AF721,AI720+AF721)</x:f>
      </x:c>
      <x:c r="AJ721" s="33"/>
      <x:c r="AK721" s="33"/>
      <x:c r="AL721" s="33"/>
      <x:c r="AM721" s="33"/>
    </x:row>
    <x:row r="722">
      <x:c r="A722" s="33" t="n">
        <x:v>710</x:v>
      </x:c>
      <x:c r="B722" s="32" t="e">
        <x:f>IF(A722=1,Dashboard!$F$14,F721)</x:f>
      </x:c>
      <x:c r="C722" s="32" t="n">
        <x:f>0</x:f>
        <x:v>0</x:v>
      </x:c>
      <x:c r="D722" s="32" t="e">
        <x:f>IF(A722&lt;=Dashboard!$F$15,B722*Dashboard!$F$6,0)</x:f>
      </x:c>
      <x:c r="E722" s="32" t="e">
        <x:f>IF(A722&lt;=Dashboard!$F$15,MIN(Dashboard!$F$10,B722+D722),0)</x:f>
      </x:c>
      <x:c r="F722" s="32" t="e">
        <x:f>IF(A722&lt;=Dashboard!$F$15,MAX(0,B722-MAX(0,E722-D722)),0)</x:f>
      </x:c>
      <x:c r="G722" s="32" t="e">
        <x:f>IF(A722=1,D722,G721+D722)</x:f>
      </x:c>
      <x:c r="H722" s="32"/>
      <x:c r="I722" s="32" t="e">
        <x:f>IF(A722=1,Dashboard!$F$14,M721)</x:f>
      </x:c>
      <x:c r="J722" s="32" t="e">
        <x:f>IF(A722&lt;=Dashboard!$F$17,MIN(I722,$B$5),0)</x:f>
      </x:c>
      <x:c r="K722" s="32" t="e">
        <x:f>IF(A722&lt;=Dashboard!$F$17,MAX(0,I722-J722)*Dashboard!$F$6,0)</x:f>
      </x:c>
      <x:c r="L722" s="32" t="e">
        <x:f>IF(A722&lt;=Dashboard!$F$17,MIN(Dashboard!$F$10,MAX(0,I722-J722)+K722),0)</x:f>
      </x:c>
      <x:c r="M722" s="32" t="e">
        <x:f>IF(A722&lt;=Dashboard!$F$17,MAX(0,I722-J722-MAX(0,L722-K722)),0)</x:f>
      </x:c>
      <x:c r="N722" s="32" t="e">
        <x:f>IF(A722=1,K722,N721+K722)</x:f>
      </x:c>
      <x:c r="O722" s="32"/>
      <x:c r="P722" s="32" t="e">
        <x:f>IF(A722=1,Dashboard!$F$14,T721)</x:f>
      </x:c>
      <x:c r="Q722" s="32" t="e">
        <x:f>IF(A722&lt;=Dashboard!$F$17,MIN(P722,$B$6*52/12),0)</x:f>
      </x:c>
      <x:c r="R722" s="32" t="e">
        <x:f>IF(A722&lt;=Dashboard!$F$17,MAX(0,P722-Q722)*Dashboard!$F$6,0)</x:f>
      </x:c>
      <x:c r="S722" s="32" t="e">
        <x:f>IF(A722&lt;=Dashboard!$F$17,MIN(Dashboard!$F$10,MAX(0,P722-Q722)+R722),0)</x:f>
      </x:c>
      <x:c r="T722" s="32" t="e">
        <x:f>IF(A722&lt;=Dashboard!$F$17,MAX(0,P722-Q722-MAX(0,S722-R722)),0)</x:f>
      </x:c>
      <x:c r="U722" s="32" t="e">
        <x:f>IF(A722=1,R722,U721+R722)</x:f>
      </x:c>
      <x:c r="V722" s="32"/>
      <x:c r="W722" s="32" t="e">
        <x:f>IF(A722=1,Dashboard!$F$14,AA721)</x:f>
      </x:c>
      <x:c r="X722" s="32" t="e">
        <x:f>IF(AND(A722&lt;=Dashboard!$F$17,MOD(A722-1,12)=0),MIN(W722,$B$7),0)</x:f>
      </x:c>
      <x:c r="Y722" s="32" t="e">
        <x:f>IF(A722&lt;=Dashboard!$F$17,MAX(0,W722-X722)*Dashboard!$F$6,0)</x:f>
      </x:c>
      <x:c r="Z722" s="32" t="e">
        <x:f>IF(A722&lt;=Dashboard!$F$17,MIN(Dashboard!$F$10,MAX(0,W722-X722)+Y722),0)</x:f>
      </x:c>
      <x:c r="AA722" s="32" t="e">
        <x:f>IF(A722&lt;=Dashboard!$F$17,MAX(0,W722-X722-MAX(0,Z722-Y722)),0)</x:f>
      </x:c>
      <x:c r="AB722" s="32" t="e">
        <x:f>IF(A722=1,Y722,AB721+Y722)</x:f>
      </x:c>
      <x:c r="AC722" s="32"/>
      <x:c r="AD722" s="32" t="e">
        <x:f>IF(A722=1,MAX(0,Dashboard!$F$14-$B$8),AG721)</x:f>
      </x:c>
      <x:c r="AE722" s="32" t="n">
        <x:f>0</x:f>
        <x:v>0</x:v>
      </x:c>
      <x:c r="AF722" s="32" t="e">
        <x:f>IF(A722&lt;=Dashboard!$F$17,AD722*Dashboard!$F$6,0)</x:f>
      </x:c>
      <x:c r="AG722" s="32" t="e">
        <x:f>IF(A722&lt;=Dashboard!$F$17,MIN(Dashboard!$F$10,AD722+AF722),0)</x:f>
      </x:c>
      <x:c r="AH722" s="32" t="e">
        <x:f>IF(A722&lt;=Dashboard!$F$17,MAX(0,AD722-MAX(0,AG722-AF722)),0)</x:f>
      </x:c>
      <x:c r="AI722" s="32" t="e">
        <x:f>IF(A722=1,AF722,AI721+AF722)</x:f>
      </x:c>
      <x:c r="AJ722" s="33"/>
      <x:c r="AK722" s="33"/>
      <x:c r="AL722" s="33"/>
      <x:c r="AM722" s="33"/>
    </x:row>
    <x:row r="723">
      <x:c r="A723" s="33" t="n">
        <x:v>711</x:v>
      </x:c>
      <x:c r="B723" s="32" t="e">
        <x:f>IF(A723=1,Dashboard!$F$14,F722)</x:f>
      </x:c>
      <x:c r="C723" s="32" t="n">
        <x:f>0</x:f>
        <x:v>0</x:v>
      </x:c>
      <x:c r="D723" s="32" t="e">
        <x:f>IF(A723&lt;=Dashboard!$F$15,B723*Dashboard!$F$6,0)</x:f>
      </x:c>
      <x:c r="E723" s="32" t="e">
        <x:f>IF(A723&lt;=Dashboard!$F$15,MIN(Dashboard!$F$10,B723+D723),0)</x:f>
      </x:c>
      <x:c r="F723" s="32" t="e">
        <x:f>IF(A723&lt;=Dashboard!$F$15,MAX(0,B723-MAX(0,E723-D723)),0)</x:f>
      </x:c>
      <x:c r="G723" s="32" t="e">
        <x:f>IF(A723=1,D723,G722+D723)</x:f>
      </x:c>
      <x:c r="H723" s="32"/>
      <x:c r="I723" s="32" t="e">
        <x:f>IF(A723=1,Dashboard!$F$14,M722)</x:f>
      </x:c>
      <x:c r="J723" s="32" t="e">
        <x:f>IF(A723&lt;=Dashboard!$F$17,MIN(I723,$B$5),0)</x:f>
      </x:c>
      <x:c r="K723" s="32" t="e">
        <x:f>IF(A723&lt;=Dashboard!$F$17,MAX(0,I723-J723)*Dashboard!$F$6,0)</x:f>
      </x:c>
      <x:c r="L723" s="32" t="e">
        <x:f>IF(A723&lt;=Dashboard!$F$17,MIN(Dashboard!$F$10,MAX(0,I723-J723)+K723),0)</x:f>
      </x:c>
      <x:c r="M723" s="32" t="e">
        <x:f>IF(A723&lt;=Dashboard!$F$17,MAX(0,I723-J723-MAX(0,L723-K723)),0)</x:f>
      </x:c>
      <x:c r="N723" s="32" t="e">
        <x:f>IF(A723=1,K723,N722+K723)</x:f>
      </x:c>
      <x:c r="O723" s="32"/>
      <x:c r="P723" s="32" t="e">
        <x:f>IF(A723=1,Dashboard!$F$14,T722)</x:f>
      </x:c>
      <x:c r="Q723" s="32" t="e">
        <x:f>IF(A723&lt;=Dashboard!$F$17,MIN(P723,$B$6*52/12),0)</x:f>
      </x:c>
      <x:c r="R723" s="32" t="e">
        <x:f>IF(A723&lt;=Dashboard!$F$17,MAX(0,P723-Q723)*Dashboard!$F$6,0)</x:f>
      </x:c>
      <x:c r="S723" s="32" t="e">
        <x:f>IF(A723&lt;=Dashboard!$F$17,MIN(Dashboard!$F$10,MAX(0,P723-Q723)+R723),0)</x:f>
      </x:c>
      <x:c r="T723" s="32" t="e">
        <x:f>IF(A723&lt;=Dashboard!$F$17,MAX(0,P723-Q723-MAX(0,S723-R723)),0)</x:f>
      </x:c>
      <x:c r="U723" s="32" t="e">
        <x:f>IF(A723=1,R723,U722+R723)</x:f>
      </x:c>
      <x:c r="V723" s="32"/>
      <x:c r="W723" s="32" t="e">
        <x:f>IF(A723=1,Dashboard!$F$14,AA722)</x:f>
      </x:c>
      <x:c r="X723" s="32" t="e">
        <x:f>IF(AND(A723&lt;=Dashboard!$F$17,MOD(A723-1,12)=0),MIN(W723,$B$7),0)</x:f>
      </x:c>
      <x:c r="Y723" s="32" t="e">
        <x:f>IF(A723&lt;=Dashboard!$F$17,MAX(0,W723-X723)*Dashboard!$F$6,0)</x:f>
      </x:c>
      <x:c r="Z723" s="32" t="e">
        <x:f>IF(A723&lt;=Dashboard!$F$17,MIN(Dashboard!$F$10,MAX(0,W723-X723)+Y723),0)</x:f>
      </x:c>
      <x:c r="AA723" s="32" t="e">
        <x:f>IF(A723&lt;=Dashboard!$F$17,MAX(0,W723-X723-MAX(0,Z723-Y723)),0)</x:f>
      </x:c>
      <x:c r="AB723" s="32" t="e">
        <x:f>IF(A723=1,Y723,AB722+Y723)</x:f>
      </x:c>
      <x:c r="AC723" s="32"/>
      <x:c r="AD723" s="32" t="e">
        <x:f>IF(A723=1,MAX(0,Dashboard!$F$14-$B$8),AG722)</x:f>
      </x:c>
      <x:c r="AE723" s="32" t="n">
        <x:f>0</x:f>
        <x:v>0</x:v>
      </x:c>
      <x:c r="AF723" s="32" t="e">
        <x:f>IF(A723&lt;=Dashboard!$F$17,AD723*Dashboard!$F$6,0)</x:f>
      </x:c>
      <x:c r="AG723" s="32" t="e">
        <x:f>IF(A723&lt;=Dashboard!$F$17,MIN(Dashboard!$F$10,AD723+AF723),0)</x:f>
      </x:c>
      <x:c r="AH723" s="32" t="e">
        <x:f>IF(A723&lt;=Dashboard!$F$17,MAX(0,AD723-MAX(0,AG723-AF723)),0)</x:f>
      </x:c>
      <x:c r="AI723" s="32" t="e">
        <x:f>IF(A723=1,AF723,AI722+AF723)</x:f>
      </x:c>
      <x:c r="AJ723" s="33"/>
      <x:c r="AK723" s="33"/>
      <x:c r="AL723" s="33"/>
      <x:c r="AM723" s="33"/>
    </x:row>
    <x:row r="724">
      <x:c r="A724" s="33" t="n">
        <x:v>712</x:v>
      </x:c>
      <x:c r="B724" s="32" t="e">
        <x:f>IF(A724=1,Dashboard!$F$14,F723)</x:f>
      </x:c>
      <x:c r="C724" s="32" t="n">
        <x:f>0</x:f>
        <x:v>0</x:v>
      </x:c>
      <x:c r="D724" s="32" t="e">
        <x:f>IF(A724&lt;=Dashboard!$F$15,B724*Dashboard!$F$6,0)</x:f>
      </x:c>
      <x:c r="E724" s="32" t="e">
        <x:f>IF(A724&lt;=Dashboard!$F$15,MIN(Dashboard!$F$10,B724+D724),0)</x:f>
      </x:c>
      <x:c r="F724" s="32" t="e">
        <x:f>IF(A724&lt;=Dashboard!$F$15,MAX(0,B724-MAX(0,E724-D724)),0)</x:f>
      </x:c>
      <x:c r="G724" s="32" t="e">
        <x:f>IF(A724=1,D724,G723+D724)</x:f>
      </x:c>
      <x:c r="H724" s="32"/>
      <x:c r="I724" s="32" t="e">
        <x:f>IF(A724=1,Dashboard!$F$14,M723)</x:f>
      </x:c>
      <x:c r="J724" s="32" t="e">
        <x:f>IF(A724&lt;=Dashboard!$F$17,MIN(I724,$B$5),0)</x:f>
      </x:c>
      <x:c r="K724" s="32" t="e">
        <x:f>IF(A724&lt;=Dashboard!$F$17,MAX(0,I724-J724)*Dashboard!$F$6,0)</x:f>
      </x:c>
      <x:c r="L724" s="32" t="e">
        <x:f>IF(A724&lt;=Dashboard!$F$17,MIN(Dashboard!$F$10,MAX(0,I724-J724)+K724),0)</x:f>
      </x:c>
      <x:c r="M724" s="32" t="e">
        <x:f>IF(A724&lt;=Dashboard!$F$17,MAX(0,I724-J724-MAX(0,L724-K724)),0)</x:f>
      </x:c>
      <x:c r="N724" s="32" t="e">
        <x:f>IF(A724=1,K724,N723+K724)</x:f>
      </x:c>
      <x:c r="O724" s="32"/>
      <x:c r="P724" s="32" t="e">
        <x:f>IF(A724=1,Dashboard!$F$14,T723)</x:f>
      </x:c>
      <x:c r="Q724" s="32" t="e">
        <x:f>IF(A724&lt;=Dashboard!$F$17,MIN(P724,$B$6*52/12),0)</x:f>
      </x:c>
      <x:c r="R724" s="32" t="e">
        <x:f>IF(A724&lt;=Dashboard!$F$17,MAX(0,P724-Q724)*Dashboard!$F$6,0)</x:f>
      </x:c>
      <x:c r="S724" s="32" t="e">
        <x:f>IF(A724&lt;=Dashboard!$F$17,MIN(Dashboard!$F$10,MAX(0,P724-Q724)+R724),0)</x:f>
      </x:c>
      <x:c r="T724" s="32" t="e">
        <x:f>IF(A724&lt;=Dashboard!$F$17,MAX(0,P724-Q724-MAX(0,S724-R724)),0)</x:f>
      </x:c>
      <x:c r="U724" s="32" t="e">
        <x:f>IF(A724=1,R724,U723+R724)</x:f>
      </x:c>
      <x:c r="V724" s="32"/>
      <x:c r="W724" s="32" t="e">
        <x:f>IF(A724=1,Dashboard!$F$14,AA723)</x:f>
      </x:c>
      <x:c r="X724" s="32" t="e">
        <x:f>IF(AND(A724&lt;=Dashboard!$F$17,MOD(A724-1,12)=0),MIN(W724,$B$7),0)</x:f>
      </x:c>
      <x:c r="Y724" s="32" t="e">
        <x:f>IF(A724&lt;=Dashboard!$F$17,MAX(0,W724-X724)*Dashboard!$F$6,0)</x:f>
      </x:c>
      <x:c r="Z724" s="32" t="e">
        <x:f>IF(A724&lt;=Dashboard!$F$17,MIN(Dashboard!$F$10,MAX(0,W724-X724)+Y724),0)</x:f>
      </x:c>
      <x:c r="AA724" s="32" t="e">
        <x:f>IF(A724&lt;=Dashboard!$F$17,MAX(0,W724-X724-MAX(0,Z724-Y724)),0)</x:f>
      </x:c>
      <x:c r="AB724" s="32" t="e">
        <x:f>IF(A724=1,Y724,AB723+Y724)</x:f>
      </x:c>
      <x:c r="AC724" s="32"/>
      <x:c r="AD724" s="32" t="e">
        <x:f>IF(A724=1,MAX(0,Dashboard!$F$14-$B$8),AG723)</x:f>
      </x:c>
      <x:c r="AE724" s="32" t="n">
        <x:f>0</x:f>
        <x:v>0</x:v>
      </x:c>
      <x:c r="AF724" s="32" t="e">
        <x:f>IF(A724&lt;=Dashboard!$F$17,AD724*Dashboard!$F$6,0)</x:f>
      </x:c>
      <x:c r="AG724" s="32" t="e">
        <x:f>IF(A724&lt;=Dashboard!$F$17,MIN(Dashboard!$F$10,AD724+AF724),0)</x:f>
      </x:c>
      <x:c r="AH724" s="32" t="e">
        <x:f>IF(A724&lt;=Dashboard!$F$17,MAX(0,AD724-MAX(0,AG724-AF724)),0)</x:f>
      </x:c>
      <x:c r="AI724" s="32" t="e">
        <x:f>IF(A724=1,AF724,AI723+AF724)</x:f>
      </x:c>
      <x:c r="AJ724" s="33"/>
      <x:c r="AK724" s="33"/>
      <x:c r="AL724" s="33"/>
      <x:c r="AM724" s="33"/>
    </x:row>
    <x:row r="725">
      <x:c r="A725" s="33" t="n">
        <x:v>713</x:v>
      </x:c>
      <x:c r="B725" s="32" t="e">
        <x:f>IF(A725=1,Dashboard!$F$14,F724)</x:f>
      </x:c>
      <x:c r="C725" s="32" t="n">
        <x:f>0</x:f>
        <x:v>0</x:v>
      </x:c>
      <x:c r="D725" s="32" t="e">
        <x:f>IF(A725&lt;=Dashboard!$F$15,B725*Dashboard!$F$6,0)</x:f>
      </x:c>
      <x:c r="E725" s="32" t="e">
        <x:f>IF(A725&lt;=Dashboard!$F$15,MIN(Dashboard!$F$10,B725+D725),0)</x:f>
      </x:c>
      <x:c r="F725" s="32" t="e">
        <x:f>IF(A725&lt;=Dashboard!$F$15,MAX(0,B725-MAX(0,E725-D725)),0)</x:f>
      </x:c>
      <x:c r="G725" s="32" t="e">
        <x:f>IF(A725=1,D725,G724+D725)</x:f>
      </x:c>
      <x:c r="H725" s="32"/>
      <x:c r="I725" s="32" t="e">
        <x:f>IF(A725=1,Dashboard!$F$14,M724)</x:f>
      </x:c>
      <x:c r="J725" s="32" t="e">
        <x:f>IF(A725&lt;=Dashboard!$F$17,MIN(I725,$B$5),0)</x:f>
      </x:c>
      <x:c r="K725" s="32" t="e">
        <x:f>IF(A725&lt;=Dashboard!$F$17,MAX(0,I725-J725)*Dashboard!$F$6,0)</x:f>
      </x:c>
      <x:c r="L725" s="32" t="e">
        <x:f>IF(A725&lt;=Dashboard!$F$17,MIN(Dashboard!$F$10,MAX(0,I725-J725)+K725),0)</x:f>
      </x:c>
      <x:c r="M725" s="32" t="e">
        <x:f>IF(A725&lt;=Dashboard!$F$17,MAX(0,I725-J725-MAX(0,L725-K725)),0)</x:f>
      </x:c>
      <x:c r="N725" s="32" t="e">
        <x:f>IF(A725=1,K725,N724+K725)</x:f>
      </x:c>
      <x:c r="O725" s="32"/>
      <x:c r="P725" s="32" t="e">
        <x:f>IF(A725=1,Dashboard!$F$14,T724)</x:f>
      </x:c>
      <x:c r="Q725" s="32" t="e">
        <x:f>IF(A725&lt;=Dashboard!$F$17,MIN(P725,$B$6*52/12),0)</x:f>
      </x:c>
      <x:c r="R725" s="32" t="e">
        <x:f>IF(A725&lt;=Dashboard!$F$17,MAX(0,P725-Q725)*Dashboard!$F$6,0)</x:f>
      </x:c>
      <x:c r="S725" s="32" t="e">
        <x:f>IF(A725&lt;=Dashboard!$F$17,MIN(Dashboard!$F$10,MAX(0,P725-Q725)+R725),0)</x:f>
      </x:c>
      <x:c r="T725" s="32" t="e">
        <x:f>IF(A725&lt;=Dashboard!$F$17,MAX(0,P725-Q725-MAX(0,S725-R725)),0)</x:f>
      </x:c>
      <x:c r="U725" s="32" t="e">
        <x:f>IF(A725=1,R725,U724+R725)</x:f>
      </x:c>
      <x:c r="V725" s="32"/>
      <x:c r="W725" s="32" t="e">
        <x:f>IF(A725=1,Dashboard!$F$14,AA724)</x:f>
      </x:c>
      <x:c r="X725" s="32" t="e">
        <x:f>IF(AND(A725&lt;=Dashboard!$F$17,MOD(A725-1,12)=0),MIN(W725,$B$7),0)</x:f>
      </x:c>
      <x:c r="Y725" s="32" t="e">
        <x:f>IF(A725&lt;=Dashboard!$F$17,MAX(0,W725-X725)*Dashboard!$F$6,0)</x:f>
      </x:c>
      <x:c r="Z725" s="32" t="e">
        <x:f>IF(A725&lt;=Dashboard!$F$17,MIN(Dashboard!$F$10,MAX(0,W725-X725)+Y725),0)</x:f>
      </x:c>
      <x:c r="AA725" s="32" t="e">
        <x:f>IF(A725&lt;=Dashboard!$F$17,MAX(0,W725-X725-MAX(0,Z725-Y725)),0)</x:f>
      </x:c>
      <x:c r="AB725" s="32" t="e">
        <x:f>IF(A725=1,Y725,AB724+Y725)</x:f>
      </x:c>
      <x:c r="AC725" s="32"/>
      <x:c r="AD725" s="32" t="e">
        <x:f>IF(A725=1,MAX(0,Dashboard!$F$14-$B$8),AG724)</x:f>
      </x:c>
      <x:c r="AE725" s="32" t="n">
        <x:f>0</x:f>
        <x:v>0</x:v>
      </x:c>
      <x:c r="AF725" s="32" t="e">
        <x:f>IF(A725&lt;=Dashboard!$F$17,AD725*Dashboard!$F$6,0)</x:f>
      </x:c>
      <x:c r="AG725" s="32" t="e">
        <x:f>IF(A725&lt;=Dashboard!$F$17,MIN(Dashboard!$F$10,AD725+AF725),0)</x:f>
      </x:c>
      <x:c r="AH725" s="32" t="e">
        <x:f>IF(A725&lt;=Dashboard!$F$17,MAX(0,AD725-MAX(0,AG725-AF725)),0)</x:f>
      </x:c>
      <x:c r="AI725" s="32" t="e">
        <x:f>IF(A725=1,AF725,AI724+AF725)</x:f>
      </x:c>
      <x:c r="AJ725" s="33"/>
      <x:c r="AK725" s="33"/>
      <x:c r="AL725" s="33"/>
      <x:c r="AM725" s="33"/>
    </x:row>
    <x:row r="726">
      <x:c r="A726" s="33" t="n">
        <x:v>714</x:v>
      </x:c>
      <x:c r="B726" s="32" t="e">
        <x:f>IF(A726=1,Dashboard!$F$14,F725)</x:f>
      </x:c>
      <x:c r="C726" s="32" t="n">
        <x:f>0</x:f>
        <x:v>0</x:v>
      </x:c>
      <x:c r="D726" s="32" t="e">
        <x:f>IF(A726&lt;=Dashboard!$F$15,B726*Dashboard!$F$6,0)</x:f>
      </x:c>
      <x:c r="E726" s="32" t="e">
        <x:f>IF(A726&lt;=Dashboard!$F$15,MIN(Dashboard!$F$10,B726+D726),0)</x:f>
      </x:c>
      <x:c r="F726" s="32" t="e">
        <x:f>IF(A726&lt;=Dashboard!$F$15,MAX(0,B726-MAX(0,E726-D726)),0)</x:f>
      </x:c>
      <x:c r="G726" s="32" t="e">
        <x:f>IF(A726=1,D726,G725+D726)</x:f>
      </x:c>
      <x:c r="H726" s="32"/>
      <x:c r="I726" s="32" t="e">
        <x:f>IF(A726=1,Dashboard!$F$14,M725)</x:f>
      </x:c>
      <x:c r="J726" s="32" t="e">
        <x:f>IF(A726&lt;=Dashboard!$F$17,MIN(I726,$B$5),0)</x:f>
      </x:c>
      <x:c r="K726" s="32" t="e">
        <x:f>IF(A726&lt;=Dashboard!$F$17,MAX(0,I726-J726)*Dashboard!$F$6,0)</x:f>
      </x:c>
      <x:c r="L726" s="32" t="e">
        <x:f>IF(A726&lt;=Dashboard!$F$17,MIN(Dashboard!$F$10,MAX(0,I726-J726)+K726),0)</x:f>
      </x:c>
      <x:c r="M726" s="32" t="e">
        <x:f>IF(A726&lt;=Dashboard!$F$17,MAX(0,I726-J726-MAX(0,L726-K726)),0)</x:f>
      </x:c>
      <x:c r="N726" s="32" t="e">
        <x:f>IF(A726=1,K726,N725+K726)</x:f>
      </x:c>
      <x:c r="O726" s="32"/>
      <x:c r="P726" s="32" t="e">
        <x:f>IF(A726=1,Dashboard!$F$14,T725)</x:f>
      </x:c>
      <x:c r="Q726" s="32" t="e">
        <x:f>IF(A726&lt;=Dashboard!$F$17,MIN(P726,$B$6*52/12),0)</x:f>
      </x:c>
      <x:c r="R726" s="32" t="e">
        <x:f>IF(A726&lt;=Dashboard!$F$17,MAX(0,P726-Q726)*Dashboard!$F$6,0)</x:f>
      </x:c>
      <x:c r="S726" s="32" t="e">
        <x:f>IF(A726&lt;=Dashboard!$F$17,MIN(Dashboard!$F$10,MAX(0,P726-Q726)+R726),0)</x:f>
      </x:c>
      <x:c r="T726" s="32" t="e">
        <x:f>IF(A726&lt;=Dashboard!$F$17,MAX(0,P726-Q726-MAX(0,S726-R726)),0)</x:f>
      </x:c>
      <x:c r="U726" s="32" t="e">
        <x:f>IF(A726=1,R726,U725+R726)</x:f>
      </x:c>
      <x:c r="V726" s="32"/>
      <x:c r="W726" s="32" t="e">
        <x:f>IF(A726=1,Dashboard!$F$14,AA725)</x:f>
      </x:c>
      <x:c r="X726" s="32" t="e">
        <x:f>IF(AND(A726&lt;=Dashboard!$F$17,MOD(A726-1,12)=0),MIN(W726,$B$7),0)</x:f>
      </x:c>
      <x:c r="Y726" s="32" t="e">
        <x:f>IF(A726&lt;=Dashboard!$F$17,MAX(0,W726-X726)*Dashboard!$F$6,0)</x:f>
      </x:c>
      <x:c r="Z726" s="32" t="e">
        <x:f>IF(A726&lt;=Dashboard!$F$17,MIN(Dashboard!$F$10,MAX(0,W726-X726)+Y726),0)</x:f>
      </x:c>
      <x:c r="AA726" s="32" t="e">
        <x:f>IF(A726&lt;=Dashboard!$F$17,MAX(0,W726-X726-MAX(0,Z726-Y726)),0)</x:f>
      </x:c>
      <x:c r="AB726" s="32" t="e">
        <x:f>IF(A726=1,Y726,AB725+Y726)</x:f>
      </x:c>
      <x:c r="AC726" s="32"/>
      <x:c r="AD726" s="32" t="e">
        <x:f>IF(A726=1,MAX(0,Dashboard!$F$14-$B$8),AG725)</x:f>
      </x:c>
      <x:c r="AE726" s="32" t="n">
        <x:f>0</x:f>
        <x:v>0</x:v>
      </x:c>
      <x:c r="AF726" s="32" t="e">
        <x:f>IF(A726&lt;=Dashboard!$F$17,AD726*Dashboard!$F$6,0)</x:f>
      </x:c>
      <x:c r="AG726" s="32" t="e">
        <x:f>IF(A726&lt;=Dashboard!$F$17,MIN(Dashboard!$F$10,AD726+AF726),0)</x:f>
      </x:c>
      <x:c r="AH726" s="32" t="e">
        <x:f>IF(A726&lt;=Dashboard!$F$17,MAX(0,AD726-MAX(0,AG726-AF726)),0)</x:f>
      </x:c>
      <x:c r="AI726" s="32" t="e">
        <x:f>IF(A726=1,AF726,AI725+AF726)</x:f>
      </x:c>
      <x:c r="AJ726" s="33"/>
      <x:c r="AK726" s="33"/>
      <x:c r="AL726" s="33"/>
      <x:c r="AM726" s="33"/>
    </x:row>
    <x:row r="727">
      <x:c r="A727" s="33" t="n">
        <x:v>715</x:v>
      </x:c>
      <x:c r="B727" s="32" t="e">
        <x:f>IF(A727=1,Dashboard!$F$14,F726)</x:f>
      </x:c>
      <x:c r="C727" s="32" t="n">
        <x:f>0</x:f>
        <x:v>0</x:v>
      </x:c>
      <x:c r="D727" s="32" t="e">
        <x:f>IF(A727&lt;=Dashboard!$F$15,B727*Dashboard!$F$6,0)</x:f>
      </x:c>
      <x:c r="E727" s="32" t="e">
        <x:f>IF(A727&lt;=Dashboard!$F$15,MIN(Dashboard!$F$10,B727+D727),0)</x:f>
      </x:c>
      <x:c r="F727" s="32" t="e">
        <x:f>IF(A727&lt;=Dashboard!$F$15,MAX(0,B727-MAX(0,E727-D727)),0)</x:f>
      </x:c>
      <x:c r="G727" s="32" t="e">
        <x:f>IF(A727=1,D727,G726+D727)</x:f>
      </x:c>
      <x:c r="H727" s="32"/>
      <x:c r="I727" s="32" t="e">
        <x:f>IF(A727=1,Dashboard!$F$14,M726)</x:f>
      </x:c>
      <x:c r="J727" s="32" t="e">
        <x:f>IF(A727&lt;=Dashboard!$F$17,MIN(I727,$B$5),0)</x:f>
      </x:c>
      <x:c r="K727" s="32" t="e">
        <x:f>IF(A727&lt;=Dashboard!$F$17,MAX(0,I727-J727)*Dashboard!$F$6,0)</x:f>
      </x:c>
      <x:c r="L727" s="32" t="e">
        <x:f>IF(A727&lt;=Dashboard!$F$17,MIN(Dashboard!$F$10,MAX(0,I727-J727)+K727),0)</x:f>
      </x:c>
      <x:c r="M727" s="32" t="e">
        <x:f>IF(A727&lt;=Dashboard!$F$17,MAX(0,I727-J727-MAX(0,L727-K727)),0)</x:f>
      </x:c>
      <x:c r="N727" s="32" t="e">
        <x:f>IF(A727=1,K727,N726+K727)</x:f>
      </x:c>
      <x:c r="O727" s="32"/>
      <x:c r="P727" s="32" t="e">
        <x:f>IF(A727=1,Dashboard!$F$14,T726)</x:f>
      </x:c>
      <x:c r="Q727" s="32" t="e">
        <x:f>IF(A727&lt;=Dashboard!$F$17,MIN(P727,$B$6*52/12),0)</x:f>
      </x:c>
      <x:c r="R727" s="32" t="e">
        <x:f>IF(A727&lt;=Dashboard!$F$17,MAX(0,P727-Q727)*Dashboard!$F$6,0)</x:f>
      </x:c>
      <x:c r="S727" s="32" t="e">
        <x:f>IF(A727&lt;=Dashboard!$F$17,MIN(Dashboard!$F$10,MAX(0,P727-Q727)+R727),0)</x:f>
      </x:c>
      <x:c r="T727" s="32" t="e">
        <x:f>IF(A727&lt;=Dashboard!$F$17,MAX(0,P727-Q727-MAX(0,S727-R727)),0)</x:f>
      </x:c>
      <x:c r="U727" s="32" t="e">
        <x:f>IF(A727=1,R727,U726+R727)</x:f>
      </x:c>
      <x:c r="V727" s="32"/>
      <x:c r="W727" s="32" t="e">
        <x:f>IF(A727=1,Dashboard!$F$14,AA726)</x:f>
      </x:c>
      <x:c r="X727" s="32" t="e">
        <x:f>IF(AND(A727&lt;=Dashboard!$F$17,MOD(A727-1,12)=0),MIN(W727,$B$7),0)</x:f>
      </x:c>
      <x:c r="Y727" s="32" t="e">
        <x:f>IF(A727&lt;=Dashboard!$F$17,MAX(0,W727-X727)*Dashboard!$F$6,0)</x:f>
      </x:c>
      <x:c r="Z727" s="32" t="e">
        <x:f>IF(A727&lt;=Dashboard!$F$17,MIN(Dashboard!$F$10,MAX(0,W727-X727)+Y727),0)</x:f>
      </x:c>
      <x:c r="AA727" s="32" t="e">
        <x:f>IF(A727&lt;=Dashboard!$F$17,MAX(0,W727-X727-MAX(0,Z727-Y727)),0)</x:f>
      </x:c>
      <x:c r="AB727" s="32" t="e">
        <x:f>IF(A727=1,Y727,AB726+Y727)</x:f>
      </x:c>
      <x:c r="AC727" s="32"/>
      <x:c r="AD727" s="32" t="e">
        <x:f>IF(A727=1,MAX(0,Dashboard!$F$14-$B$8),AG726)</x:f>
      </x:c>
      <x:c r="AE727" s="32" t="n">
        <x:f>0</x:f>
        <x:v>0</x:v>
      </x:c>
      <x:c r="AF727" s="32" t="e">
        <x:f>IF(A727&lt;=Dashboard!$F$17,AD727*Dashboard!$F$6,0)</x:f>
      </x:c>
      <x:c r="AG727" s="32" t="e">
        <x:f>IF(A727&lt;=Dashboard!$F$17,MIN(Dashboard!$F$10,AD727+AF727),0)</x:f>
      </x:c>
      <x:c r="AH727" s="32" t="e">
        <x:f>IF(A727&lt;=Dashboard!$F$17,MAX(0,AD727-MAX(0,AG727-AF727)),0)</x:f>
      </x:c>
      <x:c r="AI727" s="32" t="e">
        <x:f>IF(A727=1,AF727,AI726+AF727)</x:f>
      </x:c>
      <x:c r="AJ727" s="33"/>
      <x:c r="AK727" s="33"/>
      <x:c r="AL727" s="33"/>
      <x:c r="AM727" s="33"/>
    </x:row>
    <x:row r="728">
      <x:c r="A728" s="33" t="n">
        <x:v>716</x:v>
      </x:c>
      <x:c r="B728" s="32" t="e">
        <x:f>IF(A728=1,Dashboard!$F$14,F727)</x:f>
      </x:c>
      <x:c r="C728" s="32" t="n">
        <x:f>0</x:f>
        <x:v>0</x:v>
      </x:c>
      <x:c r="D728" s="32" t="e">
        <x:f>IF(A728&lt;=Dashboard!$F$15,B728*Dashboard!$F$6,0)</x:f>
      </x:c>
      <x:c r="E728" s="32" t="e">
        <x:f>IF(A728&lt;=Dashboard!$F$15,MIN(Dashboard!$F$10,B728+D728),0)</x:f>
      </x:c>
      <x:c r="F728" s="32" t="e">
        <x:f>IF(A728&lt;=Dashboard!$F$15,MAX(0,B728-MAX(0,E728-D728)),0)</x:f>
      </x:c>
      <x:c r="G728" s="32" t="e">
        <x:f>IF(A728=1,D728,G727+D728)</x:f>
      </x:c>
      <x:c r="H728" s="32"/>
      <x:c r="I728" s="32" t="e">
        <x:f>IF(A728=1,Dashboard!$F$14,M727)</x:f>
      </x:c>
      <x:c r="J728" s="32" t="e">
        <x:f>IF(A728&lt;=Dashboard!$F$17,MIN(I728,$B$5),0)</x:f>
      </x:c>
      <x:c r="K728" s="32" t="e">
        <x:f>IF(A728&lt;=Dashboard!$F$17,MAX(0,I728-J728)*Dashboard!$F$6,0)</x:f>
      </x:c>
      <x:c r="L728" s="32" t="e">
        <x:f>IF(A728&lt;=Dashboard!$F$17,MIN(Dashboard!$F$10,MAX(0,I728-J728)+K728),0)</x:f>
      </x:c>
      <x:c r="M728" s="32" t="e">
        <x:f>IF(A728&lt;=Dashboard!$F$17,MAX(0,I728-J728-MAX(0,L728-K728)),0)</x:f>
      </x:c>
      <x:c r="N728" s="32" t="e">
        <x:f>IF(A728=1,K728,N727+K728)</x:f>
      </x:c>
      <x:c r="O728" s="32"/>
      <x:c r="P728" s="32" t="e">
        <x:f>IF(A728=1,Dashboard!$F$14,T727)</x:f>
      </x:c>
      <x:c r="Q728" s="32" t="e">
        <x:f>IF(A728&lt;=Dashboard!$F$17,MIN(P728,$B$6*52/12),0)</x:f>
      </x:c>
      <x:c r="R728" s="32" t="e">
        <x:f>IF(A728&lt;=Dashboard!$F$17,MAX(0,P728-Q728)*Dashboard!$F$6,0)</x:f>
      </x:c>
      <x:c r="S728" s="32" t="e">
        <x:f>IF(A728&lt;=Dashboard!$F$17,MIN(Dashboard!$F$10,MAX(0,P728-Q728)+R728),0)</x:f>
      </x:c>
      <x:c r="T728" s="32" t="e">
        <x:f>IF(A728&lt;=Dashboard!$F$17,MAX(0,P728-Q728-MAX(0,S728-R728)),0)</x:f>
      </x:c>
      <x:c r="U728" s="32" t="e">
        <x:f>IF(A728=1,R728,U727+R728)</x:f>
      </x:c>
      <x:c r="V728" s="32"/>
      <x:c r="W728" s="32" t="e">
        <x:f>IF(A728=1,Dashboard!$F$14,AA727)</x:f>
      </x:c>
      <x:c r="X728" s="32" t="e">
        <x:f>IF(AND(A728&lt;=Dashboard!$F$17,MOD(A728-1,12)=0),MIN(W728,$B$7),0)</x:f>
      </x:c>
      <x:c r="Y728" s="32" t="e">
        <x:f>IF(A728&lt;=Dashboard!$F$17,MAX(0,W728-X728)*Dashboard!$F$6,0)</x:f>
      </x:c>
      <x:c r="Z728" s="32" t="e">
        <x:f>IF(A728&lt;=Dashboard!$F$17,MIN(Dashboard!$F$10,MAX(0,W728-X728)+Y728),0)</x:f>
      </x:c>
      <x:c r="AA728" s="32" t="e">
        <x:f>IF(A728&lt;=Dashboard!$F$17,MAX(0,W728-X728-MAX(0,Z728-Y728)),0)</x:f>
      </x:c>
      <x:c r="AB728" s="32" t="e">
        <x:f>IF(A728=1,Y728,AB727+Y728)</x:f>
      </x:c>
      <x:c r="AC728" s="32"/>
      <x:c r="AD728" s="32" t="e">
        <x:f>IF(A728=1,MAX(0,Dashboard!$F$14-$B$8),AG727)</x:f>
      </x:c>
      <x:c r="AE728" s="32" t="n">
        <x:f>0</x:f>
        <x:v>0</x:v>
      </x:c>
      <x:c r="AF728" s="32" t="e">
        <x:f>IF(A728&lt;=Dashboard!$F$17,AD728*Dashboard!$F$6,0)</x:f>
      </x:c>
      <x:c r="AG728" s="32" t="e">
        <x:f>IF(A728&lt;=Dashboard!$F$17,MIN(Dashboard!$F$10,AD728+AF728),0)</x:f>
      </x:c>
      <x:c r="AH728" s="32" t="e">
        <x:f>IF(A728&lt;=Dashboard!$F$17,MAX(0,AD728-MAX(0,AG728-AF728)),0)</x:f>
      </x:c>
      <x:c r="AI728" s="32" t="e">
        <x:f>IF(A728=1,AF728,AI727+AF728)</x:f>
      </x:c>
      <x:c r="AJ728" s="33"/>
      <x:c r="AK728" s="33"/>
      <x:c r="AL728" s="33"/>
      <x:c r="AM728" s="33"/>
    </x:row>
    <x:row r="729">
      <x:c r="A729" s="33" t="n">
        <x:v>717</x:v>
      </x:c>
      <x:c r="B729" s="32" t="e">
        <x:f>IF(A729=1,Dashboard!$F$14,F728)</x:f>
      </x:c>
      <x:c r="C729" s="32" t="n">
        <x:f>0</x:f>
        <x:v>0</x:v>
      </x:c>
      <x:c r="D729" s="32" t="e">
        <x:f>IF(A729&lt;=Dashboard!$F$15,B729*Dashboard!$F$6,0)</x:f>
      </x:c>
      <x:c r="E729" s="32" t="e">
        <x:f>IF(A729&lt;=Dashboard!$F$15,MIN(Dashboard!$F$10,B729+D729),0)</x:f>
      </x:c>
      <x:c r="F729" s="32" t="e">
        <x:f>IF(A729&lt;=Dashboard!$F$15,MAX(0,B729-MAX(0,E729-D729)),0)</x:f>
      </x:c>
      <x:c r="G729" s="32" t="e">
        <x:f>IF(A729=1,D729,G728+D729)</x:f>
      </x:c>
      <x:c r="H729" s="32"/>
      <x:c r="I729" s="32" t="e">
        <x:f>IF(A729=1,Dashboard!$F$14,M728)</x:f>
      </x:c>
      <x:c r="J729" s="32" t="e">
        <x:f>IF(A729&lt;=Dashboard!$F$17,MIN(I729,$B$5),0)</x:f>
      </x:c>
      <x:c r="K729" s="32" t="e">
        <x:f>IF(A729&lt;=Dashboard!$F$17,MAX(0,I729-J729)*Dashboard!$F$6,0)</x:f>
      </x:c>
      <x:c r="L729" s="32" t="e">
        <x:f>IF(A729&lt;=Dashboard!$F$17,MIN(Dashboard!$F$10,MAX(0,I729-J729)+K729),0)</x:f>
      </x:c>
      <x:c r="M729" s="32" t="e">
        <x:f>IF(A729&lt;=Dashboard!$F$17,MAX(0,I729-J729-MAX(0,L729-K729)),0)</x:f>
      </x:c>
      <x:c r="N729" s="32" t="e">
        <x:f>IF(A729=1,K729,N728+K729)</x:f>
      </x:c>
      <x:c r="O729" s="32"/>
      <x:c r="P729" s="32" t="e">
        <x:f>IF(A729=1,Dashboard!$F$14,T728)</x:f>
      </x:c>
      <x:c r="Q729" s="32" t="e">
        <x:f>IF(A729&lt;=Dashboard!$F$17,MIN(P729,$B$6*52/12),0)</x:f>
      </x:c>
      <x:c r="R729" s="32" t="e">
        <x:f>IF(A729&lt;=Dashboard!$F$17,MAX(0,P729-Q729)*Dashboard!$F$6,0)</x:f>
      </x:c>
      <x:c r="S729" s="32" t="e">
        <x:f>IF(A729&lt;=Dashboard!$F$17,MIN(Dashboard!$F$10,MAX(0,P729-Q729)+R729),0)</x:f>
      </x:c>
      <x:c r="T729" s="32" t="e">
        <x:f>IF(A729&lt;=Dashboard!$F$17,MAX(0,P729-Q729-MAX(0,S729-R729)),0)</x:f>
      </x:c>
      <x:c r="U729" s="32" t="e">
        <x:f>IF(A729=1,R729,U728+R729)</x:f>
      </x:c>
      <x:c r="V729" s="32"/>
      <x:c r="W729" s="32" t="e">
        <x:f>IF(A729=1,Dashboard!$F$14,AA728)</x:f>
      </x:c>
      <x:c r="X729" s="32" t="e">
        <x:f>IF(AND(A729&lt;=Dashboard!$F$17,MOD(A729-1,12)=0),MIN(W729,$B$7),0)</x:f>
      </x:c>
      <x:c r="Y729" s="32" t="e">
        <x:f>IF(A729&lt;=Dashboard!$F$17,MAX(0,W729-X729)*Dashboard!$F$6,0)</x:f>
      </x:c>
      <x:c r="Z729" s="32" t="e">
        <x:f>IF(A729&lt;=Dashboard!$F$17,MIN(Dashboard!$F$10,MAX(0,W729-X729)+Y729),0)</x:f>
      </x:c>
      <x:c r="AA729" s="32" t="e">
        <x:f>IF(A729&lt;=Dashboard!$F$17,MAX(0,W729-X729-MAX(0,Z729-Y729)),0)</x:f>
      </x:c>
      <x:c r="AB729" s="32" t="e">
        <x:f>IF(A729=1,Y729,AB728+Y729)</x:f>
      </x:c>
      <x:c r="AC729" s="32"/>
      <x:c r="AD729" s="32" t="e">
        <x:f>IF(A729=1,MAX(0,Dashboard!$F$14-$B$8),AG728)</x:f>
      </x:c>
      <x:c r="AE729" s="32" t="n">
        <x:f>0</x:f>
        <x:v>0</x:v>
      </x:c>
      <x:c r="AF729" s="32" t="e">
        <x:f>IF(A729&lt;=Dashboard!$F$17,AD729*Dashboard!$F$6,0)</x:f>
      </x:c>
      <x:c r="AG729" s="32" t="e">
        <x:f>IF(A729&lt;=Dashboard!$F$17,MIN(Dashboard!$F$10,AD729+AF729),0)</x:f>
      </x:c>
      <x:c r="AH729" s="32" t="e">
        <x:f>IF(A729&lt;=Dashboard!$F$17,MAX(0,AD729-MAX(0,AG729-AF729)),0)</x:f>
      </x:c>
      <x:c r="AI729" s="32" t="e">
        <x:f>IF(A729=1,AF729,AI728+AF729)</x:f>
      </x:c>
      <x:c r="AJ729" s="33"/>
      <x:c r="AK729" s="33"/>
      <x:c r="AL729" s="33"/>
      <x:c r="AM729" s="33"/>
    </x:row>
    <x:row r="730">
      <x:c r="A730" s="33" t="n">
        <x:v>718</x:v>
      </x:c>
      <x:c r="B730" s="32" t="e">
        <x:f>IF(A730=1,Dashboard!$F$14,F729)</x:f>
      </x:c>
      <x:c r="C730" s="32" t="n">
        <x:f>0</x:f>
        <x:v>0</x:v>
      </x:c>
      <x:c r="D730" s="32" t="e">
        <x:f>IF(A730&lt;=Dashboard!$F$15,B730*Dashboard!$F$6,0)</x:f>
      </x:c>
      <x:c r="E730" s="32" t="e">
        <x:f>IF(A730&lt;=Dashboard!$F$15,MIN(Dashboard!$F$10,B730+D730),0)</x:f>
      </x:c>
      <x:c r="F730" s="32" t="e">
        <x:f>IF(A730&lt;=Dashboard!$F$15,MAX(0,B730-MAX(0,E730-D730)),0)</x:f>
      </x:c>
      <x:c r="G730" s="32" t="e">
        <x:f>IF(A730=1,D730,G729+D730)</x:f>
      </x:c>
      <x:c r="H730" s="32"/>
      <x:c r="I730" s="32" t="e">
        <x:f>IF(A730=1,Dashboard!$F$14,M729)</x:f>
      </x:c>
      <x:c r="J730" s="32" t="e">
        <x:f>IF(A730&lt;=Dashboard!$F$17,MIN(I730,$B$5),0)</x:f>
      </x:c>
      <x:c r="K730" s="32" t="e">
        <x:f>IF(A730&lt;=Dashboard!$F$17,MAX(0,I730-J730)*Dashboard!$F$6,0)</x:f>
      </x:c>
      <x:c r="L730" s="32" t="e">
        <x:f>IF(A730&lt;=Dashboard!$F$17,MIN(Dashboard!$F$10,MAX(0,I730-J730)+K730),0)</x:f>
      </x:c>
      <x:c r="M730" s="32" t="e">
        <x:f>IF(A730&lt;=Dashboard!$F$17,MAX(0,I730-J730-MAX(0,L730-K730)),0)</x:f>
      </x:c>
      <x:c r="N730" s="32" t="e">
        <x:f>IF(A730=1,K730,N729+K730)</x:f>
      </x:c>
      <x:c r="O730" s="32"/>
      <x:c r="P730" s="32" t="e">
        <x:f>IF(A730=1,Dashboard!$F$14,T729)</x:f>
      </x:c>
      <x:c r="Q730" s="32" t="e">
        <x:f>IF(A730&lt;=Dashboard!$F$17,MIN(P730,$B$6*52/12),0)</x:f>
      </x:c>
      <x:c r="R730" s="32" t="e">
        <x:f>IF(A730&lt;=Dashboard!$F$17,MAX(0,P730-Q730)*Dashboard!$F$6,0)</x:f>
      </x:c>
      <x:c r="S730" s="32" t="e">
        <x:f>IF(A730&lt;=Dashboard!$F$17,MIN(Dashboard!$F$10,MAX(0,P730-Q730)+R730),0)</x:f>
      </x:c>
      <x:c r="T730" s="32" t="e">
        <x:f>IF(A730&lt;=Dashboard!$F$17,MAX(0,P730-Q730-MAX(0,S730-R730)),0)</x:f>
      </x:c>
      <x:c r="U730" s="32" t="e">
        <x:f>IF(A730=1,R730,U729+R730)</x:f>
      </x:c>
      <x:c r="V730" s="32"/>
      <x:c r="W730" s="32" t="e">
        <x:f>IF(A730=1,Dashboard!$F$14,AA729)</x:f>
      </x:c>
      <x:c r="X730" s="32" t="e">
        <x:f>IF(AND(A730&lt;=Dashboard!$F$17,MOD(A730-1,12)=0),MIN(W730,$B$7),0)</x:f>
      </x:c>
      <x:c r="Y730" s="32" t="e">
        <x:f>IF(A730&lt;=Dashboard!$F$17,MAX(0,W730-X730)*Dashboard!$F$6,0)</x:f>
      </x:c>
      <x:c r="Z730" s="32" t="e">
        <x:f>IF(A730&lt;=Dashboard!$F$17,MIN(Dashboard!$F$10,MAX(0,W730-X730)+Y730),0)</x:f>
      </x:c>
      <x:c r="AA730" s="32" t="e">
        <x:f>IF(A730&lt;=Dashboard!$F$17,MAX(0,W730-X730-MAX(0,Z730-Y730)),0)</x:f>
      </x:c>
      <x:c r="AB730" s="32" t="e">
        <x:f>IF(A730=1,Y730,AB729+Y730)</x:f>
      </x:c>
      <x:c r="AC730" s="32"/>
      <x:c r="AD730" s="32" t="e">
        <x:f>IF(A730=1,MAX(0,Dashboard!$F$14-$B$8),AG729)</x:f>
      </x:c>
      <x:c r="AE730" s="32" t="n">
        <x:f>0</x:f>
        <x:v>0</x:v>
      </x:c>
      <x:c r="AF730" s="32" t="e">
        <x:f>IF(A730&lt;=Dashboard!$F$17,AD730*Dashboard!$F$6,0)</x:f>
      </x:c>
      <x:c r="AG730" s="32" t="e">
        <x:f>IF(A730&lt;=Dashboard!$F$17,MIN(Dashboard!$F$10,AD730+AF730),0)</x:f>
      </x:c>
      <x:c r="AH730" s="32" t="e">
        <x:f>IF(A730&lt;=Dashboard!$F$17,MAX(0,AD730-MAX(0,AG730-AF730)),0)</x:f>
      </x:c>
      <x:c r="AI730" s="32" t="e">
        <x:f>IF(A730=1,AF730,AI729+AF730)</x:f>
      </x:c>
      <x:c r="AJ730" s="33"/>
      <x:c r="AK730" s="33"/>
      <x:c r="AL730" s="33"/>
      <x:c r="AM730" s="33"/>
    </x:row>
    <x:row r="731">
      <x:c r="A731" s="33" t="n">
        <x:v>719</x:v>
      </x:c>
      <x:c r="B731" s="32" t="e">
        <x:f>IF(A731=1,Dashboard!$F$14,F730)</x:f>
      </x:c>
      <x:c r="C731" s="32" t="n">
        <x:f>0</x:f>
        <x:v>0</x:v>
      </x:c>
      <x:c r="D731" s="32" t="e">
        <x:f>IF(A731&lt;=Dashboard!$F$15,B731*Dashboard!$F$6,0)</x:f>
      </x:c>
      <x:c r="E731" s="32" t="e">
        <x:f>IF(A731&lt;=Dashboard!$F$15,MIN(Dashboard!$F$10,B731+D731),0)</x:f>
      </x:c>
      <x:c r="F731" s="32" t="e">
        <x:f>IF(A731&lt;=Dashboard!$F$15,MAX(0,B731-MAX(0,E731-D731)),0)</x:f>
      </x:c>
      <x:c r="G731" s="32" t="e">
        <x:f>IF(A731=1,D731,G730+D731)</x:f>
      </x:c>
      <x:c r="H731" s="32"/>
      <x:c r="I731" s="32" t="e">
        <x:f>IF(A731=1,Dashboard!$F$14,M730)</x:f>
      </x:c>
      <x:c r="J731" s="32" t="e">
        <x:f>IF(A731&lt;=Dashboard!$F$17,MIN(I731,$B$5),0)</x:f>
      </x:c>
      <x:c r="K731" s="32" t="e">
        <x:f>IF(A731&lt;=Dashboard!$F$17,MAX(0,I731-J731)*Dashboard!$F$6,0)</x:f>
      </x:c>
      <x:c r="L731" s="32" t="e">
        <x:f>IF(A731&lt;=Dashboard!$F$17,MIN(Dashboard!$F$10,MAX(0,I731-J731)+K731),0)</x:f>
      </x:c>
      <x:c r="M731" s="32" t="e">
        <x:f>IF(A731&lt;=Dashboard!$F$17,MAX(0,I731-J731-MAX(0,L731-K731)),0)</x:f>
      </x:c>
      <x:c r="N731" s="32" t="e">
        <x:f>IF(A731=1,K731,N730+K731)</x:f>
      </x:c>
      <x:c r="O731" s="32"/>
      <x:c r="P731" s="32" t="e">
        <x:f>IF(A731=1,Dashboard!$F$14,T730)</x:f>
      </x:c>
      <x:c r="Q731" s="32" t="e">
        <x:f>IF(A731&lt;=Dashboard!$F$17,MIN(P731,$B$6*52/12),0)</x:f>
      </x:c>
      <x:c r="R731" s="32" t="e">
        <x:f>IF(A731&lt;=Dashboard!$F$17,MAX(0,P731-Q731)*Dashboard!$F$6,0)</x:f>
      </x:c>
      <x:c r="S731" s="32" t="e">
        <x:f>IF(A731&lt;=Dashboard!$F$17,MIN(Dashboard!$F$10,MAX(0,P731-Q731)+R731),0)</x:f>
      </x:c>
      <x:c r="T731" s="32" t="e">
        <x:f>IF(A731&lt;=Dashboard!$F$17,MAX(0,P731-Q731-MAX(0,S731-R731)),0)</x:f>
      </x:c>
      <x:c r="U731" s="32" t="e">
        <x:f>IF(A731=1,R731,U730+R731)</x:f>
      </x:c>
      <x:c r="V731" s="32"/>
      <x:c r="W731" s="32" t="e">
        <x:f>IF(A731=1,Dashboard!$F$14,AA730)</x:f>
      </x:c>
      <x:c r="X731" s="32" t="e">
        <x:f>IF(AND(A731&lt;=Dashboard!$F$17,MOD(A731-1,12)=0),MIN(W731,$B$7),0)</x:f>
      </x:c>
      <x:c r="Y731" s="32" t="e">
        <x:f>IF(A731&lt;=Dashboard!$F$17,MAX(0,W731-X731)*Dashboard!$F$6,0)</x:f>
      </x:c>
      <x:c r="Z731" s="32" t="e">
        <x:f>IF(A731&lt;=Dashboard!$F$17,MIN(Dashboard!$F$10,MAX(0,W731-X731)+Y731),0)</x:f>
      </x:c>
      <x:c r="AA731" s="32" t="e">
        <x:f>IF(A731&lt;=Dashboard!$F$17,MAX(0,W731-X731-MAX(0,Z731-Y731)),0)</x:f>
      </x:c>
      <x:c r="AB731" s="32" t="e">
        <x:f>IF(A731=1,Y731,AB730+Y731)</x:f>
      </x:c>
      <x:c r="AC731" s="32"/>
      <x:c r="AD731" s="32" t="e">
        <x:f>IF(A731=1,MAX(0,Dashboard!$F$14-$B$8),AG730)</x:f>
      </x:c>
      <x:c r="AE731" s="32" t="n">
        <x:f>0</x:f>
        <x:v>0</x:v>
      </x:c>
      <x:c r="AF731" s="32" t="e">
        <x:f>IF(A731&lt;=Dashboard!$F$17,AD731*Dashboard!$F$6,0)</x:f>
      </x:c>
      <x:c r="AG731" s="32" t="e">
        <x:f>IF(A731&lt;=Dashboard!$F$17,MIN(Dashboard!$F$10,AD731+AF731),0)</x:f>
      </x:c>
      <x:c r="AH731" s="32" t="e">
        <x:f>IF(A731&lt;=Dashboard!$F$17,MAX(0,AD731-MAX(0,AG731-AF731)),0)</x:f>
      </x:c>
      <x:c r="AI731" s="32" t="e">
        <x:f>IF(A731=1,AF731,AI730+AF731)</x:f>
      </x:c>
      <x:c r="AJ731" s="33"/>
      <x:c r="AK731" s="33"/>
      <x:c r="AL731" s="33"/>
      <x:c r="AM731" s="33"/>
    </x:row>
    <x:row r="732">
      <x:c r="A732" s="33" t="n">
        <x:v>720</x:v>
      </x:c>
      <x:c r="B732" s="32" t="e">
        <x:f>IF(A732=1,Dashboard!$F$14,F731)</x:f>
      </x:c>
      <x:c r="C732" s="32" t="n">
        <x:f>0</x:f>
        <x:v>0</x:v>
      </x:c>
      <x:c r="D732" s="32" t="e">
        <x:f>IF(A732&lt;=Dashboard!$F$15,B732*Dashboard!$F$6,0)</x:f>
      </x:c>
      <x:c r="E732" s="32" t="e">
        <x:f>IF(A732&lt;=Dashboard!$F$15,MIN(Dashboard!$F$10,B732+D732),0)</x:f>
      </x:c>
      <x:c r="F732" s="32" t="e">
        <x:f>IF(A732&lt;=Dashboard!$F$15,MAX(0,B732-MAX(0,E732-D732)),0)</x:f>
      </x:c>
      <x:c r="G732" s="32" t="e">
        <x:f>IF(A732=1,D732,G731+D732)</x:f>
      </x:c>
      <x:c r="H732" s="32"/>
      <x:c r="I732" s="32" t="e">
        <x:f>IF(A732=1,Dashboard!$F$14,M731)</x:f>
      </x:c>
      <x:c r="J732" s="32" t="e">
        <x:f>IF(A732&lt;=Dashboard!$F$17,MIN(I732,$B$5),0)</x:f>
      </x:c>
      <x:c r="K732" s="32" t="e">
        <x:f>IF(A732&lt;=Dashboard!$F$17,MAX(0,I732-J732)*Dashboard!$F$6,0)</x:f>
      </x:c>
      <x:c r="L732" s="32" t="e">
        <x:f>IF(A732&lt;=Dashboard!$F$17,MIN(Dashboard!$F$10,MAX(0,I732-J732)+K732),0)</x:f>
      </x:c>
      <x:c r="M732" s="32" t="e">
        <x:f>IF(A732&lt;=Dashboard!$F$17,MAX(0,I732-J732-MAX(0,L732-K732)),0)</x:f>
      </x:c>
      <x:c r="N732" s="32" t="e">
        <x:f>IF(A732=1,K732,N731+K732)</x:f>
      </x:c>
      <x:c r="O732" s="32"/>
      <x:c r="P732" s="32" t="e">
        <x:f>IF(A732=1,Dashboard!$F$14,T731)</x:f>
      </x:c>
      <x:c r="Q732" s="32" t="e">
        <x:f>IF(A732&lt;=Dashboard!$F$17,MIN(P732,$B$6*52/12),0)</x:f>
      </x:c>
      <x:c r="R732" s="32" t="e">
        <x:f>IF(A732&lt;=Dashboard!$F$17,MAX(0,P732-Q732)*Dashboard!$F$6,0)</x:f>
      </x:c>
      <x:c r="S732" s="32" t="e">
        <x:f>IF(A732&lt;=Dashboard!$F$17,MIN(Dashboard!$F$10,MAX(0,P732-Q732)+R732),0)</x:f>
      </x:c>
      <x:c r="T732" s="32" t="e">
        <x:f>IF(A732&lt;=Dashboard!$F$17,MAX(0,P732-Q732-MAX(0,S732-R732)),0)</x:f>
      </x:c>
      <x:c r="U732" s="32" t="e">
        <x:f>IF(A732=1,R732,U731+R732)</x:f>
      </x:c>
      <x:c r="V732" s="32"/>
      <x:c r="W732" s="32" t="e">
        <x:f>IF(A732=1,Dashboard!$F$14,AA731)</x:f>
      </x:c>
      <x:c r="X732" s="32" t="e">
        <x:f>IF(AND(A732&lt;=Dashboard!$F$17,MOD(A732-1,12)=0),MIN(W732,$B$7),0)</x:f>
      </x:c>
      <x:c r="Y732" s="32" t="e">
        <x:f>IF(A732&lt;=Dashboard!$F$17,MAX(0,W732-X732)*Dashboard!$F$6,0)</x:f>
      </x:c>
      <x:c r="Z732" s="32" t="e">
        <x:f>IF(A732&lt;=Dashboard!$F$17,MIN(Dashboard!$F$10,MAX(0,W732-X732)+Y732),0)</x:f>
      </x:c>
      <x:c r="AA732" s="32" t="e">
        <x:f>IF(A732&lt;=Dashboard!$F$17,MAX(0,W732-X732-MAX(0,Z732-Y732)),0)</x:f>
      </x:c>
      <x:c r="AB732" s="32" t="e">
        <x:f>IF(A732=1,Y732,AB731+Y732)</x:f>
      </x:c>
      <x:c r="AC732" s="32"/>
      <x:c r="AD732" s="32" t="e">
        <x:f>IF(A732=1,MAX(0,Dashboard!$F$14-$B$8),AG731)</x:f>
      </x:c>
      <x:c r="AE732" s="32" t="n">
        <x:f>0</x:f>
        <x:v>0</x:v>
      </x:c>
      <x:c r="AF732" s="32" t="e">
        <x:f>IF(A732&lt;=Dashboard!$F$17,AD732*Dashboard!$F$6,0)</x:f>
      </x:c>
      <x:c r="AG732" s="32" t="e">
        <x:f>IF(A732&lt;=Dashboard!$F$17,MIN(Dashboard!$F$10,AD732+AF732),0)</x:f>
      </x:c>
      <x:c r="AH732" s="32" t="e">
        <x:f>IF(A732&lt;=Dashboard!$F$17,MAX(0,AD732-MAX(0,AG732-AF732)),0)</x:f>
      </x:c>
      <x:c r="AI732" s="32" t="e">
        <x:f>IF(A732=1,AF732,AI731+AF732)</x:f>
      </x:c>
      <x:c r="AJ732" s="33"/>
      <x:c r="AK732" s="33"/>
      <x:c r="AL732" s="33"/>
      <x:c r="AM732" s="33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566ccbcd5db74c8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96.43000030517578" hidden="0" customWidth="1"/>
  </x:cols>
  <x:sheetData>
    <x:row r="1">
      <x:c r="A1" s="30" t="str">
        <x:v>Model Notes</x:v>
      </x:c>
      <x:c r="B1" s="39"/>
      <x:c r="C1" s="39"/>
      <x:c r="D1" s="39"/>
      <x:c r="E1" s="39"/>
      <x:c r="F1" s="39"/>
      <x:c r="G1" s="39"/>
      <x:c r="H1" s="39"/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31" t="str">
        <x:v>Purpose</x:v>
      </x:c>
      <x:c r="B3" s="33" t="str">
        <x:v>Excel version of the final Loan Strategy Studio dashboard.</x:v>
      </x:c>
      <x:c r="C3" s="40"/>
      <x:c r="D3" s="40"/>
      <x:c r="E3" s="40"/>
      <x:c r="F3" s="40"/>
      <x:c r="G3" s="40"/>
      <x:c r="H3" s="40"/>
    </x:row>
    <x:row r="4">
      <x:c r="A4" s="31" t="str">
        <x:v>Holiday / moratorium</x:v>
      </x:c>
      <x:c r="B4" s="33" t="str">
        <x:v>Nothing capitalizes simple monthly interest during the holiday. Interest Only keeps principal unchanged. Principal Only reduces principal monthly and capitalizes unpaid interest.</x:v>
      </x:c>
      <x:c r="C4" s="40"/>
      <x:c r="D4" s="40"/>
      <x:c r="E4" s="40"/>
      <x:c r="F4" s="40"/>
      <x:c r="G4" s="40"/>
      <x:c r="H4" s="40"/>
    </x:row>
    <x:row r="5">
      <x:c r="A5" s="31" t="str">
        <x:v>Remaining principal</x:v>
      </x:c>
      <x:c r="B5" s="33" t="str">
        <x:v>Repayment and close strategy start from the manual remaining principal less immediate prepayment.</x:v>
      </x:c>
      <x:c r="C5" s="40"/>
      <x:c r="D5" s="40"/>
      <x:c r="E5" s="40"/>
      <x:c r="F5" s="40"/>
      <x:c r="G5" s="40"/>
      <x:c r="H5" s="40"/>
    </x:row>
    <x:row r="6">
      <x:c r="A6" s="31" t="str">
        <x:v>Manual maturity</x:v>
      </x:c>
      <x:c r="B6" s="33" t="str">
        <x:v>Used because the borrower may have already made historical prepayments.</x:v>
      </x:c>
      <x:c r="C6" s="40"/>
      <x:c r="D6" s="40"/>
      <x:c r="E6" s="40"/>
      <x:c r="F6" s="40"/>
      <x:c r="G6" s="40"/>
      <x:c r="H6" s="40"/>
    </x:row>
    <x:row r="7">
      <x:c r="A7" s="31" t="str">
        <x:v>Close Strategy</x:v>
      </x:c>
      <x:c r="B7" s="33" t="str">
        <x:v>Compares monthly, weekly, yearly, and one-time early closure options against the current remaining-interest baseline.</x:v>
      </x:c>
      <x:c r="C7" s="40"/>
      <x:c r="D7" s="40"/>
      <x:c r="E7" s="40"/>
      <x:c r="F7" s="40"/>
      <x:c r="G7" s="40"/>
      <x:c r="H7" s="40"/>
    </x:row>
    <x:row r="8">
      <x:c r="A8" s="31" t="str">
        <x:v>Best option</x:v>
      </x:c>
      <x:c r="B8" s="33" t="str">
        <x:v>The option with maximum interest saved is flagged automatically.</x:v>
      </x:c>
      <x:c r="C8" s="40"/>
      <x:c r="D8" s="40"/>
      <x:c r="E8" s="40"/>
      <x:c r="F8" s="40"/>
      <x:c r="G8" s="40"/>
      <x:c r="H8" s="40"/>
    </x:row>
    <x:row r="9">
      <x:c r="A9" s="31" t="str">
        <x:v>Editable cells</x:v>
      </x:c>
      <x:c r="B9" s="33" t="str">
        <x:v>Use the Dashboard inputs in column B. Calculation sheets are formula engines.</x:v>
      </x:c>
      <x:c r="C9" s="40"/>
      <x:c r="D9" s="40"/>
      <x:c r="E9" s="40"/>
      <x:c r="F9" s="40"/>
      <x:c r="G9" s="40"/>
      <x:c r="H9" s="40"/>
    </x:row>
    <x:row r="10">
      <x:c r="A10" s="31" t="str">
        <x:v>Limits</x:v>
      </x:c>
      <x:c r="B10" s="33" t="str">
        <x:v>The dashboard supports the web model separately; this workbook includes 720 monthly engine rows, enough for 60-year schedule analysis.</x:v>
      </x:c>
      <x:c r="C10" s="40"/>
      <x:c r="D10" s="40"/>
      <x:c r="E10" s="40"/>
      <x:c r="F10" s="40"/>
      <x:c r="G10" s="40"/>
      <x:c r="H10" s="40"/>
    </x:row>
    <x:row r="11">
      <x:c r="A11" s="31" t="str">
        <x:v>Excel formulas</x:v>
      </x:c>
      <x:c r="B11" s="33" t="str">
        <x:v>All core values are formula-driven, including EMI, post-holiday principal, maturity, and interest savings.</x:v>
      </x:c>
      <x:c r="C11" s="40"/>
      <x:c r="D11" s="40"/>
      <x:c r="E11" s="40"/>
      <x:c r="F11" s="40"/>
      <x:c r="G11" s="40"/>
      <x:c r="H11" s="40"/>
    </x:row>
    <x:row r="12">
      <x:c r="A12" s="31" t="str">
        <x:v>Caution</x:v>
      </x:c>
      <x:c r="B12" s="33" t="str">
        <x:v>The yearly and weekly strategy amounts are practical approximations based on monthly equivalent targets.</x:v>
      </x:c>
      <x:c r="C12" s="40"/>
      <x:c r="D12" s="40"/>
      <x:c r="E12" s="40"/>
      <x:c r="F12" s="40"/>
      <x:c r="G12" s="40"/>
      <x:c r="H12" s="40"/>
    </x:row>
    <x:row r="13">
      <x:c r="A13" s="31" t="str">
        <x:v>Version</x:v>
      </x:c>
      <x:c r="B13" s="33" t="str">
        <x:v>Built from the final web dashboard state on 26-Apr-2026.</x:v>
      </x:c>
      <x:c r="C13" s="40"/>
      <x:c r="D13" s="40"/>
      <x:c r="E13" s="40"/>
      <x:c r="F13" s="40"/>
      <x:c r="G13" s="40"/>
      <x:c r="H13" s="40"/>
    </x:row>
  </x:sheetData>
  <x:mergeCells>
    <x:mergeCell ref="A1:H1"/>
  </x:mergeCells>
  <x:pageMargins left="0.7" right="0.7" top="0.75" bottom="0.75" header="0.3" footer="0.3"/>
</x:worksheet>
</file>